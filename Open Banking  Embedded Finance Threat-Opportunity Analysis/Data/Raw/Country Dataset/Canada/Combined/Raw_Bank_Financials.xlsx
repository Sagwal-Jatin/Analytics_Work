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Canada_Baseline" sheetId="2" state="visible" r:id="rId2"/>
    <sheet xmlns:r="http://schemas.openxmlformats.org/officeDocument/2006/relationships" name="Total_Bank" sheetId="3" state="visible" r:id="rId3"/>
    <sheet xmlns:r="http://schemas.openxmlformats.org/officeDocument/2006/relationships" name="PC_Segment" sheetId="4" state="visible" r:id="rId4"/>
    <sheet xmlns:r="http://schemas.openxmlformats.org/officeDocument/2006/relationships" name="Fee_Breakout" sheetId="5" state="visible" r:id="rId5"/>
  </sheets>
  <definedNames>
    <definedName name="_xlnm._FilterDatabase" localSheetId="1" hidden="1">'Raw_Canada_Baseline'!$A$1:$I$1</definedName>
    <definedName name="_xlnm._FilterDatabase" localSheetId="2" hidden="1">'Total_Bank'!$A$1:$H$1</definedName>
    <definedName name="_xlnm._FilterDatabase" localSheetId="3" hidden="1">'PC_Segment'!$A$1:$J$1</definedName>
    <definedName name="_xlnm._FilterDatabase" localSheetId="4" hidden="1">'Fee_Breakout'!$A$1:$F$1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Raw_Bank_Financials — Big Six FY2025 Annual Report Data</t>
        </is>
      </c>
    </row>
    <row r="2">
      <c r="A2" s="2" t="inlineStr">
        <is>
          <t>All figures FY2025 (year ended Oct 31, 2025) unless noted. Source: each bank's FY2025 Annual Report (as uploaded).</t>
        </is>
      </c>
    </row>
    <row r="4" ht="45" customHeight="1">
      <c r="A4" s="3" t="inlineStr">
        <is>
          <t>Tab: Total_Bank</t>
        </is>
      </c>
      <c r="B4" s="4" t="inlineStr">
        <is>
          <t>Whole-bank figures — total assets, total revenue, net income. Sizing/context reference.</t>
        </is>
      </c>
    </row>
    <row r="5" ht="45" customHeight="1">
      <c r="A5" s="3" t="inlineStr">
        <is>
          <t>Tab: PC_Segment</t>
        </is>
      </c>
      <c r="B5" s="4" t="inlineStr">
        <is>
          <t>The retail/commercial segment exposed to open banking disruption. Segment names differ by bank (see Notes column) but all represent Canadian personal + commercial/business banking.</t>
        </is>
      </c>
    </row>
    <row r="6" ht="45" customHeight="1">
      <c r="A6" s="3" t="inlineStr">
        <is>
          <t>Tab: Fee_Breakout</t>
        </is>
      </c>
      <c r="B6" s="4" t="inlineStr">
        <is>
          <t>Card/payment/service-charge fee detail where disclosed. This is your best proxy for 'revenue at risk' from fintech disintermediation — not all banks disclose this at the same granularity.</t>
        </is>
      </c>
    </row>
    <row r="7" ht="45" customHeight="1">
      <c r="A7" s="3" t="inlineStr">
        <is>
          <t>Segment naming caveat</t>
        </is>
      </c>
      <c r="B7" s="4" t="inlineStr">
        <is>
          <t>RBC reports 'Personal Banking' and 'Commercial Banking' as SEPARATE segments (not combined P&amp;C like the other five banks). For an apples-to-apples P&amp;C comparison, sum RBC's Personal Banking + Commercial Banking net income.</t>
        </is>
      </c>
    </row>
    <row r="8" ht="45" customHeight="1">
      <c r="A8" s="3" t="inlineStr">
        <is>
          <t>BMO fiscal note</t>
        </is>
      </c>
      <c r="B8" s="4" t="inlineStr">
        <is>
          <t>BMO segment table labelled 'Canadian P&amp;C' includes both Personal &amp; Business Banking and Commercial Banking lines of business combined.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  <col width="14" customWidth="1" min="5" max="5"/>
    <col width="26" customWidth="1" min="6" max="6"/>
    <col width="42" customWidth="1" min="7" max="7"/>
    <col width="16" customWidth="1" min="8" max="8"/>
    <col width="42" customWidth="1" min="9" max="9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As-Of Date</t>
        </is>
      </c>
      <c r="E1" s="5" t="inlineStr">
        <is>
          <t>Date Retrieved</t>
        </is>
      </c>
      <c r="F1" s="5" t="inlineStr">
        <is>
          <t>Source Name</t>
        </is>
      </c>
      <c r="G1" s="5" t="inlineStr">
        <is>
          <t>URL</t>
        </is>
      </c>
      <c r="H1" s="5" t="inlineStr">
        <is>
          <t>Status</t>
        </is>
      </c>
      <c r="I1" s="5" t="inlineStr">
        <is>
          <t>Notes</t>
        </is>
      </c>
    </row>
    <row r="2" ht="45" customHeight="1">
      <c r="A2" s="8" t="inlineStr">
        <is>
          <t>Screen-scraping user base (at-risk population)</t>
        </is>
      </c>
      <c r="B2" s="10" t="n">
        <v>9000000</v>
      </c>
      <c r="C2" s="10" t="inlineStr">
        <is>
          <t>people</t>
        </is>
      </c>
      <c r="D2" s="10" t="inlineStr">
        <is>
          <t>2025 (Dept. of Finance estimate)</t>
        </is>
      </c>
      <c r="E2" s="10" t="inlineStr">
        <is>
          <t>2026-07-10</t>
        </is>
      </c>
      <c r="F2" s="10" t="inlineStr">
        <is>
          <t>DLA Piper / Dept. of Finance</t>
        </is>
      </c>
      <c r="G2" s="8" t="inlineStr">
        <is>
          <t>https://www.dlapiper.com/en-pl/insights/publications/2026/04/the-new-consumer-driven-banking-act-explained</t>
        </is>
      </c>
      <c r="H2" s="11" t="inlineStr">
        <is>
          <t>Pulled</t>
        </is>
      </c>
      <c r="I2" s="8" t="inlineStr">
        <is>
          <t>Baseline population that CDBA is designed to migrate to secure APIs; use as denominator for Canada adoption forecast</t>
        </is>
      </c>
    </row>
    <row r="3" ht="45" customHeight="1">
      <c r="A3" s="8" t="inlineStr">
        <is>
          <t>CDBA Royal Assent date</t>
        </is>
      </c>
      <c r="B3" s="10" t="inlineStr">
        <is>
          <t>2026-03-26</t>
        </is>
      </c>
      <c r="C3" s="10" t="inlineStr">
        <is>
          <t>date</t>
        </is>
      </c>
      <c r="D3" s="10" t="inlineStr">
        <is>
          <t>2026-03-26</t>
        </is>
      </c>
      <c r="E3" s="10" t="inlineStr">
        <is>
          <t>2026-07-10</t>
        </is>
      </c>
      <c r="F3" s="10" t="inlineStr">
        <is>
          <t>DLA Piper</t>
        </is>
      </c>
      <c r="G3" s="8" t="inlineStr">
        <is>
          <t>https://www.dlapiper.com/en-pl/insights/publications/2026/04/the-new-consumer-driven-banking-act-explained</t>
        </is>
      </c>
      <c r="H3" s="11" t="inlineStr">
        <is>
          <t>Pulled</t>
        </is>
      </c>
      <c r="I3" s="8" t="inlineStr">
        <is>
          <t>Bill C-15; establishes the Consumer-Driven Banking Act</t>
        </is>
      </c>
    </row>
    <row r="4" ht="45" customHeight="1">
      <c r="A4" s="8" t="inlineStr">
        <is>
          <t>Phase 1 (read access) target</t>
        </is>
      </c>
      <c r="B4" s="10" t="inlineStr">
        <is>
          <t>2026</t>
        </is>
      </c>
      <c r="C4" s="10" t="inlineStr">
        <is>
          <t>year</t>
        </is>
      </c>
      <c r="D4" s="10" t="inlineStr">
        <is>
          <t>2026</t>
        </is>
      </c>
      <c r="E4" s="10" t="inlineStr">
        <is>
          <t>2026-07-10</t>
        </is>
      </c>
      <c r="F4" s="10" t="inlineStr">
        <is>
          <t>Open Banking Tracker</t>
        </is>
      </c>
      <c r="G4" s="8" t="inlineStr">
        <is>
          <t>https://www.openbankingtracker.com/blog/open-banking-canada-what-is-coming-in-2026-and-2027</t>
        </is>
      </c>
      <c r="H4" s="12" t="inlineStr">
        <is>
          <t>Needs Verification</t>
        </is>
      </c>
      <c r="I4" s="8" t="inlineStr">
        <is>
          <t>Exact date not yet confirmed by Bank of Canada as of March 2026</t>
        </is>
      </c>
    </row>
    <row r="5" ht="45" customHeight="1">
      <c r="A5" s="8" t="inlineStr">
        <is>
          <t>Phase 2 (write access/payments) target</t>
        </is>
      </c>
      <c r="B5" s="10" t="inlineStr">
        <is>
          <t>2027-mid</t>
        </is>
      </c>
      <c r="C5" s="10" t="inlineStr">
        <is>
          <t>date</t>
        </is>
      </c>
      <c r="D5" s="10" t="inlineStr">
        <is>
          <t>mid-2027</t>
        </is>
      </c>
      <c r="E5" s="10" t="inlineStr">
        <is>
          <t>2026-07-10</t>
        </is>
      </c>
      <c r="F5" s="10" t="inlineStr">
        <is>
          <t>Open Banking Tracker / DLA Piper</t>
        </is>
      </c>
      <c r="G5" s="8" t="inlineStr">
        <is>
          <t>https://www.openbankingtracker.com/blog/open-banking-canada-what-is-coming-in-2026-and-2027</t>
        </is>
      </c>
      <c r="H5" s="11" t="inlineStr">
        <is>
          <t>Pulled</t>
        </is>
      </c>
      <c r="I5" s="8" t="inlineStr">
        <is>
          <t>Contingent on Real-Time Rail being live and in widespread use</t>
        </is>
      </c>
    </row>
    <row r="6" ht="45" customHeight="1">
      <c r="A6" s="8" t="inlineStr">
        <is>
          <t>Implementation budget (Bank of Canada)</t>
        </is>
      </c>
      <c r="B6" s="10" t="n">
        <v>19300000</v>
      </c>
      <c r="C6" s="10" t="inlineStr">
        <is>
          <t>CAD</t>
        </is>
      </c>
      <c r="D6" s="10" t="inlineStr">
        <is>
          <t>Budget 2025</t>
        </is>
      </c>
      <c r="E6" s="10" t="inlineStr">
        <is>
          <t>2026-07-10</t>
        </is>
      </c>
      <c r="F6" s="10" t="inlineStr">
        <is>
          <t>Open Banking Tracker</t>
        </is>
      </c>
      <c r="G6" s="8" t="inlineStr">
        <is>
          <t>https://www.openbankingtracker.com/blog/open-banking-canada-what-is-coming-in-2026-and-2027</t>
        </is>
      </c>
      <c r="H6" s="11" t="inlineStr">
        <is>
          <t>Pulled</t>
        </is>
      </c>
      <c r="I6" s="8" t="inlineStr">
        <is>
          <t>Over 2 years; ~CAD 5M/year admin cost thereafter</t>
        </is>
      </c>
    </row>
    <row r="7" ht="45" customHeight="1">
      <c r="A7" s="8" t="inlineStr">
        <is>
          <t>Est. consumer savings from data portability (insurance analogy)</t>
        </is>
      </c>
      <c r="B7" s="10" t="inlineStr">
        <is>
          <t>1.1-3.8 billion</t>
        </is>
      </c>
      <c r="C7" s="10" t="inlineStr">
        <is>
          <t>CAD/year</t>
        </is>
      </c>
      <c r="D7" s="10" t="inlineStr">
        <is>
          <t>Competition Bureau research</t>
        </is>
      </c>
      <c r="E7" s="10" t="inlineStr">
        <is>
          <t>2026-07-10</t>
        </is>
      </c>
      <c r="F7" s="10" t="inlineStr">
        <is>
          <t>Open Banking Tracker (citing Competition Bureau)</t>
        </is>
      </c>
      <c r="G7" s="8" t="inlineStr">
        <is>
          <t>https://www.openbankingtracker.com/blog/open-banking-canada-what-is-coming-in-2026-and-2027</t>
        </is>
      </c>
      <c r="H7" s="11" t="inlineStr">
        <is>
          <t>Pulled</t>
        </is>
      </c>
      <c r="I7" s="8" t="inlineStr">
        <is>
          <t>Used as an analogy/proxy - not a direct open-banking-in-banking estimate</t>
        </is>
      </c>
    </row>
    <row r="8" ht="45" customHeight="1">
      <c r="A8" s="8" t="inlineStr">
        <is>
          <t>Cor.Connect joint venture (TD/RBC/BMO)</t>
        </is>
      </c>
      <c r="B8" s="10" t="inlineStr">
        <is>
          <t>Qualitative flag</t>
        </is>
      </c>
      <c r="C8" s="10" t="inlineStr">
        <is>
          <t>entity</t>
        </is>
      </c>
      <c r="D8" s="10" t="inlineStr">
        <is>
          <t>ongoing</t>
        </is>
      </c>
      <c r="E8" s="10" t="inlineStr">
        <is>
          <t>2026-07-10</t>
        </is>
      </c>
      <c r="F8" s="10" t="inlineStr">
        <is>
          <t>The Logic</t>
        </is>
      </c>
      <c r="G8" s="8" t="inlineStr">
        <is>
          <t>https://thelogic.co/news/exclusive/symcor-open-banking-software/</t>
        </is>
      </c>
      <c r="H8" s="11" t="inlineStr">
        <is>
          <t>Pulled</t>
        </is>
      </c>
      <c r="I8" s="8" t="inlineStr">
        <is>
          <t>Platform controlling how open banking data flows to third parties; testing since summer 2023; fintechs lobbying against exclusivity. Relevant to Phase 5 (competitive/strategic layer)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6" customWidth="1" min="5" max="5"/>
    <col width="16" customWidth="1" min="6" max="6"/>
    <col width="22" customWidth="1" min="7" max="7"/>
    <col width="40" customWidth="1" min="8" max="8"/>
  </cols>
  <sheetData>
    <row r="1">
      <c r="A1" s="5" t="inlineStr">
        <is>
          <t>Bank</t>
        </is>
      </c>
      <c r="B1" s="5" t="inlineStr">
        <is>
          <t>Total Assets FY25 ($M CAD)</t>
        </is>
      </c>
      <c r="C1" s="5" t="inlineStr">
        <is>
          <t>Total Revenue FY25 ($M)</t>
        </is>
      </c>
      <c r="D1" s="5" t="inlineStr">
        <is>
          <t>Total Revenue FY24 ($M)</t>
        </is>
      </c>
      <c r="E1" s="5" t="inlineStr">
        <is>
          <t>Net Income FY25 ($M)</t>
        </is>
      </c>
      <c r="F1" s="5" t="inlineStr">
        <is>
          <t>Net Income FY24 ($M)</t>
        </is>
      </c>
      <c r="G1" s="5" t="inlineStr">
        <is>
          <t>Source File</t>
        </is>
      </c>
      <c r="H1" s="5" t="inlineStr">
        <is>
          <t>Notes</t>
        </is>
      </c>
    </row>
    <row r="2" ht="30" customHeight="1">
      <c r="A2" s="6" t="inlineStr">
        <is>
          <t>RBC</t>
        </is>
      </c>
      <c r="B2" s="7" t="n">
        <v>2325006</v>
      </c>
      <c r="C2" s="7" t="n">
        <v>66605</v>
      </c>
      <c r="D2" s="7" t="n">
        <v>57344</v>
      </c>
      <c r="E2" s="7" t="n">
        <v>20369</v>
      </c>
      <c r="F2" s="7" t="n">
        <v>16240</v>
      </c>
      <c r="G2" s="6" t="inlineStr">
        <is>
          <t>Annual_Report_2025_e.pdf</t>
        </is>
      </c>
      <c r="H2" s="8" t="inlineStr">
        <is>
          <t>Fiscal year ended Oct 31, 2025</t>
        </is>
      </c>
    </row>
    <row r="3" ht="30" customHeight="1">
      <c r="A3" s="6" t="inlineStr">
        <is>
          <t>TD</t>
        </is>
      </c>
      <c r="B3" s="7" t="n">
        <v>2094600</v>
      </c>
      <c r="C3" s="7" t="n">
        <v>67777</v>
      </c>
      <c r="D3" s="7" t="n">
        <v>57223</v>
      </c>
      <c r="E3" s="7" t="n">
        <v>20538</v>
      </c>
      <c r="F3" s="7" t="n">
        <v>8842</v>
      </c>
      <c r="G3" s="6" t="inlineStr">
        <is>
          <t>2025-annual-report-en_Updated.pdf</t>
        </is>
      </c>
      <c r="H3" s="8" t="inlineStr">
        <is>
          <t>FY24 net income reflects one-off items (BSA/AML charge); FY25 includes Schwab sale gain</t>
        </is>
      </c>
    </row>
    <row r="4" ht="30" customHeight="1">
      <c r="A4" s="6" t="inlineStr">
        <is>
          <t>BMO</t>
        </is>
      </c>
      <c r="B4" s="7" t="n">
        <v>1580221</v>
      </c>
      <c r="C4" s="7" t="n">
        <v>36274</v>
      </c>
      <c r="D4" s="7" t="n">
        <v>32795</v>
      </c>
      <c r="E4" s="7" t="n">
        <v>8725</v>
      </c>
      <c r="F4" s="7" t="n">
        <v>7327</v>
      </c>
      <c r="G4" s="6" t="inlineStr">
        <is>
          <t>2025_Annual_Report_English_SEDAR_Dec_16.pdf</t>
        </is>
      </c>
      <c r="H4" s="8" t="inlineStr">
        <is>
          <t>208th Annual Report</t>
        </is>
      </c>
    </row>
    <row r="5" ht="30" customHeight="1">
      <c r="A5" s="6" t="inlineStr">
        <is>
          <t>CIBC</t>
        </is>
      </c>
      <c r="B5" s="7" t="n">
        <v>1116938</v>
      </c>
      <c r="C5" s="7" t="n">
        <v>29133</v>
      </c>
      <c r="D5" s="7" t="n">
        <v>25606</v>
      </c>
      <c r="E5" s="7" t="n">
        <v>8454</v>
      </c>
      <c r="F5" s="7" t="n">
        <v>7154</v>
      </c>
      <c r="G5" s="6" t="inlineStr">
        <is>
          <t>CIBC_2025_Annual_Report_en.pdf</t>
        </is>
      </c>
      <c r="H5" s="8" t="inlineStr"/>
    </row>
    <row r="6" ht="30" customHeight="1">
      <c r="A6" s="6" t="inlineStr">
        <is>
          <t>Scotiabank (BNS)</t>
        </is>
      </c>
      <c r="B6" s="7" t="n">
        <v>1460042</v>
      </c>
      <c r="C6" s="7" t="n">
        <v>37741</v>
      </c>
      <c r="D6" s="7" t="n">
        <v>33670</v>
      </c>
      <c r="E6" s="7" t="n">
        <v>7758</v>
      </c>
      <c r="F6" s="7" t="n">
        <v>8491</v>
      </c>
      <c r="G6" s="6" t="inlineStr">
        <is>
          <t>BNS_AR25_Eng.pdf</t>
        </is>
      </c>
      <c r="H6" s="8" t="inlineStr">
        <is>
          <t>Reported basis; bank also discloses an 'Adjusted' basis with revenue $37,731M</t>
        </is>
      </c>
    </row>
    <row r="7" ht="30" customHeight="1">
      <c r="A7" s="6" t="inlineStr">
        <is>
          <t>National Bank</t>
        </is>
      </c>
      <c r="B7" s="7" t="n">
        <v>576919</v>
      </c>
      <c r="C7" s="7" t="n">
        <v>13980</v>
      </c>
      <c r="D7" s="7" t="n">
        <v>11400</v>
      </c>
      <c r="E7" s="7" t="n">
        <v>4017</v>
      </c>
      <c r="F7" s="7" t="n">
        <v>3816</v>
      </c>
      <c r="G7" s="6" t="inlineStr">
        <is>
          <t>2025_Annual_Report_Eng.pdf</t>
        </is>
      </c>
      <c r="H7" s="8" t="inlineStr">
        <is>
          <t>Total assets up 25% YoY, driven by CWB (Canadian Western Bank) acquisition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45" customWidth="1" min="10" max="10"/>
  </cols>
  <sheetData>
    <row r="1">
      <c r="A1" s="5" t="inlineStr">
        <is>
          <t>Bank</t>
        </is>
      </c>
      <c r="B1" s="5" t="inlineStr">
        <is>
          <t>Segment Name (as reported)</t>
        </is>
      </c>
      <c r="C1" s="5" t="inlineStr">
        <is>
          <t>Segment NII FY25 ($M)</t>
        </is>
      </c>
      <c r="D1" s="5" t="inlineStr">
        <is>
          <t>Segment Non-Interest Income FY25 ($M)</t>
        </is>
      </c>
      <c r="E1" s="5" t="inlineStr">
        <is>
          <t>Segment Total Revenue FY25 ($M)</t>
        </is>
      </c>
      <c r="F1" s="5" t="inlineStr">
        <is>
          <t>Segment Total Revenue FY24 ($M)</t>
        </is>
      </c>
      <c r="G1" s="5" t="inlineStr">
        <is>
          <t>Segment Net Income FY25 ($M)</t>
        </is>
      </c>
      <c r="H1" s="5" t="inlineStr">
        <is>
          <t>Segment Net Income FY24 ($M)</t>
        </is>
      </c>
      <c r="I1" s="5" t="inlineStr">
        <is>
          <t>% of Total Bank Net Income</t>
        </is>
      </c>
      <c r="J1" s="5" t="inlineStr">
        <is>
          <t>Notes</t>
        </is>
      </c>
    </row>
    <row r="2" ht="55" customHeight="1">
      <c r="A2" s="6" t="inlineStr">
        <is>
          <t>RBC</t>
        </is>
      </c>
      <c r="B2" s="6" t="inlineStr">
        <is>
          <t>Personal Banking</t>
        </is>
      </c>
      <c r="C2" s="7" t="n"/>
      <c r="D2" s="7" t="n"/>
      <c r="E2" s="7" t="n">
        <v>19900</v>
      </c>
      <c r="F2" s="7" t="n"/>
      <c r="G2" s="7" t="n">
        <v>7105</v>
      </c>
      <c r="H2" s="7" t="n">
        <v>5921</v>
      </c>
      <c r="I2" s="9">
        <f>G2/'Total_Bank'!E2</f>
        <v/>
      </c>
      <c r="J2" s="8" t="inlineStr">
        <is>
          <t>94% of revenue from Canada, 6% Caribbean &amp; U.S. NII/Non-II split not separately disclosed at segment level. ~15M Canadian clients. Add RBC 'Commercial Banking' (net income $3,020M FY25) for a full P&amp;C-equivalent view.</t>
        </is>
      </c>
    </row>
    <row r="3" ht="55" customHeight="1">
      <c r="A3" s="6" t="inlineStr">
        <is>
          <t>TD</t>
        </is>
      </c>
      <c r="B3" s="6" t="inlineStr">
        <is>
          <t>Canadian Personal and Commercial Banking</t>
        </is>
      </c>
      <c r="C3" s="7" t="n">
        <v>16701</v>
      </c>
      <c r="D3" s="7" t="n">
        <v>3985</v>
      </c>
      <c r="E3" s="7" t="n">
        <v>20686</v>
      </c>
      <c r="F3" s="7" t="n">
        <v>19790</v>
      </c>
      <c r="G3" s="7" t="n">
        <v>7317</v>
      </c>
      <c r="H3" s="7" t="n">
        <v>7219</v>
      </c>
      <c r="I3" s="9">
        <f>G3/'Total_Bank'!E3</f>
        <v/>
      </c>
      <c r="J3" s="8" t="inlineStr">
        <is>
          <t>1,051 Canadian retail branches at period end</t>
        </is>
      </c>
    </row>
    <row r="4" ht="55" customHeight="1">
      <c r="A4" s="6" t="inlineStr">
        <is>
          <t>BMO</t>
        </is>
      </c>
      <c r="B4" s="6" t="inlineStr">
        <is>
          <t>Canadian P&amp;C</t>
        </is>
      </c>
      <c r="C4" s="7" t="n">
        <v>9667</v>
      </c>
      <c r="D4" s="7" t="n">
        <v>2595</v>
      </c>
      <c r="E4" s="7" t="n">
        <v>12262</v>
      </c>
      <c r="F4" s="7" t="n">
        <v>11439</v>
      </c>
      <c r="G4" s="7" t="n">
        <v>3295</v>
      </c>
      <c r="H4" s="7" t="n">
        <v>3457</v>
      </c>
      <c r="I4" s="9">
        <f>G4/'Total_Bank'!E4</f>
        <v/>
      </c>
      <c r="J4" s="8" t="inlineStr">
        <is>
          <t>Combines Personal &amp; Business Banking + Commercial Banking lines of business</t>
        </is>
      </c>
    </row>
    <row r="5" ht="55" customHeight="1">
      <c r="A5" s="6" t="inlineStr">
        <is>
          <t>CIBC</t>
        </is>
      </c>
      <c r="B5" s="6" t="inlineStr">
        <is>
          <t>Canadian Personal and Business Banking</t>
        </is>
      </c>
      <c r="C5" s="7" t="n"/>
      <c r="D5" s="7" t="n"/>
      <c r="E5" s="7" t="n">
        <v>12000</v>
      </c>
      <c r="F5" s="7" t="n">
        <v>10900</v>
      </c>
      <c r="G5" s="7" t="n">
        <v>3107</v>
      </c>
      <c r="H5" s="7" t="n">
        <v>2905</v>
      </c>
      <c r="I5" s="9">
        <f>G5/'Total_Bank'!E5</f>
        <v/>
      </c>
      <c r="J5" s="8" t="inlineStr">
        <is>
          <t>Revenue rounded to nearest $0.1B as disclosed (chart format); NII/Non-II split not separately broken out in MD&amp;A summary</t>
        </is>
      </c>
    </row>
    <row r="6" ht="55" customHeight="1">
      <c r="A6" s="6" t="inlineStr">
        <is>
          <t>Scotiabank (BNS)</t>
        </is>
      </c>
      <c r="B6" s="6" t="inlineStr">
        <is>
          <t>Canadian Banking</t>
        </is>
      </c>
      <c r="C6" s="7" t="n">
        <v>10484</v>
      </c>
      <c r="D6" s="7" t="n">
        <v>2941</v>
      </c>
      <c r="E6" s="7" t="n">
        <v>13425</v>
      </c>
      <c r="F6" s="7" t="n">
        <v>13033</v>
      </c>
      <c r="G6" s="7" t="n">
        <v>3425</v>
      </c>
      <c r="H6" s="7" t="n">
        <v>3777</v>
      </c>
      <c r="I6" s="9">
        <f>G6/'Total_Bank'!E6</f>
        <v/>
      </c>
      <c r="J6" s="8" t="inlineStr">
        <is>
          <t>Reported basis (bank also discloses Adjusted basis with near-identical figures)</t>
        </is>
      </c>
    </row>
    <row r="7" ht="55" customHeight="1">
      <c r="A7" s="6" t="inlineStr">
        <is>
          <t>National Bank</t>
        </is>
      </c>
      <c r="B7" s="6" t="inlineStr">
        <is>
          <t>Personal and Commercial</t>
        </is>
      </c>
      <c r="C7" s="7" t="n"/>
      <c r="D7" s="7" t="n"/>
      <c r="E7" s="7" t="n">
        <v>5551</v>
      </c>
      <c r="F7" s="7" t="n"/>
      <c r="G7" s="7" t="n">
        <v>1111</v>
      </c>
      <c r="H7" s="7" t="n"/>
      <c r="I7" s="9">
        <f>G7/'Total_Bank'!E7</f>
        <v/>
      </c>
      <c r="J7" s="8" t="inlineStr">
        <is>
          <t>Serves ~3M individuals and 173,000+ businesses. Revenue mix: Retail 50%, Commercial Banking 38%, Payment Solutions 9%, Insurance 3%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20" customWidth="1" min="5" max="5"/>
    <col width="45" customWidth="1" min="6" max="6"/>
  </cols>
  <sheetData>
    <row r="1">
      <c r="A1" s="5" t="inlineStr">
        <is>
          <t>Bank</t>
        </is>
      </c>
      <c r="B1" s="5" t="inlineStr">
        <is>
          <t>Fee Category</t>
        </is>
      </c>
      <c r="C1" s="5" t="inlineStr">
        <is>
          <t>FY25 ($M)</t>
        </is>
      </c>
      <c r="D1" s="5" t="inlineStr">
        <is>
          <t>FY24 ($M)</t>
        </is>
      </c>
      <c r="E1" s="5" t="inlineStr">
        <is>
          <t>Scope</t>
        </is>
      </c>
      <c r="F1" s="5" t="inlineStr">
        <is>
          <t>Notes</t>
        </is>
      </c>
    </row>
    <row r="2" ht="40" customHeight="1">
      <c r="A2" s="6" t="inlineStr">
        <is>
          <t>RBC</t>
        </is>
      </c>
      <c r="B2" s="6" t="inlineStr">
        <is>
          <t>Service charges</t>
        </is>
      </c>
      <c r="C2" s="6" t="n">
        <v>2425</v>
      </c>
      <c r="D2" s="6" t="n">
        <v>2294</v>
      </c>
      <c r="E2" s="8" t="inlineStr">
        <is>
          <t>Total bank</t>
        </is>
      </c>
      <c r="F2" s="8" t="inlineStr">
        <is>
          <t>Not broken out by segment in MD&amp;A summary; best available granularity</t>
        </is>
      </c>
    </row>
    <row r="3" ht="40" customHeight="1">
      <c r="A3" s="6" t="inlineStr">
        <is>
          <t>RBC</t>
        </is>
      </c>
      <c r="B3" s="6" t="inlineStr">
        <is>
          <t>Card service revenue</t>
        </is>
      </c>
      <c r="C3" s="6" t="n">
        <v>1333</v>
      </c>
      <c r="D3" s="6" t="n">
        <v>1273</v>
      </c>
      <c r="E3" s="8" t="inlineStr">
        <is>
          <t>Total bank</t>
        </is>
      </c>
      <c r="F3" s="8" t="inlineStr">
        <is>
          <t>Interchange revenue + annual card fees</t>
        </is>
      </c>
    </row>
    <row r="4" ht="40" customHeight="1">
      <c r="A4" s="6" t="inlineStr">
        <is>
          <t>National Bank</t>
        </is>
      </c>
      <c r="B4" s="6" t="inlineStr">
        <is>
          <t>Payment Solutions (% of P&amp;C segment revenue)</t>
        </is>
      </c>
      <c r="C4" s="6" t="inlineStr">
        <is>
          <t>9% (~$500)</t>
        </is>
      </c>
      <c r="D4" s="6" t="inlineStr">
        <is>
          <t>11% (2024 %)</t>
        </is>
      </c>
      <c r="E4" s="8" t="inlineStr">
        <is>
          <t>Personal &amp; Commercial segment only</t>
        </is>
      </c>
      <c r="F4" s="8" t="inlineStr">
        <is>
          <t>Estimated $ = 9% x $5,551M segment revenue. Best segment-level payments figure found across all six banks</t>
        </is>
      </c>
    </row>
    <row r="5" ht="40" customHeight="1">
      <c r="A5" s="6" t="inlineStr">
        <is>
          <t>National Bank</t>
        </is>
      </c>
      <c r="B5" s="6" t="inlineStr">
        <is>
          <t>Retail (% of P&amp;C segment revenue)</t>
        </is>
      </c>
      <c r="C5" s="6" t="inlineStr">
        <is>
          <t>50%</t>
        </is>
      </c>
      <c r="D5" s="6" t="inlineStr">
        <is>
          <t>41% (2024)</t>
        </is>
      </c>
      <c r="E5" s="8" t="inlineStr">
        <is>
          <t>Personal &amp; Commercial segment only</t>
        </is>
      </c>
      <c r="F5" s="8" t="inlineStr">
        <is>
          <t>Retail banking share of segment revenue</t>
        </is>
      </c>
    </row>
    <row r="6" ht="40" customHeight="1">
      <c r="A6" s="6" t="inlineStr">
        <is>
          <t>TD, BMO, CIBC, Scotiabank</t>
        </is>
      </c>
      <c r="B6" s="6" t="inlineStr">
        <is>
          <t>Card/payment fee detail</t>
        </is>
      </c>
      <c r="C6" s="6" t="inlineStr">
        <is>
          <t>Not separately disclosed</t>
        </is>
      </c>
      <c r="D6" s="6" t="inlineStr">
        <is>
          <t>-</t>
        </is>
      </c>
      <c r="E6" s="8" t="inlineStr">
        <is>
          <t>-</t>
        </is>
      </c>
      <c r="F6" s="8" t="inlineStr">
        <is>
          <t>These four banks did not break out card/payment fee revenue at the granularity RBC and National Bank did, in the sections reviewed. Check the Notes to Consolidated Financial Statements (search 'Non-Interest Income' as a note heading) for a more granular breakdown if needed for the model.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2026-07-18T06:23:05Z</dcterms:created>
  <dcterms:modified xmlns:dcterms="http://purl.org/dc/terms/" xmlns:xsi="http://www.w3.org/2001/XMLSchema-instance" xsi:type="dcterms:W3CDTF">2026-07-18T06:30:07Z</dcterms:modified>
</cp:coreProperties>
</file>