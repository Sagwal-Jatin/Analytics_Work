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queryTables/queryTable7.xml" ContentType="application/vnd.openxmlformats-officedocument.spreadsheetml.query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queryTables/queryTable8.xml" ContentType="application/vnd.openxmlformats-officedocument.spreadsheetml.queryTable+xml"/>
  <Override PartName="/xl/tables/table12.xml" ContentType="application/vnd.openxmlformats-officedocument.spreadsheetml.table+xml"/>
  <Override PartName="/xl/queryTables/queryTable9.xml" ContentType="application/vnd.openxmlformats-officedocument.spreadsheetml.queryTable+xml"/>
  <Override PartName="/xl/tables/table13.xml" ContentType="application/vnd.openxmlformats-officedocument.spreadsheetml.table+xml"/>
  <Override PartName="/xl/queryTables/queryTable10.xml" ContentType="application/vnd.openxmlformats-officedocument.spreadsheetml.queryTable+xml"/>
  <Override PartName="/xl/tables/table14.xml" ContentType="application/vnd.openxmlformats-officedocument.spreadsheetml.table+xml"/>
  <Override PartName="/xl/queryTables/queryTable11.xml" ContentType="application/vnd.openxmlformats-officedocument.spreadsheetml.queryTable+xml"/>
  <Override PartName="/xl/tables/table15.xml" ContentType="application/vnd.openxmlformats-officedocument.spreadsheetml.table+xml"/>
  <Override PartName="/xl/queryTables/queryTable12.xml" ContentType="application/vnd.openxmlformats-officedocument.spreadsheetml.queryTable+xml"/>
  <Override PartName="/xl/tables/table16.xml" ContentType="application/vnd.openxmlformats-officedocument.spreadsheetml.table+xml"/>
  <Override PartName="/xl/queryTables/queryTable13.xml" ContentType="application/vnd.openxmlformats-officedocument.spreadsheetml.query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queryTables/queryTable14.xml" ContentType="application/vnd.openxmlformats-officedocument.spreadsheetml.queryTable+xml"/>
  <Override PartName="/xl/tables/table24.xml" ContentType="application/vnd.openxmlformats-officedocument.spreadsheetml.table+xml"/>
  <Override PartName="/xl/queryTables/queryTable15.xml" ContentType="application/vnd.openxmlformats-officedocument.spreadsheetml.queryTable+xml"/>
  <Override PartName="/xl/tables/table25.xml" ContentType="application/vnd.openxmlformats-officedocument.spreadsheetml.table+xml"/>
  <Override PartName="/xl/queryTables/queryTable16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esktop\Open Banking  Embedded Finance Threat-Opportunity Analysis\Data\Cleaned\"/>
    </mc:Choice>
  </mc:AlternateContent>
  <xr:revisionPtr revIDLastSave="0" documentId="13_ncr:1_{E07E69EA-3DDE-47F3-A7D0-94054561FDD8}" xr6:coauthVersionLast="47" xr6:coauthVersionMax="47" xr10:uidLastSave="{00000000-0000-0000-0000-000000000000}"/>
  <bookViews>
    <workbookView xWindow="-108" yWindow="-108" windowWidth="23256" windowHeight="12456" tabRatio="708" firstSheet="10" activeTab="10" xr2:uid="{6AD82D3F-22F9-4203-94C1-BCC577C4E9F1}"/>
  </bookViews>
  <sheets>
    <sheet name="Total_Bank" sheetId="6" r:id="rId1"/>
    <sheet name="README" sheetId="5" r:id="rId2"/>
    <sheet name="Raw_Canada_Baseline" sheetId="4" r:id="rId3"/>
    <sheet name="PC_Segment" sheetId="3" r:id="rId4"/>
    <sheet name="Fee_Breakout" sheetId="2" r:id="rId5"/>
    <sheet name="Country Comparison" sheetId="10" r:id="rId6"/>
    <sheet name="Calc_Adoption_Forecast" sheetId="11" r:id="rId7"/>
    <sheet name="ME&amp;A forecast" sheetId="20" r:id="rId8"/>
    <sheet name="Launch_Dates" sheetId="21" r:id="rId9"/>
    <sheet name="Raw_India_AA" sheetId="19" r:id="rId10"/>
    <sheet name="Raw_US_Adoption" sheetId="18" r:id="rId11"/>
    <sheet name="Regulation by Country" sheetId="17" r:id="rId12"/>
    <sheet name="Raw_AU_Availability" sheetId="16" r:id="rId13"/>
    <sheet name="Raw_AU_API_Invocations" sheetId="15" r:id="rId14"/>
    <sheet name="Raw_AU_Authorisations" sheetId="14" r:id="rId15"/>
    <sheet name="Summary_Dashboard_Feed " sheetId="13" r:id="rId16"/>
    <sheet name="Calc_Revenue_At_Risk" sheetId="12" r:id="rId17"/>
    <sheet name="Regulatory Timeline" sheetId="9" r:id="rId18"/>
    <sheet name="PSD2-PSD3 Data Log" sheetId="8" r:id="rId19"/>
    <sheet name="Raw_UK_API_Data" sheetId="7" r:id="rId20"/>
    <sheet name="AU_Pivots" sheetId="22" r:id="rId21"/>
    <sheet name="Calc_Chart1_AdoptionCurve" sheetId="23" r:id="rId22"/>
    <sheet name="Calc_Chart2_RevenueProductLine" sheetId="24" r:id="rId23"/>
    <sheet name="Calc_Chart3_Milestones" sheetId="26" r:id="rId24"/>
    <sheet name="Calc_Chart4_Posture" sheetId="28" r:id="rId25"/>
  </sheets>
  <definedNames>
    <definedName name="ExternalData_1" localSheetId="4" hidden="1">Fee_Breakout!$A$1:$F$6</definedName>
    <definedName name="ExternalData_1" localSheetId="14" hidden="1">'Raw_AU_Authorisations'!$A$1:$C$560</definedName>
    <definedName name="ExternalData_1" localSheetId="19" hidden="1">'Raw_UK_API_Data'!$A$1:$V$26</definedName>
    <definedName name="ExternalData_2" localSheetId="3" hidden="1">PC_Segment!$A$1:$J$7</definedName>
    <definedName name="ExternalData_2" localSheetId="18" hidden="1">'PSD2-PSD3 Data Log'!$A$1:$J$9</definedName>
    <definedName name="ExternalData_2" localSheetId="13" hidden="1">'Raw_AU_API_Invocations'!$A$1:$C$560</definedName>
    <definedName name="ExternalData_3" localSheetId="12" hidden="1">'Raw_AU_Availability'!$A$1:$B$20</definedName>
    <definedName name="ExternalData_3" localSheetId="2" hidden="1">'Raw_Canada_Baseline'!$A$1:$J$8</definedName>
    <definedName name="ExternalData_3" localSheetId="17" hidden="1">'Regulatory Timeline'!$A$1:$D$5</definedName>
    <definedName name="ExternalData_4" localSheetId="5" hidden="1">'Country Comparison'!$A$1:$E$6</definedName>
    <definedName name="ExternalData_4" localSheetId="1" hidden="1">'README'!$A$1:$B$9</definedName>
    <definedName name="ExternalData_4" localSheetId="11" hidden="1">'Regulation by Country'!$A$1:$D$14</definedName>
    <definedName name="ExternalData_5" localSheetId="10" hidden="1">'Raw_US_Adoption'!$A$1:$C$12</definedName>
    <definedName name="ExternalData_5" localSheetId="0" hidden="1">Total_Bank!$A$1:$H$7</definedName>
    <definedName name="ExternalData_6" localSheetId="9" hidden="1">'Raw_India_AA'!$A$1:$B$8</definedName>
    <definedName name="ExternalData_7" localSheetId="7" hidden="1">'ME&amp;A forecast'!$A$1:$B$6</definedName>
  </definedNames>
  <calcPr calcId="191029"/>
  <pivotCaches>
    <pivotCache cacheId="0" r:id="rId26"/>
    <pivotCache cacheId="1" r:id="rId2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B2" i="26" l="1"/>
  <c r="D2" i="26" s="1"/>
  <c r="L19" i="13"/>
  <c r="L20" i="13"/>
  <c r="L18" i="13"/>
  <c r="D3" i="26"/>
  <c r="D4" i="26"/>
  <c r="B4" i="26"/>
  <c r="B3" i="26"/>
  <c r="E8" i="4"/>
  <c r="E7" i="4"/>
  <c r="E6" i="4"/>
  <c r="E5" i="4"/>
  <c r="E4" i="4"/>
  <c r="E3" i="4"/>
  <c r="E2" i="4"/>
  <c r="B560" i="14"/>
  <c r="B559" i="14"/>
  <c r="B558" i="14"/>
  <c r="B557" i="14"/>
  <c r="B556" i="14"/>
  <c r="B555" i="14"/>
  <c r="B554" i="14"/>
  <c r="B553" i="14"/>
  <c r="B552" i="14"/>
  <c r="B551" i="14"/>
  <c r="B550" i="14"/>
  <c r="B549" i="14"/>
  <c r="B548" i="14"/>
  <c r="B547" i="14"/>
  <c r="B546" i="14"/>
  <c r="B545" i="14"/>
  <c r="B544" i="14"/>
  <c r="B543" i="14"/>
  <c r="B542" i="14"/>
  <c r="B541" i="14"/>
  <c r="B540" i="14"/>
  <c r="B539" i="14"/>
  <c r="B538" i="14"/>
  <c r="B537" i="14"/>
  <c r="B536" i="14"/>
  <c r="B535" i="14"/>
  <c r="B534" i="14"/>
  <c r="B533" i="14"/>
  <c r="B532" i="14"/>
  <c r="B531" i="14"/>
  <c r="B530" i="14"/>
  <c r="B529" i="14"/>
  <c r="B528" i="14"/>
  <c r="B527" i="14"/>
  <c r="B526" i="14"/>
  <c r="B525" i="14"/>
  <c r="B524" i="14"/>
  <c r="B523" i="14"/>
  <c r="B522" i="14"/>
  <c r="B521" i="14"/>
  <c r="B520" i="14"/>
  <c r="B519" i="14"/>
  <c r="B518" i="14"/>
  <c r="B517" i="14"/>
  <c r="B516" i="14"/>
  <c r="B515" i="14"/>
  <c r="B514" i="14"/>
  <c r="B513" i="14"/>
  <c r="B512" i="14"/>
  <c r="B511" i="14"/>
  <c r="B510" i="14"/>
  <c r="B509" i="14"/>
  <c r="B508" i="14"/>
  <c r="B507" i="14"/>
  <c r="B506" i="14"/>
  <c r="B505" i="14"/>
  <c r="B504" i="14"/>
  <c r="B503" i="14"/>
  <c r="B502" i="14"/>
  <c r="B501" i="14"/>
  <c r="B500" i="14"/>
  <c r="B499" i="14"/>
  <c r="B498" i="14"/>
  <c r="B497" i="14"/>
  <c r="B496" i="14"/>
  <c r="B495" i="14"/>
  <c r="B494" i="14"/>
  <c r="B493" i="14"/>
  <c r="B492" i="14"/>
  <c r="B491" i="14"/>
  <c r="B490" i="14"/>
  <c r="B489" i="14"/>
  <c r="B488" i="14"/>
  <c r="B487" i="14"/>
  <c r="B486" i="14"/>
  <c r="B485" i="14"/>
  <c r="B484" i="14"/>
  <c r="B483" i="14"/>
  <c r="B482" i="14"/>
  <c r="B481" i="14"/>
  <c r="B480" i="14"/>
  <c r="B479" i="14"/>
  <c r="B478" i="14"/>
  <c r="B477" i="14"/>
  <c r="B476" i="14"/>
  <c r="B475" i="14"/>
  <c r="B474" i="14"/>
  <c r="B473" i="14"/>
  <c r="B472" i="14"/>
  <c r="B471" i="14"/>
  <c r="B470" i="14"/>
  <c r="B469" i="14"/>
  <c r="B468" i="14"/>
  <c r="B467" i="14"/>
  <c r="B466" i="14"/>
  <c r="B465" i="14"/>
  <c r="B464" i="14"/>
  <c r="B463" i="14"/>
  <c r="B462" i="14"/>
  <c r="B461" i="14"/>
  <c r="B460" i="14"/>
  <c r="B459" i="14"/>
  <c r="B458" i="14"/>
  <c r="B457" i="14"/>
  <c r="B456" i="14"/>
  <c r="B455" i="14"/>
  <c r="B454" i="14"/>
  <c r="B453" i="14"/>
  <c r="B452" i="14"/>
  <c r="B451" i="14"/>
  <c r="B450" i="14"/>
  <c r="B449" i="14"/>
  <c r="B448" i="14"/>
  <c r="B447" i="14"/>
  <c r="B446" i="14"/>
  <c r="B445" i="14"/>
  <c r="B444" i="14"/>
  <c r="B443" i="14"/>
  <c r="B442" i="14"/>
  <c r="B441" i="14"/>
  <c r="B440" i="14"/>
  <c r="B439" i="14"/>
  <c r="B438" i="14"/>
  <c r="B437" i="14"/>
  <c r="B436" i="14"/>
  <c r="B435" i="14"/>
  <c r="B434" i="14"/>
  <c r="B433" i="14"/>
  <c r="B432" i="14"/>
  <c r="B431" i="14"/>
  <c r="B430" i="14"/>
  <c r="B429" i="14"/>
  <c r="B428" i="14"/>
  <c r="B427" i="14"/>
  <c r="B426" i="14"/>
  <c r="B425" i="14"/>
  <c r="B424" i="14"/>
  <c r="B423" i="14"/>
  <c r="B422" i="14"/>
  <c r="B421" i="14"/>
  <c r="B420" i="14"/>
  <c r="B419" i="14"/>
  <c r="B418" i="14"/>
  <c r="B417" i="14"/>
  <c r="B416" i="14"/>
  <c r="B415" i="14"/>
  <c r="B414" i="14"/>
  <c r="B413" i="14"/>
  <c r="B412" i="14"/>
  <c r="B411" i="14"/>
  <c r="B410" i="14"/>
  <c r="B409" i="14"/>
  <c r="B408" i="14"/>
  <c r="B407" i="14"/>
  <c r="B406" i="14"/>
  <c r="B405" i="14"/>
  <c r="B404" i="14"/>
  <c r="B403" i="14"/>
  <c r="B402" i="14"/>
  <c r="B401" i="14"/>
  <c r="B400" i="14"/>
  <c r="B399" i="14"/>
  <c r="B398" i="14"/>
  <c r="B397" i="14"/>
  <c r="B396" i="14"/>
  <c r="B395" i="14"/>
  <c r="B394" i="14"/>
  <c r="B393" i="14"/>
  <c r="B392" i="14"/>
  <c r="B391" i="14"/>
  <c r="B390" i="14"/>
  <c r="B389" i="14"/>
  <c r="B388" i="14"/>
  <c r="B387" i="14"/>
  <c r="B386" i="14"/>
  <c r="B385" i="14"/>
  <c r="B384" i="14"/>
  <c r="B383" i="14"/>
  <c r="B382" i="14"/>
  <c r="B381" i="14"/>
  <c r="B380" i="14"/>
  <c r="B379" i="14"/>
  <c r="B378" i="14"/>
  <c r="B377" i="14"/>
  <c r="B376" i="14"/>
  <c r="B375" i="14"/>
  <c r="B374" i="14"/>
  <c r="B373" i="14"/>
  <c r="B372" i="14"/>
  <c r="B371" i="14"/>
  <c r="B370" i="14"/>
  <c r="B369" i="14"/>
  <c r="B368" i="14"/>
  <c r="B367" i="14"/>
  <c r="B366" i="14"/>
  <c r="B365" i="14"/>
  <c r="B364" i="14"/>
  <c r="B363" i="14"/>
  <c r="B362" i="14"/>
  <c r="B361" i="14"/>
  <c r="B360" i="14"/>
  <c r="B359" i="14"/>
  <c r="B358" i="14"/>
  <c r="B357" i="14"/>
  <c r="B356" i="14"/>
  <c r="B355" i="14"/>
  <c r="B354" i="14"/>
  <c r="B353" i="14"/>
  <c r="B352" i="14"/>
  <c r="B351" i="14"/>
  <c r="B350" i="14"/>
  <c r="B349" i="14"/>
  <c r="B348" i="14"/>
  <c r="B347" i="14"/>
  <c r="B346" i="14"/>
  <c r="B345" i="14"/>
  <c r="B344" i="14"/>
  <c r="B343" i="14"/>
  <c r="B342" i="14"/>
  <c r="B341" i="14"/>
  <c r="B340" i="14"/>
  <c r="B339" i="14"/>
  <c r="B338" i="14"/>
  <c r="B337" i="14"/>
  <c r="B336" i="14"/>
  <c r="B335" i="14"/>
  <c r="B334" i="14"/>
  <c r="B333" i="14"/>
  <c r="B332" i="14"/>
  <c r="B331" i="14"/>
  <c r="B330" i="14"/>
  <c r="B329" i="14"/>
  <c r="B328" i="14"/>
  <c r="B327" i="14"/>
  <c r="B326" i="14"/>
  <c r="B325" i="14"/>
  <c r="B324" i="14"/>
  <c r="B323" i="14"/>
  <c r="B322" i="14"/>
  <c r="B321" i="14"/>
  <c r="B320" i="14"/>
  <c r="B319" i="14"/>
  <c r="B318" i="14"/>
  <c r="B317" i="14"/>
  <c r="B316" i="14"/>
  <c r="B315" i="14"/>
  <c r="B314" i="14"/>
  <c r="B313" i="14"/>
  <c r="B312" i="14"/>
  <c r="B311" i="14"/>
  <c r="B310" i="14"/>
  <c r="B309" i="14"/>
  <c r="B308" i="14"/>
  <c r="B307" i="14"/>
  <c r="B306" i="14"/>
  <c r="B305" i="14"/>
  <c r="B304" i="14"/>
  <c r="B303" i="14"/>
  <c r="B302" i="14"/>
  <c r="B301" i="14"/>
  <c r="B300" i="14"/>
  <c r="B299" i="14"/>
  <c r="B298" i="14"/>
  <c r="B297" i="14"/>
  <c r="B296" i="14"/>
  <c r="B295" i="14"/>
  <c r="B294" i="14"/>
  <c r="B293" i="14"/>
  <c r="B292" i="14"/>
  <c r="B291" i="14"/>
  <c r="B290" i="14"/>
  <c r="B289" i="14"/>
  <c r="B288" i="14"/>
  <c r="B287" i="14"/>
  <c r="B286" i="14"/>
  <c r="B285" i="14"/>
  <c r="B284" i="14"/>
  <c r="B283" i="14"/>
  <c r="B282" i="14"/>
  <c r="B281" i="14"/>
  <c r="B280" i="14"/>
  <c r="B279" i="14"/>
  <c r="B278" i="14"/>
  <c r="B277" i="14"/>
  <c r="B276" i="14"/>
  <c r="B275" i="14"/>
  <c r="B274" i="14"/>
  <c r="B273" i="14"/>
  <c r="B272" i="14"/>
  <c r="B271" i="14"/>
  <c r="B270" i="14"/>
  <c r="B269" i="14"/>
  <c r="B268" i="14"/>
  <c r="B267" i="14"/>
  <c r="B266" i="14"/>
  <c r="B265" i="14"/>
  <c r="B264" i="14"/>
  <c r="B263" i="14"/>
  <c r="B262" i="14"/>
  <c r="B261" i="14"/>
  <c r="B260" i="14"/>
  <c r="B259" i="14"/>
  <c r="B258" i="14"/>
  <c r="B257" i="14"/>
  <c r="B256" i="14"/>
  <c r="B255" i="14"/>
  <c r="B254" i="14"/>
  <c r="B253" i="14"/>
  <c r="B252" i="14"/>
  <c r="B251" i="14"/>
  <c r="B250" i="14"/>
  <c r="B249" i="14"/>
  <c r="B248" i="14"/>
  <c r="B247" i="14"/>
  <c r="B246" i="14"/>
  <c r="B245" i="14"/>
  <c r="B244" i="14"/>
  <c r="B243" i="14"/>
  <c r="B242" i="14"/>
  <c r="B241" i="14"/>
  <c r="B240" i="14"/>
  <c r="B239" i="14"/>
  <c r="B238" i="14"/>
  <c r="B237" i="14"/>
  <c r="B236" i="14"/>
  <c r="B235" i="14"/>
  <c r="B234" i="14"/>
  <c r="B233" i="14"/>
  <c r="B232" i="14"/>
  <c r="B231" i="14"/>
  <c r="B230" i="14"/>
  <c r="B229" i="14"/>
  <c r="B228" i="14"/>
  <c r="B227" i="14"/>
  <c r="B226" i="14"/>
  <c r="B225" i="14"/>
  <c r="B224" i="14"/>
  <c r="B223" i="14"/>
  <c r="B222" i="14"/>
  <c r="B221" i="14"/>
  <c r="B220" i="14"/>
  <c r="B219" i="14"/>
  <c r="B218" i="14"/>
  <c r="B217" i="14"/>
  <c r="B216" i="14"/>
  <c r="B215" i="14"/>
  <c r="B214" i="14"/>
  <c r="B213" i="14"/>
  <c r="B212" i="14"/>
  <c r="B211" i="14"/>
  <c r="B210" i="14"/>
  <c r="B209" i="14"/>
  <c r="B208" i="14"/>
  <c r="B207" i="14"/>
  <c r="B206" i="14"/>
  <c r="B205" i="14"/>
  <c r="B204" i="14"/>
  <c r="B203" i="14"/>
  <c r="B202" i="14"/>
  <c r="B201" i="14"/>
  <c r="B200" i="14"/>
  <c r="B199" i="14"/>
  <c r="B198" i="14"/>
  <c r="B197" i="14"/>
  <c r="B196" i="14"/>
  <c r="B195" i="14"/>
  <c r="B194" i="14"/>
  <c r="B193" i="14"/>
  <c r="B192" i="14"/>
  <c r="B191" i="14"/>
  <c r="B190" i="14"/>
  <c r="B189" i="14"/>
  <c r="B188" i="14"/>
  <c r="B187" i="14"/>
  <c r="B186" i="14"/>
  <c r="B185" i="14"/>
  <c r="B184" i="14"/>
  <c r="B183" i="14"/>
  <c r="B182" i="14"/>
  <c r="B181" i="14"/>
  <c r="B180" i="14"/>
  <c r="B179" i="14"/>
  <c r="B178" i="14"/>
  <c r="B177" i="14"/>
  <c r="B176" i="14"/>
  <c r="B175" i="14"/>
  <c r="B174" i="14"/>
  <c r="B173" i="14"/>
  <c r="B172" i="14"/>
  <c r="B171" i="14"/>
  <c r="B170" i="14"/>
  <c r="B169" i="14"/>
  <c r="B168" i="14"/>
  <c r="B167" i="14"/>
  <c r="B166" i="14"/>
  <c r="B165" i="14"/>
  <c r="B164" i="14"/>
  <c r="B163" i="14"/>
  <c r="B162" i="14"/>
  <c r="B161" i="14"/>
  <c r="B160" i="14"/>
  <c r="B159" i="14"/>
  <c r="B158" i="14"/>
  <c r="B157" i="14"/>
  <c r="B156" i="14"/>
  <c r="B155" i="14"/>
  <c r="B154" i="14"/>
  <c r="B153" i="14"/>
  <c r="B152" i="14"/>
  <c r="B151" i="14"/>
  <c r="B150" i="14"/>
  <c r="B149" i="14"/>
  <c r="B148" i="14"/>
  <c r="B147" i="14"/>
  <c r="B146" i="14"/>
  <c r="B145" i="14"/>
  <c r="B144" i="14"/>
  <c r="B143" i="14"/>
  <c r="B142" i="14"/>
  <c r="B141" i="14"/>
  <c r="B140" i="14"/>
  <c r="B139" i="14"/>
  <c r="B138" i="14"/>
  <c r="B137" i="14"/>
  <c r="B136" i="14"/>
  <c r="B135" i="14"/>
  <c r="B134" i="14"/>
  <c r="B133" i="14"/>
  <c r="B132" i="14"/>
  <c r="B131" i="14"/>
  <c r="B130" i="14"/>
  <c r="B129" i="14"/>
  <c r="B128" i="14"/>
  <c r="B127" i="14"/>
  <c r="B126" i="14"/>
  <c r="B125" i="14"/>
  <c r="B124" i="14"/>
  <c r="B123" i="14"/>
  <c r="B122" i="14"/>
  <c r="B121" i="14"/>
  <c r="B120" i="14"/>
  <c r="B119" i="14"/>
  <c r="B118" i="14"/>
  <c r="B117" i="14"/>
  <c r="B116" i="14"/>
  <c r="B115" i="14"/>
  <c r="B114" i="14"/>
  <c r="B113" i="14"/>
  <c r="B112" i="14"/>
  <c r="B111" i="14"/>
  <c r="B110" i="14"/>
  <c r="B109" i="14"/>
  <c r="B108" i="14"/>
  <c r="B107" i="14"/>
  <c r="B106" i="14"/>
  <c r="B105" i="14"/>
  <c r="B104" i="14"/>
  <c r="B103" i="14"/>
  <c r="B102" i="14"/>
  <c r="B101" i="14"/>
  <c r="B100" i="14"/>
  <c r="B99" i="14"/>
  <c r="B98" i="14"/>
  <c r="B97" i="14"/>
  <c r="B96" i="14"/>
  <c r="B95" i="14"/>
  <c r="B94" i="14"/>
  <c r="B93" i="14"/>
  <c r="B92" i="14"/>
  <c r="B91" i="14"/>
  <c r="B90" i="14"/>
  <c r="B89" i="14"/>
  <c r="B88" i="14"/>
  <c r="B87" i="14"/>
  <c r="B86" i="14"/>
  <c r="B85" i="14"/>
  <c r="B84" i="14"/>
  <c r="B83" i="14"/>
  <c r="B82" i="14"/>
  <c r="B81" i="14"/>
  <c r="B80" i="14"/>
  <c r="B79" i="14"/>
  <c r="B78" i="14"/>
  <c r="B77" i="14"/>
  <c r="B76" i="14"/>
  <c r="B75" i="14"/>
  <c r="B74" i="14"/>
  <c r="B73" i="14"/>
  <c r="B72" i="14"/>
  <c r="B71" i="14"/>
  <c r="B70" i="14"/>
  <c r="B69" i="14"/>
  <c r="B68" i="14"/>
  <c r="B67" i="14"/>
  <c r="B66" i="14"/>
  <c r="B65" i="14"/>
  <c r="B64" i="14"/>
  <c r="B63" i="14"/>
  <c r="B62" i="14"/>
  <c r="B61" i="14"/>
  <c r="B60" i="14"/>
  <c r="B59" i="14"/>
  <c r="B58" i="14"/>
  <c r="B57" i="14"/>
  <c r="B56" i="14"/>
  <c r="B55" i="14"/>
  <c r="B54" i="14"/>
  <c r="B53" i="14"/>
  <c r="B52" i="14"/>
  <c r="B51" i="14"/>
  <c r="B50" i="14"/>
  <c r="B49" i="14"/>
  <c r="B48" i="14"/>
  <c r="B47" i="14"/>
  <c r="B46" i="14"/>
  <c r="B45" i="14"/>
  <c r="B44" i="14"/>
  <c r="B43" i="14"/>
  <c r="B42" i="14"/>
  <c r="B41" i="14"/>
  <c r="B40" i="14"/>
  <c r="B39" i="14"/>
  <c r="B38" i="14"/>
  <c r="B37" i="14"/>
  <c r="B36" i="14"/>
  <c r="B35" i="14"/>
  <c r="B34" i="14"/>
  <c r="B33" i="14"/>
  <c r="B32" i="14"/>
  <c r="B31" i="14"/>
  <c r="B30" i="14"/>
  <c r="B29" i="14"/>
  <c r="B28" i="14"/>
  <c r="B27" i="14"/>
  <c r="B26" i="14"/>
  <c r="B25" i="14"/>
  <c r="B24" i="14"/>
  <c r="B23" i="14"/>
  <c r="B22" i="14"/>
  <c r="B21" i="14"/>
  <c r="B20" i="14"/>
  <c r="B19" i="14"/>
  <c r="B18" i="14"/>
  <c r="B17" i="14"/>
  <c r="B16" i="14"/>
  <c r="B15" i="14"/>
  <c r="B14" i="14"/>
  <c r="B13" i="14"/>
  <c r="B12" i="14"/>
  <c r="B11" i="14"/>
  <c r="B10" i="14"/>
  <c r="B9" i="14"/>
  <c r="B8" i="14"/>
  <c r="B7" i="14"/>
  <c r="B6" i="14"/>
  <c r="B5" i="14"/>
  <c r="B4" i="14"/>
  <c r="B3" i="14"/>
  <c r="B2" i="14"/>
  <c r="B560" i="15"/>
  <c r="B559" i="15"/>
  <c r="B558" i="15"/>
  <c r="B557" i="15"/>
  <c r="B556" i="15"/>
  <c r="B555" i="15"/>
  <c r="B554" i="15"/>
  <c r="B553" i="15"/>
  <c r="B552" i="15"/>
  <c r="B551" i="15"/>
  <c r="B550" i="15"/>
  <c r="B549" i="15"/>
  <c r="B548" i="15"/>
  <c r="B547" i="15"/>
  <c r="B546" i="15"/>
  <c r="B545" i="15"/>
  <c r="B544" i="15"/>
  <c r="B543" i="15"/>
  <c r="B542" i="15"/>
  <c r="B541" i="15"/>
  <c r="B540" i="15"/>
  <c r="B539" i="15"/>
  <c r="B538" i="15"/>
  <c r="B537" i="15"/>
  <c r="B536" i="15"/>
  <c r="B535" i="15"/>
  <c r="B534" i="15"/>
  <c r="B533" i="15"/>
  <c r="B532" i="15"/>
  <c r="B531" i="15"/>
  <c r="B530" i="15"/>
  <c r="B529" i="15"/>
  <c r="B528" i="15"/>
  <c r="B527" i="15"/>
  <c r="B526" i="15"/>
  <c r="B525" i="15"/>
  <c r="B524" i="15"/>
  <c r="B523" i="15"/>
  <c r="B522" i="15"/>
  <c r="B521" i="15"/>
  <c r="B520" i="15"/>
  <c r="B519" i="15"/>
  <c r="B518" i="15"/>
  <c r="B517" i="15"/>
  <c r="B516" i="15"/>
  <c r="B515" i="15"/>
  <c r="B514" i="15"/>
  <c r="B513" i="15"/>
  <c r="B512" i="15"/>
  <c r="B511" i="15"/>
  <c r="B510" i="15"/>
  <c r="B509" i="15"/>
  <c r="B508" i="15"/>
  <c r="B507" i="15"/>
  <c r="B506" i="15"/>
  <c r="B505" i="15"/>
  <c r="B504" i="15"/>
  <c r="B503" i="15"/>
  <c r="B502" i="15"/>
  <c r="B501" i="15"/>
  <c r="B500" i="15"/>
  <c r="B499" i="15"/>
  <c r="B498" i="15"/>
  <c r="B497" i="15"/>
  <c r="B496" i="15"/>
  <c r="B495" i="15"/>
  <c r="B494" i="15"/>
  <c r="B493" i="15"/>
  <c r="B492" i="15"/>
  <c r="B491" i="15"/>
  <c r="B490" i="15"/>
  <c r="B489" i="15"/>
  <c r="B488" i="15"/>
  <c r="B487" i="15"/>
  <c r="B486" i="15"/>
  <c r="B485" i="15"/>
  <c r="B484" i="15"/>
  <c r="B483" i="15"/>
  <c r="B482" i="15"/>
  <c r="B481" i="15"/>
  <c r="B480" i="15"/>
  <c r="B479" i="15"/>
  <c r="B478" i="15"/>
  <c r="B477" i="15"/>
  <c r="B476" i="15"/>
  <c r="B475" i="15"/>
  <c r="B474" i="15"/>
  <c r="B473" i="15"/>
  <c r="B472" i="15"/>
  <c r="B471" i="15"/>
  <c r="B470" i="15"/>
  <c r="B469" i="15"/>
  <c r="B468" i="15"/>
  <c r="B467" i="15"/>
  <c r="B466" i="15"/>
  <c r="B465" i="15"/>
  <c r="B464" i="15"/>
  <c r="B463" i="15"/>
  <c r="B462" i="15"/>
  <c r="B461" i="15"/>
  <c r="B460" i="15"/>
  <c r="B459" i="15"/>
  <c r="B458" i="15"/>
  <c r="B457" i="15"/>
  <c r="B456" i="15"/>
  <c r="B455" i="15"/>
  <c r="B454" i="15"/>
  <c r="B453" i="15"/>
  <c r="B452" i="15"/>
  <c r="B451" i="15"/>
  <c r="B450" i="15"/>
  <c r="B449" i="15"/>
  <c r="B448" i="15"/>
  <c r="B447" i="15"/>
  <c r="B446" i="15"/>
  <c r="B445" i="15"/>
  <c r="B444" i="15"/>
  <c r="B443" i="15"/>
  <c r="B442" i="15"/>
  <c r="B441" i="15"/>
  <c r="B440" i="15"/>
  <c r="B439" i="15"/>
  <c r="B438" i="15"/>
  <c r="B437" i="15"/>
  <c r="B436" i="15"/>
  <c r="B435" i="15"/>
  <c r="B434" i="15"/>
  <c r="B433" i="15"/>
  <c r="B432" i="15"/>
  <c r="B431" i="15"/>
  <c r="B430" i="15"/>
  <c r="B429" i="15"/>
  <c r="B428" i="15"/>
  <c r="B427" i="15"/>
  <c r="B426" i="15"/>
  <c r="B425" i="15"/>
  <c r="B424" i="15"/>
  <c r="B423" i="15"/>
  <c r="B422" i="15"/>
  <c r="B421" i="15"/>
  <c r="B420" i="15"/>
  <c r="B419" i="15"/>
  <c r="B418" i="15"/>
  <c r="B417" i="15"/>
  <c r="B416" i="15"/>
  <c r="B415" i="15"/>
  <c r="B414" i="15"/>
  <c r="B413" i="15"/>
  <c r="B412" i="15"/>
  <c r="B411" i="15"/>
  <c r="B410" i="15"/>
  <c r="B409" i="15"/>
  <c r="B408" i="15"/>
  <c r="B407" i="15"/>
  <c r="B406" i="15"/>
  <c r="B405" i="15"/>
  <c r="B404" i="15"/>
  <c r="B403" i="15"/>
  <c r="B402" i="15"/>
  <c r="B401" i="15"/>
  <c r="B400" i="15"/>
  <c r="B399" i="15"/>
  <c r="B398" i="15"/>
  <c r="B397" i="15"/>
  <c r="B396" i="15"/>
  <c r="B395" i="15"/>
  <c r="B394" i="15"/>
  <c r="B393" i="15"/>
  <c r="B392" i="15"/>
  <c r="B391" i="15"/>
  <c r="B390" i="15"/>
  <c r="B389" i="15"/>
  <c r="B388" i="15"/>
  <c r="B387" i="15"/>
  <c r="B386" i="15"/>
  <c r="B385" i="15"/>
  <c r="B384" i="15"/>
  <c r="B383" i="15"/>
  <c r="B382" i="15"/>
  <c r="B381" i="15"/>
  <c r="B380" i="15"/>
  <c r="B379" i="15"/>
  <c r="B378" i="15"/>
  <c r="B377" i="15"/>
  <c r="B376" i="15"/>
  <c r="B375" i="15"/>
  <c r="B374" i="15"/>
  <c r="B373" i="15"/>
  <c r="B372" i="15"/>
  <c r="B371" i="15"/>
  <c r="B370" i="15"/>
  <c r="B369" i="15"/>
  <c r="B368" i="15"/>
  <c r="B367" i="15"/>
  <c r="B366" i="15"/>
  <c r="B365" i="15"/>
  <c r="B364" i="15"/>
  <c r="B363" i="15"/>
  <c r="B362" i="15"/>
  <c r="B361" i="15"/>
  <c r="B360" i="15"/>
  <c r="B359" i="15"/>
  <c r="B358" i="15"/>
  <c r="B357" i="15"/>
  <c r="B356" i="15"/>
  <c r="B355" i="15"/>
  <c r="B354" i="15"/>
  <c r="B353" i="15"/>
  <c r="B352" i="15"/>
  <c r="B351" i="15"/>
  <c r="B350" i="15"/>
  <c r="B349" i="15"/>
  <c r="B348" i="15"/>
  <c r="B347" i="15"/>
  <c r="B346" i="15"/>
  <c r="B345" i="15"/>
  <c r="B344" i="15"/>
  <c r="B343" i="15"/>
  <c r="B342" i="15"/>
  <c r="B341" i="15"/>
  <c r="B340" i="15"/>
  <c r="B339" i="15"/>
  <c r="B338" i="15"/>
  <c r="B337" i="15"/>
  <c r="B336" i="15"/>
  <c r="B335" i="15"/>
  <c r="B334" i="15"/>
  <c r="B333" i="15"/>
  <c r="B332" i="15"/>
  <c r="B331" i="15"/>
  <c r="B330" i="15"/>
  <c r="B329" i="15"/>
  <c r="B328" i="15"/>
  <c r="B327" i="15"/>
  <c r="B326" i="15"/>
  <c r="B325" i="15"/>
  <c r="B324" i="15"/>
  <c r="B323" i="15"/>
  <c r="B322" i="15"/>
  <c r="B321" i="15"/>
  <c r="B320" i="15"/>
  <c r="B319" i="15"/>
  <c r="B318" i="15"/>
  <c r="B317" i="15"/>
  <c r="B316" i="15"/>
  <c r="B315" i="15"/>
  <c r="B314" i="15"/>
  <c r="B313" i="15"/>
  <c r="B312" i="15"/>
  <c r="B311" i="15"/>
  <c r="B310" i="15"/>
  <c r="B309" i="15"/>
  <c r="B308" i="15"/>
  <c r="B307" i="15"/>
  <c r="B306" i="15"/>
  <c r="B305" i="15"/>
  <c r="B304" i="15"/>
  <c r="B303" i="15"/>
  <c r="B302" i="15"/>
  <c r="B301" i="15"/>
  <c r="B300" i="15"/>
  <c r="B299" i="15"/>
  <c r="B298" i="15"/>
  <c r="B297" i="15"/>
  <c r="B296" i="15"/>
  <c r="B295" i="15"/>
  <c r="B294" i="15"/>
  <c r="B293" i="15"/>
  <c r="B292" i="15"/>
  <c r="B291" i="15"/>
  <c r="B290" i="15"/>
  <c r="B289" i="15"/>
  <c r="B288" i="15"/>
  <c r="B287" i="15"/>
  <c r="B286" i="15"/>
  <c r="B285" i="15"/>
  <c r="B284" i="15"/>
  <c r="B283" i="15"/>
  <c r="B282" i="15"/>
  <c r="B281" i="15"/>
  <c r="B280" i="15"/>
  <c r="B279" i="15"/>
  <c r="B278" i="15"/>
  <c r="B277" i="15"/>
  <c r="B276" i="15"/>
  <c r="B275" i="15"/>
  <c r="B274" i="15"/>
  <c r="B273" i="15"/>
  <c r="B272" i="15"/>
  <c r="B271" i="15"/>
  <c r="B270" i="15"/>
  <c r="B269" i="15"/>
  <c r="B268" i="15"/>
  <c r="B267" i="15"/>
  <c r="B266" i="15"/>
  <c r="B265" i="15"/>
  <c r="B264" i="15"/>
  <c r="B263" i="15"/>
  <c r="B262" i="15"/>
  <c r="B261" i="15"/>
  <c r="B260" i="15"/>
  <c r="B259" i="15"/>
  <c r="B258" i="15"/>
  <c r="B257" i="15"/>
  <c r="B256" i="15"/>
  <c r="B255" i="15"/>
  <c r="B254" i="15"/>
  <c r="B253" i="15"/>
  <c r="B252" i="15"/>
  <c r="B251" i="15"/>
  <c r="B250" i="15"/>
  <c r="B249" i="15"/>
  <c r="B248" i="15"/>
  <c r="B247" i="15"/>
  <c r="B246" i="15"/>
  <c r="B245" i="15"/>
  <c r="B244" i="15"/>
  <c r="B243" i="15"/>
  <c r="B242" i="15"/>
  <c r="B241" i="15"/>
  <c r="B240" i="15"/>
  <c r="B239" i="15"/>
  <c r="B238" i="15"/>
  <c r="B237" i="15"/>
  <c r="B236" i="15"/>
  <c r="B235" i="15"/>
  <c r="B234" i="15"/>
  <c r="B233" i="15"/>
  <c r="B232" i="15"/>
  <c r="B231" i="15"/>
  <c r="B230" i="15"/>
  <c r="B229" i="15"/>
  <c r="B228" i="15"/>
  <c r="B227" i="15"/>
  <c r="B226" i="15"/>
  <c r="B225" i="15"/>
  <c r="B224" i="15"/>
  <c r="B223" i="15"/>
  <c r="B222" i="15"/>
  <c r="B221" i="15"/>
  <c r="B220" i="15"/>
  <c r="B219" i="15"/>
  <c r="B218" i="15"/>
  <c r="B217" i="15"/>
  <c r="B216" i="15"/>
  <c r="B215" i="15"/>
  <c r="B214" i="15"/>
  <c r="B213" i="15"/>
  <c r="B212" i="15"/>
  <c r="B211" i="15"/>
  <c r="B210" i="15"/>
  <c r="B209" i="15"/>
  <c r="B208" i="15"/>
  <c r="B207" i="15"/>
  <c r="B206" i="15"/>
  <c r="B205" i="15"/>
  <c r="B204" i="15"/>
  <c r="B203" i="15"/>
  <c r="B202" i="15"/>
  <c r="B201" i="15"/>
  <c r="B200" i="15"/>
  <c r="B199" i="15"/>
  <c r="B198" i="15"/>
  <c r="B197" i="15"/>
  <c r="B196" i="15"/>
  <c r="B195" i="15"/>
  <c r="B194" i="15"/>
  <c r="B193" i="15"/>
  <c r="B192" i="15"/>
  <c r="B191" i="15"/>
  <c r="B190" i="15"/>
  <c r="B189" i="15"/>
  <c r="B188" i="15"/>
  <c r="B187" i="15"/>
  <c r="B186" i="15"/>
  <c r="B185" i="15"/>
  <c r="B184" i="15"/>
  <c r="B183" i="15"/>
  <c r="B182" i="15"/>
  <c r="B181" i="15"/>
  <c r="B180" i="15"/>
  <c r="B179" i="15"/>
  <c r="B178" i="15"/>
  <c r="B177" i="15"/>
  <c r="B176" i="15"/>
  <c r="B175" i="15"/>
  <c r="B174" i="15"/>
  <c r="B173" i="15"/>
  <c r="B172" i="15"/>
  <c r="B171" i="15"/>
  <c r="B170" i="15"/>
  <c r="B169" i="15"/>
  <c r="B168" i="15"/>
  <c r="B167" i="15"/>
  <c r="B166" i="15"/>
  <c r="B165" i="15"/>
  <c r="B164" i="15"/>
  <c r="B163" i="15"/>
  <c r="B162" i="15"/>
  <c r="B161" i="15"/>
  <c r="B160" i="15"/>
  <c r="B159" i="15"/>
  <c r="B158" i="15"/>
  <c r="B157" i="15"/>
  <c r="B156" i="15"/>
  <c r="B155" i="15"/>
  <c r="B154" i="15"/>
  <c r="B153" i="15"/>
  <c r="B152" i="15"/>
  <c r="B151" i="15"/>
  <c r="B150" i="15"/>
  <c r="B149" i="15"/>
  <c r="B148" i="15"/>
  <c r="B147" i="15"/>
  <c r="B146" i="15"/>
  <c r="B145" i="15"/>
  <c r="B144" i="15"/>
  <c r="B143" i="15"/>
  <c r="B142" i="15"/>
  <c r="B141" i="15"/>
  <c r="B140" i="15"/>
  <c r="B139" i="15"/>
  <c r="B138" i="15"/>
  <c r="B137" i="15"/>
  <c r="B136" i="15"/>
  <c r="B135" i="15"/>
  <c r="B134" i="15"/>
  <c r="B133" i="15"/>
  <c r="B132" i="15"/>
  <c r="B131" i="15"/>
  <c r="B130" i="15"/>
  <c r="B129" i="15"/>
  <c r="B128" i="15"/>
  <c r="B127" i="15"/>
  <c r="B126" i="15"/>
  <c r="B125" i="15"/>
  <c r="B124" i="15"/>
  <c r="B123" i="15"/>
  <c r="B122" i="15"/>
  <c r="B121" i="15"/>
  <c r="B120" i="15"/>
  <c r="B119" i="15"/>
  <c r="B118" i="15"/>
  <c r="B117" i="15"/>
  <c r="B116" i="15"/>
  <c r="B115" i="15"/>
  <c r="B114" i="15"/>
  <c r="B113" i="15"/>
  <c r="B112" i="15"/>
  <c r="B111" i="15"/>
  <c r="B110" i="15"/>
  <c r="B109" i="15"/>
  <c r="B108" i="15"/>
  <c r="B107" i="15"/>
  <c r="B106" i="15"/>
  <c r="B105" i="15"/>
  <c r="B104" i="15"/>
  <c r="B103" i="15"/>
  <c r="B102" i="15"/>
  <c r="B101" i="15"/>
  <c r="B100" i="15"/>
  <c r="B99" i="15"/>
  <c r="B98" i="15"/>
  <c r="B97" i="15"/>
  <c r="B96" i="15"/>
  <c r="B95" i="15"/>
  <c r="B94" i="15"/>
  <c r="B93" i="15"/>
  <c r="B92" i="15"/>
  <c r="B91" i="15"/>
  <c r="B90" i="15"/>
  <c r="B89" i="15"/>
  <c r="B88" i="15"/>
  <c r="B87" i="15"/>
  <c r="B86" i="15"/>
  <c r="B85" i="15"/>
  <c r="B84" i="15"/>
  <c r="B83" i="15"/>
  <c r="B82" i="15"/>
  <c r="B81" i="15"/>
  <c r="B80" i="15"/>
  <c r="B79" i="15"/>
  <c r="B78" i="15"/>
  <c r="B77" i="15"/>
  <c r="B76" i="15"/>
  <c r="B75" i="15"/>
  <c r="B74" i="15"/>
  <c r="B73" i="15"/>
  <c r="B72" i="15"/>
  <c r="B71" i="15"/>
  <c r="B70" i="15"/>
  <c r="B69" i="15"/>
  <c r="B68" i="15"/>
  <c r="B67" i="15"/>
  <c r="B66" i="15"/>
  <c r="B65" i="15"/>
  <c r="B64" i="15"/>
  <c r="B63" i="15"/>
  <c r="B62" i="15"/>
  <c r="B61" i="15"/>
  <c r="B60" i="15"/>
  <c r="B59" i="15"/>
  <c r="B58" i="15"/>
  <c r="B57" i="15"/>
  <c r="B56" i="15"/>
  <c r="B55" i="15"/>
  <c r="B54" i="15"/>
  <c r="B53" i="15"/>
  <c r="B52" i="15"/>
  <c r="B51" i="15"/>
  <c r="B50" i="15"/>
  <c r="B49" i="15"/>
  <c r="B48" i="15"/>
  <c r="B47" i="15"/>
  <c r="B46" i="15"/>
  <c r="B45" i="15"/>
  <c r="B44" i="15"/>
  <c r="B43" i="15"/>
  <c r="B42" i="15"/>
  <c r="B41" i="15"/>
  <c r="B40" i="15"/>
  <c r="B39" i="15"/>
  <c r="B38" i="15"/>
  <c r="B37" i="15"/>
  <c r="B36" i="15"/>
  <c r="B35" i="15"/>
  <c r="B34" i="15"/>
  <c r="B33" i="15"/>
  <c r="B32" i="15"/>
  <c r="B31" i="15"/>
  <c r="B30" i="15"/>
  <c r="B29" i="15"/>
  <c r="B28" i="15"/>
  <c r="B27" i="15"/>
  <c r="B26" i="15"/>
  <c r="B25" i="15"/>
  <c r="B24" i="15"/>
  <c r="B23" i="15"/>
  <c r="B22" i="15"/>
  <c r="B21" i="15"/>
  <c r="B20" i="15"/>
  <c r="B19" i="15"/>
  <c r="B18" i="15"/>
  <c r="B17" i="15"/>
  <c r="B16" i="15"/>
  <c r="B15" i="15"/>
  <c r="B14" i="15"/>
  <c r="B13" i="15"/>
  <c r="B12" i="15"/>
  <c r="B11" i="15"/>
  <c r="B10" i="15"/>
  <c r="B9" i="15"/>
  <c r="B8" i="15"/>
  <c r="B7" i="15"/>
  <c r="B6" i="15"/>
  <c r="B5" i="15"/>
  <c r="B4" i="15"/>
  <c r="B3" i="15"/>
  <c r="B2" i="15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B2" i="7"/>
  <c r="D12" i="18"/>
  <c r="D11" i="18"/>
  <c r="D10" i="18"/>
  <c r="D9" i="18"/>
  <c r="D8" i="18"/>
  <c r="D7" i="18"/>
  <c r="D6" i="18"/>
  <c r="D5" i="18"/>
  <c r="D4" i="18"/>
  <c r="D3" i="18"/>
  <c r="D2" i="18"/>
  <c r="C20" i="16"/>
  <c r="C19" i="16"/>
  <c r="C18" i="16"/>
  <c r="C17" i="16"/>
  <c r="C16" i="16"/>
  <c r="C15" i="16"/>
  <c r="C14" i="16"/>
  <c r="C13" i="16"/>
  <c r="C12" i="16"/>
  <c r="C11" i="16"/>
  <c r="C10" i="16"/>
  <c r="C9" i="16"/>
  <c r="C8" i="16"/>
  <c r="C7" i="16"/>
  <c r="C6" i="16"/>
  <c r="C5" i="16"/>
  <c r="C4" i="16"/>
  <c r="C3" i="16"/>
  <c r="C2" i="16"/>
  <c r="D2" i="12"/>
  <c r="D3" i="12"/>
  <c r="D4" i="12"/>
  <c r="D5" i="12"/>
  <c r="D6" i="12"/>
  <c r="D7" i="12"/>
  <c r="C2" i="12"/>
  <c r="B3" i="12"/>
  <c r="B4" i="12"/>
  <c r="B5" i="12"/>
  <c r="B6" i="12"/>
  <c r="B7" i="12"/>
  <c r="A3" i="12"/>
  <c r="A4" i="12"/>
  <c r="A5" i="12"/>
  <c r="A6" i="12"/>
  <c r="A7" i="12"/>
  <c r="A2" i="12"/>
  <c r="B2" i="12"/>
  <c r="F2" i="11"/>
  <c r="G2" i="11"/>
  <c r="E2" i="11"/>
  <c r="B2" i="11"/>
  <c r="B3" i="11"/>
  <c r="B4" i="11"/>
  <c r="B5" i="11"/>
  <c r="B6" i="11"/>
  <c r="B7" i="11"/>
  <c r="B8" i="11"/>
  <c r="B9" i="11"/>
  <c r="C9" i="11" s="1"/>
  <c r="B10" i="11"/>
  <c r="B11" i="11"/>
  <c r="B12" i="11"/>
  <c r="B13" i="11"/>
  <c r="B14" i="11"/>
  <c r="B15" i="11"/>
  <c r="B16" i="11"/>
  <c r="B17" i="11"/>
  <c r="C17" i="11" s="1"/>
  <c r="B18" i="11"/>
  <c r="B19" i="11"/>
  <c r="B20" i="11"/>
  <c r="B21" i="11"/>
  <c r="B22" i="11"/>
  <c r="B23" i="11"/>
  <c r="B24" i="11"/>
  <c r="B25" i="11"/>
  <c r="C25" i="11" s="1"/>
  <c r="B26" i="11"/>
  <c r="A2" i="11"/>
  <c r="A3" i="11"/>
  <c r="A4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C20" i="11" l="1"/>
  <c r="C12" i="11"/>
  <c r="C4" i="11"/>
  <c r="C3" i="11"/>
  <c r="C21" i="11"/>
  <c r="C13" i="11"/>
  <c r="C5" i="11"/>
  <c r="C8" i="11"/>
  <c r="C24" i="11"/>
  <c r="C22" i="11"/>
  <c r="C14" i="11"/>
  <c r="C6" i="11"/>
  <c r="C16" i="11"/>
  <c r="C26" i="11"/>
  <c r="C18" i="11"/>
  <c r="C10" i="11"/>
  <c r="C19" i="11"/>
  <c r="C11" i="11"/>
  <c r="C23" i="11"/>
  <c r="C15" i="11"/>
  <c r="C7" i="11"/>
  <c r="M2" i="11" l="1"/>
  <c r="M5" i="11" l="1"/>
  <c r="G3" i="11" s="1"/>
  <c r="M4" i="11"/>
  <c r="F3" i="11" s="1"/>
  <c r="M3" i="11"/>
  <c r="E3" i="11" s="1"/>
  <c r="E4" i="11" l="1"/>
  <c r="H3" i="11"/>
  <c r="F4" i="11"/>
  <c r="I3" i="11"/>
  <c r="J3" i="11"/>
  <c r="G4" i="11"/>
  <c r="G5" i="11" l="1"/>
  <c r="J4" i="11"/>
  <c r="F5" i="11"/>
  <c r="I4" i="11"/>
  <c r="E5" i="11"/>
  <c r="H4" i="11"/>
  <c r="E6" i="11" l="1"/>
  <c r="H5" i="11"/>
  <c r="F6" i="11"/>
  <c r="I5" i="11"/>
  <c r="G6" i="11"/>
  <c r="J5" i="11"/>
  <c r="G7" i="11" l="1"/>
  <c r="J6" i="11"/>
  <c r="F7" i="11"/>
  <c r="I6" i="11"/>
  <c r="E7" i="11"/>
  <c r="H6" i="11"/>
  <c r="E8" i="11" l="1"/>
  <c r="H7" i="11"/>
  <c r="F8" i="11"/>
  <c r="I7" i="11"/>
  <c r="G8" i="11"/>
  <c r="J7" i="11"/>
  <c r="G9" i="11" l="1"/>
  <c r="J8" i="11"/>
  <c r="F9" i="11"/>
  <c r="I8" i="11"/>
  <c r="E9" i="11"/>
  <c r="H8" i="11"/>
  <c r="E10" i="11" l="1"/>
  <c r="H9" i="11"/>
  <c r="F10" i="11"/>
  <c r="I9" i="11"/>
  <c r="G10" i="11"/>
  <c r="J9" i="11"/>
  <c r="G11" i="11" l="1"/>
  <c r="J10" i="11"/>
  <c r="F11" i="11"/>
  <c r="I10" i="11"/>
  <c r="E11" i="11"/>
  <c r="H10" i="11"/>
  <c r="E12" i="11" l="1"/>
  <c r="H11" i="11"/>
  <c r="F12" i="11"/>
  <c r="I11" i="11"/>
  <c r="G12" i="11"/>
  <c r="J11" i="11"/>
  <c r="G13" i="11" l="1"/>
  <c r="J12" i="11"/>
  <c r="F13" i="11"/>
  <c r="I12" i="11"/>
  <c r="E13" i="11"/>
  <c r="H12" i="11"/>
  <c r="E14" i="11" l="1"/>
  <c r="H13" i="11"/>
  <c r="F14" i="11"/>
  <c r="I13" i="11"/>
  <c r="G14" i="11"/>
  <c r="J13" i="11"/>
  <c r="G15" i="11" l="1"/>
  <c r="J14" i="11"/>
  <c r="F15" i="11"/>
  <c r="I14" i="11"/>
  <c r="E15" i="11"/>
  <c r="H14" i="11"/>
  <c r="E16" i="11" l="1"/>
  <c r="H15" i="11"/>
  <c r="F16" i="11"/>
  <c r="I15" i="11"/>
  <c r="G16" i="11"/>
  <c r="J15" i="11"/>
  <c r="G17" i="11" l="1"/>
  <c r="J16" i="11"/>
  <c r="F17" i="11"/>
  <c r="I16" i="11"/>
  <c r="E17" i="11"/>
  <c r="H16" i="11"/>
  <c r="E18" i="11" l="1"/>
  <c r="H17" i="11"/>
  <c r="F18" i="11"/>
  <c r="I17" i="11"/>
  <c r="G18" i="11"/>
  <c r="J17" i="11"/>
  <c r="G19" i="11" l="1"/>
  <c r="J18" i="11"/>
  <c r="F19" i="11"/>
  <c r="I18" i="11"/>
  <c r="E19" i="11"/>
  <c r="H18" i="11"/>
  <c r="E20" i="11" l="1"/>
  <c r="H19" i="11"/>
  <c r="F20" i="11"/>
  <c r="I19" i="11"/>
  <c r="G20" i="11"/>
  <c r="J19" i="11"/>
  <c r="G21" i="11" l="1"/>
  <c r="J20" i="11"/>
  <c r="F21" i="11"/>
  <c r="I20" i="11"/>
  <c r="E21" i="11"/>
  <c r="H20" i="11"/>
  <c r="E22" i="11" l="1"/>
  <c r="H21" i="11"/>
  <c r="F22" i="11"/>
  <c r="I21" i="11"/>
  <c r="G22" i="11"/>
  <c r="J21" i="11"/>
  <c r="G23" i="11" l="1"/>
  <c r="J22" i="11"/>
  <c r="F23" i="11"/>
  <c r="I22" i="11"/>
  <c r="E23" i="11"/>
  <c r="H22" i="11"/>
  <c r="E24" i="11" l="1"/>
  <c r="H23" i="11"/>
  <c r="F24" i="11"/>
  <c r="I23" i="11"/>
  <c r="G24" i="11"/>
  <c r="J23" i="11"/>
  <c r="G25" i="11" l="1"/>
  <c r="J24" i="11"/>
  <c r="F25" i="11"/>
  <c r="I24" i="11"/>
  <c r="E25" i="11"/>
  <c r="H24" i="11"/>
  <c r="E26" i="11" l="1"/>
  <c r="H26" i="11" s="1"/>
  <c r="H25" i="11"/>
  <c r="F26" i="11"/>
  <c r="I26" i="11" s="1"/>
  <c r="I25" i="11"/>
  <c r="G26" i="11"/>
  <c r="J26" i="11" s="1"/>
  <c r="J25" i="11"/>
  <c r="G3" i="12" l="1"/>
  <c r="J3" i="12" s="1"/>
  <c r="G4" i="12"/>
  <c r="J4" i="12" s="1"/>
  <c r="G7" i="12"/>
  <c r="J7" i="12" s="1"/>
  <c r="G2" i="12"/>
  <c r="J2" i="12" s="1"/>
  <c r="G5" i="12"/>
  <c r="J5" i="12" s="1"/>
  <c r="G6" i="12"/>
  <c r="J6" i="12" s="1"/>
  <c r="F5" i="12"/>
  <c r="I5" i="12" s="1"/>
  <c r="F6" i="12"/>
  <c r="I6" i="12" s="1"/>
  <c r="F7" i="12"/>
  <c r="I7" i="12" s="1"/>
  <c r="F2" i="12"/>
  <c r="I2" i="12" s="1"/>
  <c r="F3" i="12"/>
  <c r="I3" i="12" s="1"/>
  <c r="F4" i="12"/>
  <c r="I4" i="12" s="1"/>
  <c r="E7" i="12"/>
  <c r="H7" i="12" s="1"/>
  <c r="E4" i="12"/>
  <c r="H4" i="12" s="1"/>
  <c r="E2" i="12"/>
  <c r="H2" i="12" s="1"/>
  <c r="E3" i="12"/>
  <c r="H3" i="12" s="1"/>
  <c r="E6" i="12"/>
  <c r="H6" i="12" s="1"/>
  <c r="E5" i="12"/>
  <c r="H5" i="12" s="1"/>
  <c r="L5" i="12" l="1"/>
  <c r="K5" i="12"/>
  <c r="K3" i="12"/>
  <c r="L3" i="12"/>
  <c r="K2" i="12"/>
  <c r="L2" i="12"/>
  <c r="I8" i="12"/>
  <c r="H8" i="12"/>
  <c r="K7" i="12"/>
  <c r="L7" i="12"/>
  <c r="J8" i="12"/>
  <c r="K4" i="12"/>
  <c r="L4" i="12"/>
  <c r="K6" i="12"/>
  <c r="L6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96D4F5-CF3E-4D7E-8DFD-6C6A91C0CAD9}" keepAlive="1" name="Query - Country Comparison" description="Connection to the 'Country Comparison' query in the workbook." type="5" refreshedVersion="8" background="1" saveData="1">
    <dbPr connection="Provider=Microsoft.Mashup.OleDb.1;Data Source=$Workbook$;Location=&quot;Country Comparison&quot;;Extended Properties=&quot;&quot;" command="SELECT * FROM [Country Comparison]"/>
  </connection>
  <connection id="2" xr16:uid="{69C93236-AAB5-4A43-84C4-5FEB6E1117CB}" keepAlive="1" name="Query - Fee_Breakout" description="Connection to the 'Fee_Breakout' query in the workbook." type="5" refreshedVersion="8" background="1" saveData="1">
    <dbPr connection="Provider=Microsoft.Mashup.OleDb.1;Data Source=$Workbook$;Location=Fee_Breakout;Extended Properties=&quot;&quot;" command="SELECT * FROM [Fee_Breakout]"/>
  </connection>
  <connection id="3" xr16:uid="{DB291867-021C-47F8-8C4E-0A18C277176C}" keepAlive="1" name="Query - ME&amp;A forecast" description="Connection to the 'ME&amp;A forecast' query in the workbook." type="5" refreshedVersion="8" background="1" saveData="1">
    <dbPr connection="Provider=Microsoft.Mashup.OleDb.1;Data Source=$Workbook$;Location=&quot;ME&amp;A forecast&quot;;Extended Properties=&quot;&quot;" command="SELECT * FROM [ME&amp;A forecast]"/>
  </connection>
  <connection id="4" xr16:uid="{DAFAF987-4608-4C9E-A236-C76953BD0FA8}" keepAlive="1" name="Query - PC_Segment" description="Connection to the 'PC_Segment' query in the workbook." type="5" refreshedVersion="8" background="1" saveData="1">
    <dbPr connection="Provider=Microsoft.Mashup.OleDb.1;Data Source=$Workbook$;Location=PC_Segment;Extended Properties=&quot;&quot;" command="SELECT * FROM [PC_Segment]"/>
  </connection>
  <connection id="5" xr16:uid="{5809C479-FAD1-4D9A-B222-F3D38164CB2D}" keepAlive="1" name="Query - PSD2-PSD3 Data Log" description="Connection to the 'PSD2-PSD3 Data Log' query in the workbook." type="5" refreshedVersion="8" background="1" saveData="1">
    <dbPr connection="Provider=Microsoft.Mashup.OleDb.1;Data Source=$Workbook$;Location=&quot;PSD2-PSD3 Data Log&quot;;Extended Properties=&quot;&quot;" command="SELECT * FROM [PSD2-PSD3 Data Log]"/>
  </connection>
  <connection id="6" xr16:uid="{AD8BA89F-B7CD-401C-8108-75F5F7A07899}" keepAlive="1" name="Query - Raw_AU_API_Invocations" description="Connection to the 'Raw_AU_API_Invocations' query in the workbook." type="5" refreshedVersion="8" background="1" saveData="1">
    <dbPr connection="Provider=Microsoft.Mashup.OleDb.1;Data Source=$Workbook$;Location=Raw_AU_API_Invocations;Extended Properties=&quot;&quot;" command="SELECT * FROM [Raw_AU_API_Invocations]"/>
  </connection>
  <connection id="7" xr16:uid="{238B9794-3932-4E2E-B9EF-267C97ADC316}" keepAlive="1" name="Query - Raw_AU_Authorisations" description="Connection to the 'Raw_AU_Authorisations' query in the workbook." type="5" refreshedVersion="8" background="1" saveData="1">
    <dbPr connection="Provider=Microsoft.Mashup.OleDb.1;Data Source=$Workbook$;Location=Raw_AU_Authorisations;Extended Properties=&quot;&quot;" command="SELECT * FROM [Raw_AU_Authorisations]"/>
  </connection>
  <connection id="8" xr16:uid="{3C7A40A7-999E-4EE5-9311-641F0139748D}" keepAlive="1" name="Query - Raw_AU_Availability" description="Connection to the 'Raw_AU_Availability' query in the workbook." type="5" refreshedVersion="8" background="1" saveData="1">
    <dbPr connection="Provider=Microsoft.Mashup.OleDb.1;Data Source=$Workbook$;Location=Raw_AU_Availability;Extended Properties=&quot;&quot;" command="SELECT * FROM [Raw_AU_Availability]"/>
  </connection>
  <connection id="9" xr16:uid="{55E2E3E1-00DC-424B-A00F-4EB555D119E5}" keepAlive="1" name="Query - Raw_Canada_Baseline" description="Connection to the 'Raw_Canada_Baseline' query in the workbook." type="5" refreshedVersion="8" background="1" saveData="1">
    <dbPr connection="Provider=Microsoft.Mashup.OleDb.1;Data Source=$Workbook$;Location=Raw_Canada_Baseline;Extended Properties=&quot;&quot;" command="SELECT * FROM [Raw_Canada_Baseline]"/>
  </connection>
  <connection id="10" xr16:uid="{84A51BE6-B29D-49A6-A0FE-1EE0262A8F3E}" keepAlive="1" name="Query - Raw_India_AA" description="Connection to the 'Raw_India_AA' query in the workbook." type="5" refreshedVersion="8" background="1" saveData="1">
    <dbPr connection="Provider=Microsoft.Mashup.OleDb.1;Data Source=$Workbook$;Location=Raw_India_AA;Extended Properties=&quot;&quot;" command="SELECT * FROM [Raw_India_AA]"/>
  </connection>
  <connection id="11" xr16:uid="{C7190987-E4C0-4A1F-989C-8091BEBFAEF3}" keepAlive="1" name="Query - Raw_UK_API_Data" description="Connection to the 'Raw_UK_API_Data' query in the workbook." type="5" refreshedVersion="8" background="1" saveData="1">
    <dbPr connection="Provider=Microsoft.Mashup.OleDb.1;Data Source=$Workbook$;Location=Raw_UK_API_Data;Extended Properties=&quot;&quot;" command="SELECT * FROM [Raw_UK_API_Data]"/>
  </connection>
  <connection id="12" xr16:uid="{80A97F2E-1D4D-48FD-AFF4-980D49E4B5A2}" keepAlive="1" name="Query - Raw_US_Adoption" description="Connection to the 'Raw_US_Adoption' query in the workbook." type="5" refreshedVersion="8" background="1" saveData="1">
    <dbPr connection="Provider=Microsoft.Mashup.OleDb.1;Data Source=$Workbook$;Location=Raw_US_Adoption;Extended Properties=&quot;&quot;" command="SELECT * FROM [Raw_US_Adoption]"/>
  </connection>
  <connection id="13" xr16:uid="{C02D0F8F-6C27-4247-B039-B06966548A19}" keepAlive="1" name="Query - README" description="Connection to the 'README' query in the workbook." type="5" refreshedVersion="8" background="1" saveData="1">
    <dbPr connection="Provider=Microsoft.Mashup.OleDb.1;Data Source=$Workbook$;Location=README;Extended Properties=&quot;&quot;" command="SELECT * FROM [README]"/>
  </connection>
  <connection id="14" xr16:uid="{D5B2F41D-CEE8-4B35-B4BC-465FDF737E49}" keepAlive="1" name="Query - Regulation by Country" description="Connection to the 'Regulation by Country' query in the workbook." type="5" refreshedVersion="8" background="1" saveData="1">
    <dbPr connection="Provider=Microsoft.Mashup.OleDb.1;Data Source=$Workbook$;Location=&quot;Regulation by Country&quot;;Extended Properties=&quot;&quot;" command="SELECT * FROM [Regulation by Country]"/>
  </connection>
  <connection id="15" xr16:uid="{776D8413-C38E-4948-9303-94700F88F2BE}" keepAlive="1" name="Query - Regulatory Timeline" description="Connection to the 'Regulatory Timeline' query in the workbook." type="5" refreshedVersion="8" background="1" saveData="1">
    <dbPr connection="Provider=Microsoft.Mashup.OleDb.1;Data Source=$Workbook$;Location=&quot;Regulatory Timeline&quot;;Extended Properties=&quot;&quot;" command="SELECT * FROM [Regulatory Timeline]"/>
  </connection>
  <connection id="16" xr16:uid="{952C7CC1-5CEC-4906-A32C-2E5E12180BC4}" keepAlive="1" name="Query - Total_Bank" description="Connection to the 'Total_Bank' query in the workbook." type="5" refreshedVersion="8" background="1" saveData="1">
    <dbPr connection="Provider=Microsoft.Mashup.OleDb.1;Data Source=$Workbook$;Location=Total_Bank;Extended Properties=&quot;&quot;" command="SELECT * FROM [Total_Bank]"/>
  </connection>
</connections>
</file>

<file path=xl/sharedStrings.xml><?xml version="1.0" encoding="utf-8"?>
<sst xmlns="http://schemas.openxmlformats.org/spreadsheetml/2006/main" count="1207" uniqueCount="417">
  <si>
    <t>Bank</t>
  </si>
  <si>
    <t>Fee Category</t>
  </si>
  <si>
    <t>FY25 ($M)</t>
  </si>
  <si>
    <t>FY24 ($M)</t>
  </si>
  <si>
    <t>Scope</t>
  </si>
  <si>
    <t>Notes</t>
  </si>
  <si>
    <t>RBC</t>
  </si>
  <si>
    <t>Service charges</t>
  </si>
  <si>
    <t>Total bank</t>
  </si>
  <si>
    <t>Not broken out by segment in MD&amp;A summary; best available granularity</t>
  </si>
  <si>
    <t>Card service revenue</t>
  </si>
  <si>
    <t>Interchange revenue + annual card fees</t>
  </si>
  <si>
    <t>National Bank</t>
  </si>
  <si>
    <t>Payment Solutions (% of P&amp;C segment revenue)</t>
  </si>
  <si>
    <t>9% (~$500)</t>
  </si>
  <si>
    <t>11% (2024 %)</t>
  </si>
  <si>
    <t>Personal &amp; Commercial segment only</t>
  </si>
  <si>
    <t>Estimated $ = 9% x $5,551M segment revenue. Best segment-level payments figure found across all six banks</t>
  </si>
  <si>
    <t>Retail (% of P&amp;C segment revenue)</t>
  </si>
  <si>
    <t>50%</t>
  </si>
  <si>
    <t>41% (2024)</t>
  </si>
  <si>
    <t>Retail banking share of segment revenue</t>
  </si>
  <si>
    <t>TD, BMO, CIBC, Scotiabank</t>
  </si>
  <si>
    <t>Card/payment fee detail</t>
  </si>
  <si>
    <t>Not separately disclosed</t>
  </si>
  <si>
    <t>-</t>
  </si>
  <si>
    <t>These four banks did not break out card/payment fee revenue at the granularity RBC and National Bank did, in the sections reviewed. Check the Notes to Consolidated Financial Statements (search 'Non-Interest Income' as a note heading) for a more granular breakdown if needed for the model.</t>
  </si>
  <si>
    <t>Segment Name (as reported)</t>
  </si>
  <si>
    <t>Segment NII FY25 ($M)</t>
  </si>
  <si>
    <t>Segment Non-Interest Income FY25 ($M)</t>
  </si>
  <si>
    <t>Segment Total Revenue FY25 ($M)</t>
  </si>
  <si>
    <t>Segment Total Revenue FY24 ($M)</t>
  </si>
  <si>
    <t>Segment Net Income FY25 ($M)</t>
  </si>
  <si>
    <t>Segment Net Income FY24 ($M)</t>
  </si>
  <si>
    <t>% of Total Bank Net Income</t>
  </si>
  <si>
    <t>Personal Banking</t>
  </si>
  <si>
    <t>94% of revenue from Canada, 6% Caribbean &amp; U.S. NII/Non-II split not separately disclosed at segment level. ~15M Canadian clients. Add RBC 'Commercial Banking' (net income $3,020M FY25) for a full P&amp;C-equivalent view.</t>
  </si>
  <si>
    <t>TD</t>
  </si>
  <si>
    <t>Canadian Personal and Commercial Banking</t>
  </si>
  <si>
    <t>1,051 Canadian retail branches at period end</t>
  </si>
  <si>
    <t>BMO</t>
  </si>
  <si>
    <t>Canadian P&amp;C</t>
  </si>
  <si>
    <t>Combines Personal &amp; Business Banking + Commercial Banking lines of business</t>
  </si>
  <si>
    <t>CIBC</t>
  </si>
  <si>
    <t>Canadian Personal and Business Banking</t>
  </si>
  <si>
    <t>Revenue rounded to nearest $0.1B as disclosed (chart format); NII/Non-II split not separately broken out in MD&amp;A summary</t>
  </si>
  <si>
    <t>Scotiabank (BNS)</t>
  </si>
  <si>
    <t>Canadian Banking</t>
  </si>
  <si>
    <t>Reported basis (bank also discloses Adjusted basis with near-identical figures)</t>
  </si>
  <si>
    <t>Personal and Commercial</t>
  </si>
  <si>
    <t>Serves ~3M individuals and 173,000+ businesses. Revenue mix: Retail 50%, Commercial Banking 38%, Payment Solutions 9%, Insurance 3%</t>
  </si>
  <si>
    <t>Metric</t>
  </si>
  <si>
    <t>Value</t>
  </si>
  <si>
    <t>Unit</t>
  </si>
  <si>
    <t>As-Of Date</t>
  </si>
  <si>
    <t>Date Retrieved</t>
  </si>
  <si>
    <t>Source Name</t>
  </si>
  <si>
    <t>URL</t>
  </si>
  <si>
    <t>Status</t>
  </si>
  <si>
    <t>Screen-scraping user base (at-risk population)</t>
  </si>
  <si>
    <t>people</t>
  </si>
  <si>
    <t>2025 (Dept. of Finance estimate)</t>
  </si>
  <si>
    <t>DLA Piper / Dept. of Finance</t>
  </si>
  <si>
    <t>https://www.dlapiper.com/en-pl/insights/publications/2026/04/the-new-consumer-driven-banking-act-explained</t>
  </si>
  <si>
    <t>Pulled</t>
  </si>
  <si>
    <t>Baseline population that CDBA is designed to migrate to secure APIs; use as denominator for Canada adoption forecast</t>
  </si>
  <si>
    <t>CDBA Royal Assent date</t>
  </si>
  <si>
    <t>2026-03-26</t>
  </si>
  <si>
    <t>date</t>
  </si>
  <si>
    <t>DLA Piper</t>
  </si>
  <si>
    <t>Bill C-15; establishes the Consumer-Driven Banking Act</t>
  </si>
  <si>
    <t>Phase 1 (read access) target</t>
  </si>
  <si>
    <t>2026</t>
  </si>
  <si>
    <t>year</t>
  </si>
  <si>
    <t>Open Banking Tracker</t>
  </si>
  <si>
    <t>https://www.openbankingtracker.com/blog/open-banking-canada-what-is-coming-in-2026-and-2027</t>
  </si>
  <si>
    <t>Needs Verification</t>
  </si>
  <si>
    <t>Exact date not yet confirmed by Bank of Canada as of March 2026</t>
  </si>
  <si>
    <t>Phase 2 (write access/payments) target</t>
  </si>
  <si>
    <t>2027-mid</t>
  </si>
  <si>
    <t>mid-2027</t>
  </si>
  <si>
    <t>Open Banking Tracker / DLA Piper</t>
  </si>
  <si>
    <t>Contingent on Real-Time Rail being live and in widespread use</t>
  </si>
  <si>
    <t>Implementation budget (Bank of Canada)</t>
  </si>
  <si>
    <t>CAD</t>
  </si>
  <si>
    <t>Budget 2025</t>
  </si>
  <si>
    <t>Over 2 years; ~CAD 5M/year admin cost thereafter</t>
  </si>
  <si>
    <t>Est. consumer savings from data portability (insurance analogy)</t>
  </si>
  <si>
    <t>1.1-3.8 billion</t>
  </si>
  <si>
    <t>CAD/year</t>
  </si>
  <si>
    <t>Competition Bureau research</t>
  </si>
  <si>
    <t>Open Banking Tracker (citing Competition Bureau)</t>
  </si>
  <si>
    <t>Used as an analogy/proxy - not a direct open-banking-in-banking estimate</t>
  </si>
  <si>
    <t>Cor.Connect joint venture (TD/RBC/BMO)</t>
  </si>
  <si>
    <t>Qualitative flag</t>
  </si>
  <si>
    <t>entity</t>
  </si>
  <si>
    <t>ongoing</t>
  </si>
  <si>
    <t>The Logic</t>
  </si>
  <si>
    <t>https://thelogic.co/news/exclusive/symcor-open-banking-software/</t>
  </si>
  <si>
    <t>Platform controlling how open banking data flows to third parties; testing since summer 2023; fintechs lobbying against exclusivity. Relevant to Phase 5 (competitive/strategic layer)</t>
  </si>
  <si>
    <t>Column1</t>
  </si>
  <si>
    <t>Column2</t>
  </si>
  <si>
    <t>Raw_Bank_Financials — Big Six FY2025 Annual Report Data</t>
  </si>
  <si>
    <t>All figures FY2025 (year ended Oct 31, 2025) unless noted. Source: each bank's FY2025 Annual Report (as uploaded).</t>
  </si>
  <si>
    <t>Tab: Total_Bank</t>
  </si>
  <si>
    <t>Whole-bank figures — total assets, total revenue, net income. Sizing/context reference.</t>
  </si>
  <si>
    <t>Tab: PC_Segment</t>
  </si>
  <si>
    <t>The retail/commercial segment exposed to open banking disruption. Segment names differ by bank (see Notes column) but all represent Canadian personal + commercial/business banking.</t>
  </si>
  <si>
    <t>Tab: Fee_Breakout</t>
  </si>
  <si>
    <t>Card/payment/service-charge fee detail where disclosed. This is your best proxy for 'revenue at risk' from fintech disintermediation — not all banks disclose this at the same granularity.</t>
  </si>
  <si>
    <t>Segment naming caveat</t>
  </si>
  <si>
    <t>RBC reports 'Personal Banking' and 'Commercial Banking' as SEPARATE segments (not combined P&amp;C like the other five banks). For an apples-to-apples P&amp;C comparison, sum RBC's Personal Banking + Commercial Banking net income.</t>
  </si>
  <si>
    <t>BMO fiscal note</t>
  </si>
  <si>
    <t>BMO segment table labelled 'Canadian P&amp;C' includes both Personal &amp; Business Banking and Commercial Banking lines of business combined.</t>
  </si>
  <si>
    <t>Total Assets FY25 ($M CAD)</t>
  </si>
  <si>
    <t>Total Revenue FY25 ($M)</t>
  </si>
  <si>
    <t>Total Revenue FY24 ($M)</t>
  </si>
  <si>
    <t>Net Income FY25 ($M)</t>
  </si>
  <si>
    <t>Net Income FY24 ($M)</t>
  </si>
  <si>
    <t>Source File</t>
  </si>
  <si>
    <t>Annual_Report_2025_e.pdf</t>
  </si>
  <si>
    <t>Fiscal year ended Oct 31, 2025</t>
  </si>
  <si>
    <t>2025-annual-report-en_Updated.pdf</t>
  </si>
  <si>
    <t>FY24 net income reflects one-off items (BSA/AML charge); FY25 includes Schwab sale gain</t>
  </si>
  <si>
    <t>2025_Annual_Report_English_SEDAR_Dec_16.pdf</t>
  </si>
  <si>
    <t>208th Annual Report</t>
  </si>
  <si>
    <t>CIBC_2025_Annual_Report_en.pdf</t>
  </si>
  <si>
    <t>BNS_AR25_Eng.pdf</t>
  </si>
  <si>
    <t>Reported basis; bank also discloses an 'Adjusted' basis with revenue $37,731M</t>
  </si>
  <si>
    <t>2025_Annual_Report_Eng.pdf</t>
  </si>
  <si>
    <t>Total assets up 25% YoY, driven by CWB (Canadian Western Bank) acquisition</t>
  </si>
  <si>
    <t># of API Calls Successful</t>
  </si>
  <si>
    <t># of API Calls Successful - AIS</t>
  </si>
  <si>
    <t># of API Calls Successful - PIS</t>
  </si>
  <si>
    <t># of API Calls Successful - COF</t>
  </si>
  <si>
    <t># of Non VRP Domestic Payments Successful</t>
  </si>
  <si>
    <t>Vol VRP Payment Succeeded</t>
  </si>
  <si>
    <t># of API Calls Failed</t>
  </si>
  <si>
    <t># of API Calls failed for Business Reasons</t>
  </si>
  <si>
    <t>% of API Calls failed for Business Reasons</t>
  </si>
  <si>
    <t># of API Calls failed for Technical Reasons</t>
  </si>
  <si>
    <t>% of API Calls failed for Technical Reasons</t>
  </si>
  <si>
    <t># of API Calls with Rejected Status</t>
  </si>
  <si>
    <t>% of API Calls with Rejected Status</t>
  </si>
  <si>
    <t>API Response Time</t>
  </si>
  <si>
    <t>Availability %</t>
  </si>
  <si>
    <t>Availability % - AIS</t>
  </si>
  <si>
    <t>Availability % - PIS</t>
  </si>
  <si>
    <t>Availability % - Weighted</t>
  </si>
  <si>
    <t>Availability % - Weighted - AIS</t>
  </si>
  <si>
    <t>Availability % - Weighted - PIS</t>
  </si>
  <si>
    <t>Geography</t>
  </si>
  <si>
    <t>Licensed EU banks PSD2-compliant</t>
  </si>
  <si>
    <t>94%</t>
  </si>
  <si>
    <t>%</t>
  </si>
  <si>
    <t>EU-wide</t>
  </si>
  <si>
    <t>2025</t>
  </si>
  <si>
    <t>CoinLaw / SQ Magazine</t>
  </si>
  <si>
    <t>https://coinlaw.io/open-banking-adoption-statistics/</t>
  </si>
  <si>
    <t>Widely repeated figure across secondary sources; no single primary source found. Treat as a citable industry consensus stat, not an official EBA figure.</t>
  </si>
  <si>
    <t>Europe's share of global open banking revenue</t>
  </si>
  <si>
    <t>36.4%</t>
  </si>
  <si>
    <t>2024</t>
  </si>
  <si>
    <t>SQ Magazine</t>
  </si>
  <si>
    <t>https://sqmagazine.co.uk/open-banking-adoption-statistics/</t>
  </si>
  <si>
    <t>Secondary aggregator source</t>
  </si>
  <si>
    <t>PSD2 adoption (legislative)</t>
  </si>
  <si>
    <t>2015</t>
  </si>
  <si>
    <t>Konsentus</t>
  </si>
  <si>
    <t>https://www.konsentus.com/the-unfinished-story-of-european-open-banking/</t>
  </si>
  <si>
    <t>Directive adopted by the EU</t>
  </si>
  <si>
    <t>PSD2 implementation (in force)</t>
  </si>
  <si>
    <t>2018</t>
  </si>
  <si>
    <t>XS2A (access-to-account) clause is the key open banking provision</t>
  </si>
  <si>
    <t>PSD3 status</t>
  </si>
  <si>
    <t>Finalizing</t>
  </si>
  <si>
    <t>status</t>
  </si>
  <si>
    <t>Spark</t>
  </si>
  <si>
    <t>https://www.spark.money/research/open-banking-global-state</t>
  </si>
  <si>
    <t>EU reported to be finalizing PSD3 in 2026 - confirm exact stage (trilogue/vote) before citing as fact</t>
  </si>
  <si>
    <t>No single EU reporting body</t>
  </si>
  <si>
    <t>N/A - qualitative</t>
  </si>
  <si>
    <t>flag</t>
  </si>
  <si>
    <t>Key caveat: cite this explicitly when presenting EU stats to explain absence of a clean adoption curve</t>
  </si>
  <si>
    <t>EBA Register of Payment Institutions</t>
  </si>
  <si>
    <t>Live register (count not yet pulled)</t>
  </si>
  <si>
    <t>count</t>
  </si>
  <si>
    <t>current</t>
  </si>
  <si>
    <t>EBA</t>
  </si>
  <si>
    <t>https://www.eba.europa.eu/registers/payment-institutions-register</t>
  </si>
  <si>
    <t>Not Started</t>
  </si>
  <si>
    <t>Closest thing to an official EBA number - closest proxy for licensed TPP count; check for CSV export on page</t>
  </si>
  <si>
    <t>UK active open banking users (external benchmark)</t>
  </si>
  <si>
    <t>13.3</t>
  </si>
  <si>
    <t>million</t>
  </si>
  <si>
    <t>UK</t>
  </si>
  <si>
    <t>2025-03</t>
  </si>
  <si>
    <t>Noda (citing Yapily/OBL)</t>
  </si>
  <si>
    <t>https://noda.live/articles/open-banking-in-europe</t>
  </si>
  <si>
    <t>Used as external comparator, not an EU figure; cross-check against your Phase 2 UK CSV data</t>
  </si>
  <si>
    <t>Year</t>
  </si>
  <si>
    <t>Milestone</t>
  </si>
  <si>
    <t>Detail</t>
  </si>
  <si>
    <t>Source</t>
  </si>
  <si>
    <t>PSD2 adopted</t>
  </si>
  <si>
    <t>Second Payment Services Directive adopted by the EU</t>
  </si>
  <si>
    <t>PSD2 in force</t>
  </si>
  <si>
    <t>PSD2 implemented across member states; XS2A (access-to-account) clause requires banks to grant licensed TPPs access to account data/payments with customer consent</t>
  </si>
  <si>
    <t>EBA technical standards</t>
  </si>
  <si>
    <t>EBA creates Strong Customer Authentication (SCA) and secure API technical standards to operationalize PSD2</t>
  </si>
  <si>
    <t>PSD3 finalization</t>
  </si>
  <si>
    <t>EU reported to be finalizing PSD3 (successor directive, alongside PSR - Payment Services Regulation)</t>
  </si>
  <si>
    <t>Spark / Kontomatik</t>
  </si>
  <si>
    <t>Column3</t>
  </si>
  <si>
    <t>Column4</t>
  </si>
  <si>
    <t>Column5</t>
  </si>
  <si>
    <t>Country</t>
  </si>
  <si>
    <t>Open Banking Users / Stat</t>
  </si>
  <si>
    <t>13.3 million active users (up from 1 million in 2020)</t>
  </si>
  <si>
    <t>Not an EU member post-Brexit but retained PSD2-derived Open Banking Standard; use as external mandated-regime benchmark</t>
  </si>
  <si>
    <t>Noda (citing Yapily/OBL report)</t>
  </si>
  <si>
    <t>Germany</t>
  </si>
  <si>
    <t>Ranked 2nd in EU adoption per Yapily 2025 report</t>
  </si>
  <si>
    <t>Exact user count not yet sourced - follow up</t>
  </si>
  <si>
    <t>Noda (citing Yapily)</t>
  </si>
  <si>
    <t>Sweden</t>
  </si>
  <si>
    <t>Highest penetration rate forecast in EU by 2027 (Forrester)</t>
  </si>
  <si>
    <t>2027 (forecast)</t>
  </si>
  <si>
    <t>Penetration rate, not raw user count</t>
  </si>
  <si>
    <t>Kontomatik (citing Forrester)</t>
  </si>
  <si>
    <t>France</t>
  </si>
  <si>
    <t>Ranked in top 4 EU adoption per Yapily 2025 report</t>
  </si>
  <si>
    <t>Months</t>
  </si>
  <si>
    <t>UK API Calls (actual)</t>
  </si>
  <si>
    <t xml:space="preserve">UK MoM Growth % </t>
  </si>
  <si>
    <t xml:space="preserve"> Canada Month</t>
  </si>
  <si>
    <t>Canada — Conservative</t>
  </si>
  <si>
    <t>Canada — Base</t>
  </si>
  <si>
    <t>Canada — Optimistic</t>
  </si>
  <si>
    <t>Cons. as % of 9M</t>
  </si>
  <si>
    <t>Base as % of 9M</t>
  </si>
  <si>
    <t>Opt. as % of 9M</t>
  </si>
  <si>
    <t>Month 0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</si>
  <si>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</si>
  <si>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</si>
  <si>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</si>
  <si>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</si>
  <si>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</si>
  <si>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</si>
  <si>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</si>
  <si>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</si>
  <si>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</si>
  <si>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</si>
  <si>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</si>
  <si>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</si>
  <si>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Month 13</t>
  </si>
  <si>
    <t>Month 14</t>
  </si>
  <si>
    <t>Month 15</t>
  </si>
  <si>
    <t>Month 16</t>
  </si>
  <si>
    <t>Month 17</t>
  </si>
  <si>
    <t>Month 18</t>
  </si>
  <si>
    <t>Month 19</t>
  </si>
  <si>
    <t>Month 20</t>
  </si>
  <si>
    <t>Month 21</t>
  </si>
  <si>
    <t>Month 22</t>
  </si>
  <si>
    <t>Month 23</t>
  </si>
  <si>
    <t>Month 24</t>
  </si>
  <si>
    <t>Average of % growth by UK</t>
  </si>
  <si>
    <t>Base</t>
  </si>
  <si>
    <t>Conservative</t>
  </si>
  <si>
    <t>Canada tracks UK's pace — both are mandated regimes</t>
  </si>
  <si>
    <t>Canada grows 70% as fast — US-style slower adoption</t>
  </si>
  <si>
    <t>Optimistic</t>
  </si>
  <si>
    <t>Canada grows faster — starts with 9M people already primed via screen-scraping, unlike UK's cold start</t>
  </si>
  <si>
    <t>Segment Revenue FY25 ($M)</t>
  </si>
  <si>
    <t xml:space="preserve">Exposed Revenue Share (%) </t>
  </si>
  <si>
    <t>Exposed Revenue Base ($M)</t>
  </si>
  <si>
    <t>Adoption % — Conservative</t>
  </si>
  <si>
    <t>Adoption % — Base</t>
  </si>
  <si>
    <t>Adoption % — Optimistic</t>
  </si>
  <si>
    <t>Revenue at Risk — Conservative ($M)</t>
  </si>
  <si>
    <t>Revenue at Risk — Base ($M)</t>
  </si>
  <si>
    <t>Revenue at Risk — Optimistic ($M)</t>
  </si>
  <si>
    <t>Big Six aggregate revenue-at-risk</t>
  </si>
  <si>
    <t>Base Case Risk as % of Segment Revenue</t>
  </si>
  <si>
    <t>Rank (Most Exposed = 1)</t>
  </si>
  <si>
    <t>Target Date</t>
  </si>
  <si>
    <t>Royal Assent</t>
  </si>
  <si>
    <t>Complete</t>
  </si>
  <si>
    <t>Upcoming</t>
  </si>
  <si>
    <t>Date</t>
  </si>
  <si>
    <t>Active Ongoing Authorisations</t>
  </si>
  <si>
    <t>API Invocations</t>
  </si>
  <si>
    <t>% Availability (AVG)</t>
  </si>
  <si>
    <t>Month Year MMM-YYYY</t>
  </si>
  <si>
    <t>Open Banking Regulation by Country</t>
  </si>
  <si>
    <t>Country / Region</t>
  </si>
  <si>
    <t>Framework</t>
  </si>
  <si>
    <t>Status (April 2026)</t>
  </si>
  <si>
    <t>Mandate Type</t>
  </si>
  <si>
    <t>European Union</t>
  </si>
  <si>
    <t>PSD2 / PSD3</t>
  </si>
  <si>
    <t>Enforced since 2018</t>
  </si>
  <si>
    <t>Mandatory</t>
  </si>
  <si>
    <t>United Kingdom</t>
  </si>
  <si>
    <t>Open Banking Standard</t>
  </si>
  <si>
    <t>Active, 95% compliance</t>
  </si>
  <si>
    <t>United States</t>
  </si>
  <si>
    <t>CFPB Section 1033</t>
  </si>
  <si>
    <t>Paused (litigation)</t>
  </si>
  <si>
    <t>Pending</t>
  </si>
  <si>
    <t>Canada</t>
  </si>
  <si>
    <t>Consumer-Driven Banking</t>
  </si>
  <si>
    <t>Framework in development</t>
  </si>
  <si>
    <t>Planned</t>
  </si>
  <si>
    <t>Australia</t>
  </si>
  <si>
    <t>Consumer Data Right</t>
  </si>
  <si>
    <t>Enforced since 2020</t>
  </si>
  <si>
    <t>Brazil</t>
  </si>
  <si>
    <t>Open Finance</t>
  </si>
  <si>
    <t>Enforced since 2021</t>
  </si>
  <si>
    <t>India</t>
  </si>
  <si>
    <t>Account Aggregator</t>
  </si>
  <si>
    <t>Active since 2021</t>
  </si>
  <si>
    <t>Licensing-based</t>
  </si>
  <si>
    <t>Saudi Arabia</t>
  </si>
  <si>
    <t>Open Banking Policy</t>
  </si>
  <si>
    <t>Enforced since 2023</t>
  </si>
  <si>
    <t>Source: European Commission, CFPB, Reserve Bank of India, Central Bank of Brazil</t>
  </si>
  <si>
    <t>Open Banking Adoption in the United States</t>
  </si>
  <si>
    <t>US Open Banking Metric</t>
  </si>
  <si>
    <t>Period</t>
  </si>
  <si>
    <t>Bank Adoption Rate</t>
  </si>
  <si>
    <t>52%</t>
  </si>
  <si>
    <t>FDX Customer API Connections</t>
  </si>
  <si>
    <t>114 million</t>
  </si>
  <si>
    <t>April 2025</t>
  </si>
  <si>
    <t>FDX Connections (prior year)</t>
  </si>
  <si>
    <t>76 million</t>
  </si>
  <si>
    <t>April 2024</t>
  </si>
  <si>
    <t>FDX Data Providers</t>
  </si>
  <si>
    <t>1,000+</t>
  </si>
  <si>
    <t>FDX Member Organizations</t>
  </si>
  <si>
    <t>200+</t>
  </si>
  <si>
    <t>Screen Scraping Share (est.)</t>
  </si>
  <si>
    <t>20%</t>
  </si>
  <si>
    <t>Source: FDX, Statista, CFPB</t>
  </si>
  <si>
    <t/>
  </si>
  <si>
    <t xml:space="preserve"> Metric </t>
  </si>
  <si>
    <t xml:space="preserve"> Value </t>
  </si>
  <si>
    <t xml:space="preserve"> :--- </t>
  </si>
  <si>
    <t xml:space="preserve"> **Consent Requests** </t>
  </si>
  <si>
    <t xml:space="preserve"> 24+ crore </t>
  </si>
  <si>
    <t xml:space="preserve"> **Linked Accounts** </t>
  </si>
  <si>
    <t xml:space="preserve"> 18+ crore </t>
  </si>
  <si>
    <t xml:space="preserve"> **Total Loan Value Disbursed** </t>
  </si>
  <si>
    <t xml:space="preserve"> ₹1.6 lakh crore </t>
  </si>
  <si>
    <t xml:space="preserve"> **Total Loan Accounts** </t>
  </si>
  <si>
    <t xml:space="preserve"> 1.8+ crore </t>
  </si>
  <si>
    <t>Metric Name</t>
  </si>
  <si>
    <t>Value / Detail</t>
  </si>
  <si>
    <t>2025 Baseline Global API Volume</t>
  </si>
  <si>
    <t>1.37E+11</t>
  </si>
  <si>
    <t>2029 Projected Global API Volume</t>
  </si>
  <si>
    <t>7.20E+11</t>
  </si>
  <si>
    <t>Ecosystem Volume Growth Rate</t>
  </si>
  <si>
    <t>427%</t>
  </si>
  <si>
    <t>Primary Tech Driver</t>
  </si>
  <si>
    <t>Generative AI (GenAI) &amp; Personalization</t>
  </si>
  <si>
    <t>Target Emerging High-Growth Market</t>
  </si>
  <si>
    <t>Middle East &amp; Africa</t>
  </si>
  <si>
    <t>Launch Date</t>
  </si>
  <si>
    <t>Open Banking launch date</t>
  </si>
  <si>
    <t>Consumer Data Right banking launch</t>
  </si>
  <si>
    <t>US</t>
  </si>
  <si>
    <t>Proxy — no single launch; FDX adoption baseline</t>
  </si>
  <si>
    <t>Phase 1 target, from Raw_Canada_Baseline</t>
  </si>
  <si>
    <t>Months Since Launch</t>
  </si>
  <si>
    <t>Row Labels</t>
  </si>
  <si>
    <t>Grand Total</t>
  </si>
  <si>
    <t>Average of Active Ongoing Authorisations</t>
  </si>
  <si>
    <t>Sum of API Invocations</t>
  </si>
  <si>
    <t>AU Authorisations — Average by Months Since Launch</t>
  </si>
  <si>
    <t>AU API Invocations — Sum by Months Since Launch</t>
  </si>
  <si>
    <t>Metric Value</t>
  </si>
  <si>
    <t>API Calls Successful</t>
  </si>
  <si>
    <t>Avg Active Ongoing Authorisations</t>
  </si>
  <si>
    <t>Sum API Invocations</t>
  </si>
  <si>
    <t>Product Line</t>
  </si>
  <si>
    <t>Revenue at Risk - Base ($M)</t>
  </si>
  <si>
    <t>Payments</t>
  </si>
  <si>
    <t>Lending</t>
  </si>
  <si>
    <t>Deposits</t>
  </si>
  <si>
    <t>Base Adoption %</t>
  </si>
  <si>
    <t>Payments Share</t>
  </si>
  <si>
    <t>Lending Share</t>
  </si>
  <si>
    <t>Deposits Share</t>
  </si>
  <si>
    <t>Payments Factor</t>
  </si>
  <si>
    <t>Lending Factor</t>
  </si>
  <si>
    <t>Deposits Factor</t>
  </si>
  <si>
    <t>Payments Risk</t>
  </si>
  <si>
    <t>Lending Risk</t>
  </si>
  <si>
    <t>Deposits Risk</t>
  </si>
  <si>
    <t>Days Remaining</t>
  </si>
  <si>
    <t>Phase 1/Read</t>
  </si>
  <si>
    <t>Phase 2/Write-Payments</t>
  </si>
  <si>
    <t>Public Commitment Level (1-5)</t>
  </si>
  <si>
    <t>Digital Exposure Estimate (1-5)</t>
  </si>
  <si>
    <t>KPI</t>
  </si>
  <si>
    <t>At-risk population</t>
  </si>
  <si>
    <t>Raw_Canada_Baseline</t>
  </si>
  <si>
    <t>Days to Phase 1</t>
  </si>
  <si>
    <t>days</t>
  </si>
  <si>
    <t>Calc_Chart3_Milestones</t>
  </si>
  <si>
    <t>Total estimated revenue-at-risk</t>
  </si>
  <si>
    <t>$M</t>
  </si>
  <si>
    <t>Calc_Chart2_RevenueProductLine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</si>
</sst>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%"/>
    <numFmt numFmtId="165" formatCode="&quot;$&quot;#,##0"/>
    <numFmt numFmtId="166" formatCode="#,##0.0%"/>
    <numFmt numFmtId="167" formatCode="&quot;$&quot;#,##0.0"/>
    <numFmt numFmtId="168" formatCode="0.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8"/>
      <name val="Aptos Narrow"/>
      <family val="2"/>
      <scheme val="minor"/>
    </font>
    <font>
      <b/>
      <sz val="13"/>
      <color rgb="FFFFFFFF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C6591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">
    <xf numFmtId="0" fontId="0" fillId="0" borderId="0" xfId="0"/>
    <xf numFmtId="14" fontId="0" fillId="0" borderId="0" xfId="0" applyNumberFormat="1"/>
    <xf numFmtId="9" fontId="0" fillId="0" borderId="0" xfId="2" applyFont="1"/>
    <xf numFmtId="164" fontId="0" fillId="0" borderId="0" xfId="2" applyNumberFormat="1" applyFont="1"/>
    <xf numFmtId="10" fontId="0" fillId="0" borderId="0" xfId="2" applyNumberFormat="1" applyFont="1"/>
    <xf numFmtId="1" fontId="0" fillId="0" borderId="0" xfId="0" applyNumberFormat="1"/>
    <xf numFmtId="17" fontId="0" fillId="0" borderId="0" xfId="0" applyNumberFormat="1"/>
    <xf numFmtId="3" fontId="0" fillId="0" borderId="0" xfId="0" applyNumberFormat="1"/>
    <xf numFmtId="164" fontId="0" fillId="0" borderId="0" xfId="0" applyNumberFormat="1"/>
    <xf numFmtId="0" fontId="2" fillId="2" borderId="0" xfId="0" applyFont="1" applyFill="1"/>
    <xf numFmtId="9" fontId="2" fillId="2" borderId="0" xfId="2" applyFont="1" applyFill="1"/>
    <xf numFmtId="9" fontId="0" fillId="0" borderId="0" xfId="0" applyNumberFormat="1"/>
    <xf numFmtId="165" fontId="0" fillId="0" borderId="0" xfId="0" applyNumberFormat="1"/>
    <xf numFmtId="165" fontId="0" fillId="0" borderId="0" xfId="1" applyNumberFormat="1" applyFont="1"/>
    <xf numFmtId="1" fontId="2" fillId="2" borderId="0" xfId="0" applyNumberFormat="1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1" fontId="2" fillId="4" borderId="0" xfId="0" applyNumberFormat="1" applyFont="1" applyFill="1"/>
    <xf numFmtId="1" fontId="2" fillId="5" borderId="0" xfId="0" applyNumberFormat="1" applyFont="1" applyFill="1"/>
    <xf numFmtId="22" fontId="0" fillId="0" borderId="0" xfId="0" applyNumberFormat="1"/>
    <xf numFmtId="0" fontId="2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0" borderId="0" xfId="0" pivotButton="1"/>
    <xf numFmtId="1" fontId="0" fillId="0" borderId="0" xfId="0" applyNumberFormat="1" applyAlignment="1">
      <alignment horizontal="left"/>
    </xf>
    <xf numFmtId="0" fontId="4" fillId="2" borderId="0" xfId="0" applyFont="1" applyFill="1"/>
    <xf numFmtId="166" fontId="2" fillId="2" borderId="0" xfId="0" applyNumberFormat="1" applyFont="1" applyFill="1"/>
    <xf numFmtId="166" fontId="0" fillId="0" borderId="0" xfId="0" applyNumberFormat="1"/>
    <xf numFmtId="167" fontId="2" fillId="3" borderId="0" xfId="0" applyNumberFormat="1" applyFont="1" applyFill="1"/>
    <xf numFmtId="167" fontId="0" fillId="0" borderId="0" xfId="0" applyNumberFormat="1"/>
    <xf numFmtId="168" fontId="0" fillId="0" borderId="0" xfId="0" applyNumberFormat="1"/>
    <xf numFmtId="14" fontId="2" fillId="4" borderId="0" xfId="0" applyNumberFormat="1" applyFont="1" applyFill="1"/>
    <xf numFmtId="0" fontId="4" fillId="2" borderId="0" xfId="0" applyFont="1" applyFill="1"/>
  </cellXfs>
  <cellStyles count="3">
    <cellStyle name="Comma" xfId="1" builtinId="3"/>
    <cellStyle name="Normal" xfId="0" builtinId="0"/>
    <cellStyle name="Percent" xfId="2" builtinId="5"/>
  </cellStyles>
  <dxfs count="131">
    <dxf>
      <fill>
        <patternFill>
          <bgColor rgb="FFFF0000"/>
        </patternFill>
      </fill>
    </dxf>
    <dxf>
      <numFmt numFmtId="1" formatCode="0"/>
    </dxf>
    <dxf>
      <numFmt numFmtId="1" formatCode="0"/>
    </dxf>
    <dxf>
      <font>
        <b/>
        <color rgb="FFFFFFFF"/>
      </font>
      <fill>
        <patternFill patternType="solid">
          <fgColor indexed="64"/>
          <bgColor rgb="FFC65911"/>
        </patternFill>
      </fill>
    </dxf>
    <dxf>
      <numFmt numFmtId="167" formatCode="&quot;$&quot;#,##0.0"/>
    </dxf>
    <dxf>
      <numFmt numFmtId="167" formatCode="&quot;$&quot;#,##0.0"/>
    </dxf>
    <dxf>
      <numFmt numFmtId="167" formatCode="&quot;$&quot;#,##0.0"/>
    </dxf>
    <dxf>
      <numFmt numFmtId="167" formatCode="&quot;$&quot;#,##0.0"/>
    </dxf>
    <dxf>
      <numFmt numFmtId="168" formatCode="0.0"/>
    </dxf>
    <dxf>
      <numFmt numFmtId="168" formatCode="0.0"/>
    </dxf>
    <dxf>
      <numFmt numFmtId="168" formatCode="0.0"/>
    </dxf>
    <dxf>
      <numFmt numFmtId="164" formatCode="0.0%"/>
    </dxf>
    <dxf>
      <numFmt numFmtId="164" formatCode="0.0%"/>
    </dxf>
    <dxf>
      <numFmt numFmtId="164" formatCode="0.0%"/>
    </dxf>
    <dxf>
      <numFmt numFmtId="165" formatCode="&quot;$&quot;#,##0"/>
    </dxf>
    <dxf>
      <numFmt numFmtId="167" formatCode="&quot;$&quot;#,##0.0"/>
    </dxf>
    <dxf>
      <numFmt numFmtId="167" formatCode="&quot;$&quot;#,##0.0"/>
    </dxf>
    <dxf>
      <font>
        <b/>
        <color rgb="FFFFFFFF"/>
      </font>
      <fill>
        <patternFill patternType="solid">
          <fgColor indexed="64"/>
          <bgColor rgb="FF7030A0"/>
        </patternFill>
      </fill>
    </dxf>
    <dxf>
      <numFmt numFmtId="166" formatCode="#,##0.0%"/>
    </dxf>
    <dxf>
      <numFmt numFmtId="1" formatCode="0"/>
    </dxf>
    <dxf>
      <font>
        <b/>
        <color rgb="FFFFFFFF"/>
      </font>
      <fill>
        <patternFill patternType="solid">
          <fgColor indexed="64"/>
          <bgColor rgb="FF1F4E78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</dxf>
    <dxf>
      <numFmt numFmtId="164" formatCode="0.0%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font>
        <b/>
        <color rgb="FFFFFFFF"/>
      </font>
      <fill>
        <patternFill patternType="solid">
          <fgColor indexed="64"/>
          <bgColor rgb="FF1F4E78"/>
        </patternFill>
      </fill>
    </dxf>
    <dxf>
      <numFmt numFmtId="1" formatCode="0"/>
    </dxf>
    <dxf>
      <numFmt numFmtId="1" formatCode="0"/>
    </dxf>
    <dxf>
      <font>
        <b/>
        <color rgb="FFFFFFFF"/>
      </font>
      <fill>
        <patternFill patternType="solid">
          <fgColor indexed="64"/>
          <bgColor rgb="FFC65911"/>
        </patternFill>
      </fill>
    </dxf>
    <dxf>
      <numFmt numFmtId="1" formatCode="0"/>
    </dxf>
    <dxf>
      <numFmt numFmtId="1" formatCode="0"/>
    </dxf>
    <dxf>
      <numFmt numFmtId="1" formatCode="0"/>
    </dxf>
    <dxf>
      <font>
        <b/>
        <color rgb="FFFFFFFF"/>
      </font>
      <fill>
        <patternFill patternType="solid">
          <fgColor indexed="64"/>
          <bgColor rgb="FF548235"/>
        </patternFill>
      </fill>
    </dxf>
    <dxf>
      <numFmt numFmtId="167" formatCode="&quot;$&quot;#,##0.0"/>
    </dxf>
    <dxf>
      <font>
        <b/>
        <color rgb="FFFFFFFF"/>
      </font>
      <fill>
        <patternFill patternType="solid">
          <fgColor indexed="64"/>
          <bgColor rgb="FF7030A0"/>
        </patternFill>
      </fill>
    </dxf>
    <dxf>
      <numFmt numFmtId="1" formatCode="0"/>
    </dxf>
    <dxf>
      <font>
        <b/>
        <color rgb="FFFFFFFF"/>
      </font>
      <fill>
        <patternFill patternType="solid">
          <fgColor indexed="64"/>
          <bgColor rgb="FF1F4E78"/>
        </patternFill>
      </fill>
    </dxf>
    <dxf>
      <numFmt numFmtId="1" formatCode="0"/>
    </dxf>
    <dxf>
      <numFmt numFmtId="27" formatCode="yyyy/mm/dd\ h:mm"/>
    </dxf>
    <dxf>
      <numFmt numFmtId="1" formatCode="0"/>
    </dxf>
    <dxf>
      <numFmt numFmtId="27" formatCode="yyyy/mm/dd\ h:mm"/>
    </dxf>
    <dxf>
      <numFmt numFmtId="1" formatCode="0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wrapText="1"/>
    </dxf>
    <dxf>
      <numFmt numFmtId="19" formatCode="yyyy/mm/dd"/>
    </dxf>
    <dxf>
      <font>
        <b/>
        <color rgb="FFFFFFFF"/>
      </font>
      <fill>
        <patternFill patternType="solid">
          <fgColor indexed="64"/>
          <bgColor rgb="FF1F4E78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%"/>
    </dxf>
    <dxf>
      <numFmt numFmtId="3" formatCode="#,##0"/>
    </dxf>
    <dxf>
      <numFmt numFmtId="22" formatCode="mmm/yy"/>
    </dxf>
    <dxf>
      <font>
        <b/>
        <color rgb="FFFFFFFF"/>
      </font>
      <fill>
        <patternFill patternType="solid">
          <fgColor indexed="64"/>
          <bgColor rgb="FF1F4E78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9" formatCode="yyyy/mm/dd"/>
    </dxf>
    <dxf>
      <font>
        <b/>
        <color rgb="FFFFFFFF"/>
      </font>
      <fill>
        <patternFill patternType="solid">
          <fgColor indexed="64"/>
          <bgColor rgb="FF54823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2.xml"/><Relationship Id="rId30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wner" refreshedDate="46221.517299421299" createdVersion="8" refreshedVersion="8" minRefreshableVersion="3" recordCount="559" xr:uid="{B19FBCEB-E095-4C17-AB48-A755907C7F4C}">
  <cacheSource type="worksheet">
    <worksheetSource ref="A1:C560" sheet="Raw_AU_Authorisations"/>
  </cacheSource>
  <cacheFields count="3">
    <cacheField name="Date" numFmtId="22">
      <sharedItems containsSemiMixedTypes="0" containsNonDate="0" containsDate="1" containsString="0" minDate="2025-01-01T00:00:00" maxDate="2026-07-14T00:00:00"/>
    </cacheField>
    <cacheField name="Months Since Launch" numFmtId="1">
      <sharedItems containsSemiMixedTypes="0" containsString="0" containsNumber="1" containsInteger="1" minValue="54" maxValue="72" count="19"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</sharedItems>
    </cacheField>
    <cacheField name="Active Ongoing Authorisations" numFmtId="0">
      <sharedItems containsSemiMixedTypes="0" containsString="0" containsNumber="1" containsInteger="1" minValue="364585" maxValue="13850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wner" refreshedDate="46221.517299768515" createdVersion="8" refreshedVersion="8" minRefreshableVersion="3" recordCount="559" xr:uid="{BE1D57B5-E0D3-4D06-95CD-EEA5122F8FA9}">
  <cacheSource type="worksheet">
    <worksheetSource ref="A1:C560" sheet="Raw_AU_API_Invocations"/>
  </cacheSource>
  <cacheFields count="3">
    <cacheField name="Date" numFmtId="22">
      <sharedItems containsSemiMixedTypes="0" containsNonDate="0" containsDate="1" containsString="0" minDate="2025-01-01T00:00:00" maxDate="2026-07-14T00:00:00"/>
    </cacheField>
    <cacheField name="Months Since Launch" numFmtId="1">
      <sharedItems containsSemiMixedTypes="0" containsString="0" containsNumber="1" containsInteger="1" minValue="54" maxValue="72" count="19"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</sharedItems>
    </cacheField>
    <cacheField name="API Invocations" numFmtId="0">
      <sharedItems containsSemiMixedTypes="0" containsString="0" containsNumber="1" containsInteger="1" minValue="4907219" maxValue="201669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9">
  <r>
    <d v="2025-01-01T00:00:00"/>
    <x v="0"/>
    <n v="371408"/>
  </r>
  <r>
    <d v="2025-01-02T00:00:00"/>
    <x v="0"/>
    <n v="372943"/>
  </r>
  <r>
    <d v="2025-01-03T00:00:00"/>
    <x v="0"/>
    <n v="374721"/>
  </r>
  <r>
    <d v="2025-01-04T00:00:00"/>
    <x v="0"/>
    <n v="377052"/>
  </r>
  <r>
    <d v="2025-01-05T00:00:00"/>
    <x v="0"/>
    <n v="378828"/>
  </r>
  <r>
    <d v="2025-01-06T00:00:00"/>
    <x v="0"/>
    <n v="379393"/>
  </r>
  <r>
    <d v="2025-01-07T00:00:00"/>
    <x v="0"/>
    <n v="383528"/>
  </r>
  <r>
    <d v="2025-01-08T00:00:00"/>
    <x v="0"/>
    <n v="385936"/>
  </r>
  <r>
    <d v="2025-01-09T00:00:00"/>
    <x v="0"/>
    <n v="387794"/>
  </r>
  <r>
    <d v="2025-01-10T00:00:00"/>
    <x v="0"/>
    <n v="389617"/>
  </r>
  <r>
    <d v="2025-01-11T00:00:00"/>
    <x v="0"/>
    <n v="389591"/>
  </r>
  <r>
    <d v="2025-01-12T00:00:00"/>
    <x v="0"/>
    <n v="391680"/>
  </r>
  <r>
    <d v="2025-01-13T00:00:00"/>
    <x v="0"/>
    <n v="395554"/>
  </r>
  <r>
    <d v="2025-01-14T00:00:00"/>
    <x v="0"/>
    <n v="397729"/>
  </r>
  <r>
    <d v="2025-01-15T00:00:00"/>
    <x v="0"/>
    <n v="399818"/>
  </r>
  <r>
    <d v="2025-01-16T00:00:00"/>
    <x v="0"/>
    <n v="364585"/>
  </r>
  <r>
    <d v="2025-01-17T00:00:00"/>
    <x v="0"/>
    <n v="365936"/>
  </r>
  <r>
    <d v="2025-01-18T00:00:00"/>
    <x v="0"/>
    <n v="367166"/>
  </r>
  <r>
    <d v="2025-01-19T00:00:00"/>
    <x v="0"/>
    <n v="368242"/>
  </r>
  <r>
    <d v="2025-01-20T00:00:00"/>
    <x v="0"/>
    <n v="369573"/>
  </r>
  <r>
    <d v="2025-01-21T00:00:00"/>
    <x v="0"/>
    <n v="371176"/>
  </r>
  <r>
    <d v="2025-01-22T00:00:00"/>
    <x v="0"/>
    <n v="372409"/>
  </r>
  <r>
    <d v="2025-01-23T00:00:00"/>
    <x v="0"/>
    <n v="371734"/>
  </r>
  <r>
    <d v="2025-01-24T00:00:00"/>
    <x v="0"/>
    <n v="373006"/>
  </r>
  <r>
    <d v="2025-01-25T00:00:00"/>
    <x v="0"/>
    <n v="373957"/>
  </r>
  <r>
    <d v="2025-01-26T00:00:00"/>
    <x v="0"/>
    <n v="374796"/>
  </r>
  <r>
    <d v="2025-01-27T00:00:00"/>
    <x v="0"/>
    <n v="375674"/>
  </r>
  <r>
    <d v="2025-01-28T00:00:00"/>
    <x v="0"/>
    <n v="376696"/>
  </r>
  <r>
    <d v="2025-01-29T00:00:00"/>
    <x v="0"/>
    <n v="377641"/>
  </r>
  <r>
    <d v="2025-01-30T00:00:00"/>
    <x v="0"/>
    <n v="378790"/>
  </r>
  <r>
    <d v="2025-01-31T00:00:00"/>
    <x v="0"/>
    <n v="380086"/>
  </r>
  <r>
    <d v="2025-02-01T00:00:00"/>
    <x v="1"/>
    <n v="377834"/>
  </r>
  <r>
    <d v="2025-02-02T00:00:00"/>
    <x v="1"/>
    <n v="415643"/>
  </r>
  <r>
    <d v="2025-02-03T00:00:00"/>
    <x v="1"/>
    <n v="416715"/>
  </r>
  <r>
    <d v="2025-02-04T00:00:00"/>
    <x v="1"/>
    <n v="417692"/>
  </r>
  <r>
    <d v="2025-02-05T00:00:00"/>
    <x v="1"/>
    <n v="419458"/>
  </r>
  <r>
    <d v="2025-02-06T00:00:00"/>
    <x v="1"/>
    <n v="420686"/>
  </r>
  <r>
    <d v="2025-02-07T00:00:00"/>
    <x v="1"/>
    <n v="422495"/>
  </r>
  <r>
    <d v="2025-02-08T00:00:00"/>
    <x v="1"/>
    <n v="386633"/>
  </r>
  <r>
    <d v="2025-02-09T00:00:00"/>
    <x v="1"/>
    <n v="387646"/>
  </r>
  <r>
    <d v="2025-02-10T00:00:00"/>
    <x v="1"/>
    <n v="388763"/>
  </r>
  <r>
    <d v="2025-02-11T00:00:00"/>
    <x v="1"/>
    <n v="392041"/>
  </r>
  <r>
    <d v="2025-02-12T00:00:00"/>
    <x v="1"/>
    <n v="393160"/>
  </r>
  <r>
    <d v="2025-02-13T00:00:00"/>
    <x v="1"/>
    <n v="392383"/>
  </r>
  <r>
    <d v="2025-02-14T00:00:00"/>
    <x v="1"/>
    <n v="395427"/>
  </r>
  <r>
    <d v="2025-02-15T00:00:00"/>
    <x v="1"/>
    <n v="393955"/>
  </r>
  <r>
    <d v="2025-02-16T00:00:00"/>
    <x v="1"/>
    <n v="394735"/>
  </r>
  <r>
    <d v="2025-02-17T00:00:00"/>
    <x v="1"/>
    <n v="396981"/>
  </r>
  <r>
    <d v="2025-02-18T00:00:00"/>
    <x v="1"/>
    <n v="396076"/>
  </r>
  <r>
    <d v="2025-02-19T00:00:00"/>
    <x v="1"/>
    <n v="434727"/>
  </r>
  <r>
    <d v="2025-02-20T00:00:00"/>
    <x v="1"/>
    <n v="435108"/>
  </r>
  <r>
    <d v="2025-02-21T00:00:00"/>
    <x v="1"/>
    <n v="398234"/>
  </r>
  <r>
    <d v="2025-02-22T00:00:00"/>
    <x v="1"/>
    <n v="436611"/>
  </r>
  <r>
    <d v="2025-02-23T00:00:00"/>
    <x v="1"/>
    <n v="439030"/>
  </r>
  <r>
    <d v="2025-02-24T00:00:00"/>
    <x v="1"/>
    <n v="437073"/>
  </r>
  <r>
    <d v="2025-02-25T00:00:00"/>
    <x v="1"/>
    <n v="439947"/>
  </r>
  <r>
    <d v="2025-02-26T00:00:00"/>
    <x v="1"/>
    <n v="441346"/>
  </r>
  <r>
    <d v="2025-02-27T00:00:00"/>
    <x v="1"/>
    <n v="442579"/>
  </r>
  <r>
    <d v="2025-02-28T00:00:00"/>
    <x v="1"/>
    <n v="443741"/>
  </r>
  <r>
    <d v="2025-03-01T00:00:00"/>
    <x v="2"/>
    <n v="442578"/>
  </r>
  <r>
    <d v="2025-03-02T00:00:00"/>
    <x v="2"/>
    <n v="445825"/>
  </r>
  <r>
    <d v="2025-03-03T00:00:00"/>
    <x v="2"/>
    <n v="404221"/>
  </r>
  <r>
    <d v="2025-03-04T00:00:00"/>
    <x v="2"/>
    <n v="448371"/>
  </r>
  <r>
    <d v="2025-03-05T00:00:00"/>
    <x v="2"/>
    <n v="449587"/>
  </r>
  <r>
    <d v="2025-03-06T00:00:00"/>
    <x v="2"/>
    <n v="450541"/>
  </r>
  <r>
    <d v="2025-03-07T00:00:00"/>
    <x v="2"/>
    <n v="449729"/>
  </r>
  <r>
    <d v="2025-03-08T00:00:00"/>
    <x v="2"/>
    <n v="451192"/>
  </r>
  <r>
    <d v="2025-03-09T00:00:00"/>
    <x v="2"/>
    <n v="408556"/>
  </r>
  <r>
    <d v="2025-03-10T00:00:00"/>
    <x v="2"/>
    <n v="452494"/>
  </r>
  <r>
    <d v="2025-03-11T00:00:00"/>
    <x v="2"/>
    <n v="453925"/>
  </r>
  <r>
    <d v="2025-03-12T00:00:00"/>
    <x v="2"/>
    <n v="454672"/>
  </r>
  <r>
    <d v="2025-03-13T00:00:00"/>
    <x v="2"/>
    <n v="455423"/>
  </r>
  <r>
    <d v="2025-03-14T00:00:00"/>
    <x v="2"/>
    <n v="458695"/>
  </r>
  <r>
    <d v="2025-03-15T00:00:00"/>
    <x v="2"/>
    <n v="459358"/>
  </r>
  <r>
    <d v="2025-03-16T00:00:00"/>
    <x v="2"/>
    <n v="459862"/>
  </r>
  <r>
    <d v="2025-03-17T00:00:00"/>
    <x v="2"/>
    <n v="460351"/>
  </r>
  <r>
    <d v="2025-03-18T00:00:00"/>
    <x v="2"/>
    <n v="415280"/>
  </r>
  <r>
    <d v="2025-03-19T00:00:00"/>
    <x v="2"/>
    <n v="462547"/>
  </r>
  <r>
    <d v="2025-03-20T00:00:00"/>
    <x v="2"/>
    <n v="463704"/>
  </r>
  <r>
    <d v="2025-03-21T00:00:00"/>
    <x v="2"/>
    <n v="464800"/>
  </r>
  <r>
    <d v="2025-03-22T00:00:00"/>
    <x v="2"/>
    <n v="466548"/>
  </r>
  <r>
    <d v="2025-03-23T00:00:00"/>
    <x v="2"/>
    <n v="469566"/>
  </r>
  <r>
    <d v="2025-03-24T00:00:00"/>
    <x v="2"/>
    <n v="470811"/>
  </r>
  <r>
    <d v="2025-03-25T00:00:00"/>
    <x v="2"/>
    <n v="472459"/>
  </r>
  <r>
    <d v="2025-03-26T00:00:00"/>
    <x v="2"/>
    <n v="473970"/>
  </r>
  <r>
    <d v="2025-03-27T00:00:00"/>
    <x v="2"/>
    <n v="463151"/>
  </r>
  <r>
    <d v="2025-03-28T00:00:00"/>
    <x v="2"/>
    <n v="427998"/>
  </r>
  <r>
    <d v="2025-03-29T00:00:00"/>
    <x v="2"/>
    <n v="429031"/>
  </r>
  <r>
    <d v="2025-03-30T00:00:00"/>
    <x v="2"/>
    <n v="467631"/>
  </r>
  <r>
    <d v="2025-03-31T00:00:00"/>
    <x v="2"/>
    <n v="468642"/>
  </r>
  <r>
    <d v="2025-04-01T00:00:00"/>
    <x v="3"/>
    <n v="465186"/>
  </r>
  <r>
    <d v="2025-04-02T00:00:00"/>
    <x v="3"/>
    <n v="466648"/>
  </r>
  <r>
    <d v="2025-04-03T00:00:00"/>
    <x v="3"/>
    <n v="430121"/>
  </r>
  <r>
    <d v="2025-04-04T00:00:00"/>
    <x v="3"/>
    <n v="469281"/>
  </r>
  <r>
    <d v="2025-04-05T00:00:00"/>
    <x v="3"/>
    <n v="433544"/>
  </r>
  <r>
    <d v="2025-04-06T00:00:00"/>
    <x v="3"/>
    <n v="433650"/>
  </r>
  <r>
    <d v="2025-04-07T00:00:00"/>
    <x v="3"/>
    <n v="434769"/>
  </r>
  <r>
    <d v="2025-04-08T00:00:00"/>
    <x v="3"/>
    <n v="435740"/>
  </r>
  <r>
    <d v="2025-04-09T00:00:00"/>
    <x v="3"/>
    <n v="436577"/>
  </r>
  <r>
    <d v="2025-04-10T00:00:00"/>
    <x v="3"/>
    <n v="437537"/>
  </r>
  <r>
    <d v="2025-04-11T00:00:00"/>
    <x v="3"/>
    <n v="438180"/>
  </r>
  <r>
    <d v="2025-04-12T00:00:00"/>
    <x v="3"/>
    <n v="438705"/>
  </r>
  <r>
    <d v="2025-04-13T00:00:00"/>
    <x v="3"/>
    <n v="478657"/>
  </r>
  <r>
    <d v="2025-04-14T00:00:00"/>
    <x v="3"/>
    <n v="439056"/>
  </r>
  <r>
    <d v="2025-04-15T00:00:00"/>
    <x v="3"/>
    <n v="479740"/>
  </r>
  <r>
    <d v="2025-04-16T00:00:00"/>
    <x v="3"/>
    <n v="440003"/>
  </r>
  <r>
    <d v="2025-04-17T00:00:00"/>
    <x v="3"/>
    <n v="440513"/>
  </r>
  <r>
    <d v="2025-04-18T00:00:00"/>
    <x v="3"/>
    <n v="440877"/>
  </r>
  <r>
    <d v="2025-04-19T00:00:00"/>
    <x v="3"/>
    <n v="440953"/>
  </r>
  <r>
    <d v="2025-04-20T00:00:00"/>
    <x v="3"/>
    <n v="441131"/>
  </r>
  <r>
    <d v="2025-04-21T00:00:00"/>
    <x v="3"/>
    <n v="439380"/>
  </r>
  <r>
    <d v="2025-04-22T00:00:00"/>
    <x v="3"/>
    <n v="443780"/>
  </r>
  <r>
    <d v="2025-04-23T00:00:00"/>
    <x v="3"/>
    <n v="447449"/>
  </r>
  <r>
    <d v="2025-04-24T00:00:00"/>
    <x v="3"/>
    <n v="448591"/>
  </r>
  <r>
    <d v="2025-04-25T00:00:00"/>
    <x v="3"/>
    <n v="449555"/>
  </r>
  <r>
    <d v="2025-04-26T00:00:00"/>
    <x v="3"/>
    <n v="493322"/>
  </r>
  <r>
    <d v="2025-04-27T00:00:00"/>
    <x v="3"/>
    <n v="450605"/>
  </r>
  <r>
    <d v="2025-04-28T00:00:00"/>
    <x v="3"/>
    <n v="451673"/>
  </r>
  <r>
    <d v="2025-04-29T00:00:00"/>
    <x v="3"/>
    <n v="496630"/>
  </r>
  <r>
    <d v="2025-04-30T00:00:00"/>
    <x v="3"/>
    <n v="509882"/>
  </r>
  <r>
    <d v="2025-05-01T00:00:00"/>
    <x v="4"/>
    <n v="506647"/>
  </r>
  <r>
    <d v="2025-05-02T00:00:00"/>
    <x v="4"/>
    <n v="507783"/>
  </r>
  <r>
    <d v="2025-05-03T00:00:00"/>
    <x v="4"/>
    <n v="507423"/>
  </r>
  <r>
    <d v="2025-05-04T00:00:00"/>
    <x v="4"/>
    <n v="507780"/>
  </r>
  <r>
    <d v="2025-05-05T00:00:00"/>
    <x v="4"/>
    <n v="498002"/>
  </r>
  <r>
    <d v="2025-05-06T00:00:00"/>
    <x v="4"/>
    <n v="511923"/>
  </r>
  <r>
    <d v="2025-05-07T00:00:00"/>
    <x v="4"/>
    <n v="513012"/>
  </r>
  <r>
    <d v="2025-05-08T00:00:00"/>
    <x v="4"/>
    <n v="514348"/>
  </r>
  <r>
    <d v="2025-05-09T00:00:00"/>
    <x v="4"/>
    <n v="458280"/>
  </r>
  <r>
    <d v="2025-05-10T00:00:00"/>
    <x v="4"/>
    <n v="459280"/>
  </r>
  <r>
    <d v="2025-05-11T00:00:00"/>
    <x v="4"/>
    <n v="459533"/>
  </r>
  <r>
    <d v="2025-05-12T00:00:00"/>
    <x v="4"/>
    <n v="517684"/>
  </r>
  <r>
    <d v="2025-05-13T00:00:00"/>
    <x v="4"/>
    <n v="519963"/>
  </r>
  <r>
    <d v="2025-05-14T00:00:00"/>
    <x v="4"/>
    <n v="520218"/>
  </r>
  <r>
    <d v="2025-05-15T00:00:00"/>
    <x v="4"/>
    <n v="519493"/>
  </r>
  <r>
    <d v="2025-05-16T00:00:00"/>
    <x v="4"/>
    <n v="521471"/>
  </r>
  <r>
    <d v="2025-05-17T00:00:00"/>
    <x v="4"/>
    <n v="522064"/>
  </r>
  <r>
    <d v="2025-05-18T00:00:00"/>
    <x v="4"/>
    <n v="462992"/>
  </r>
  <r>
    <d v="2025-05-19T00:00:00"/>
    <x v="4"/>
    <n v="523083"/>
  </r>
  <r>
    <d v="2025-05-20T00:00:00"/>
    <x v="4"/>
    <n v="523933"/>
  </r>
  <r>
    <d v="2025-05-21T00:00:00"/>
    <x v="4"/>
    <n v="524731"/>
  </r>
  <r>
    <d v="2025-05-22T00:00:00"/>
    <x v="4"/>
    <n v="525470"/>
  </r>
  <r>
    <d v="2025-05-23T00:00:00"/>
    <x v="4"/>
    <n v="526177"/>
  </r>
  <r>
    <d v="2025-05-24T00:00:00"/>
    <x v="4"/>
    <n v="528294"/>
  </r>
  <r>
    <d v="2025-05-25T00:00:00"/>
    <x v="4"/>
    <n v="470655"/>
  </r>
  <r>
    <d v="2025-05-26T00:00:00"/>
    <x v="4"/>
    <n v="532849"/>
  </r>
  <r>
    <d v="2025-05-27T00:00:00"/>
    <x v="4"/>
    <n v="534486"/>
  </r>
  <r>
    <d v="2025-05-28T00:00:00"/>
    <x v="4"/>
    <n v="534615"/>
  </r>
  <r>
    <d v="2025-05-29T00:00:00"/>
    <x v="4"/>
    <n v="536879"/>
  </r>
  <r>
    <d v="2025-05-30T00:00:00"/>
    <x v="4"/>
    <n v="537952"/>
  </r>
  <r>
    <d v="2025-05-31T00:00:00"/>
    <x v="4"/>
    <n v="539178"/>
  </r>
  <r>
    <d v="2025-06-01T00:00:00"/>
    <x v="5"/>
    <n v="534756"/>
  </r>
  <r>
    <d v="2025-06-02T00:00:00"/>
    <x v="5"/>
    <n v="535651"/>
  </r>
  <r>
    <d v="2025-06-03T00:00:00"/>
    <x v="5"/>
    <n v="537317"/>
  </r>
  <r>
    <d v="2025-06-04T00:00:00"/>
    <x v="5"/>
    <n v="538750"/>
  </r>
  <r>
    <d v="2025-06-05T00:00:00"/>
    <x v="5"/>
    <n v="537287"/>
  </r>
  <r>
    <d v="2025-06-06T00:00:00"/>
    <x v="5"/>
    <n v="541196"/>
  </r>
  <r>
    <d v="2025-06-07T00:00:00"/>
    <x v="5"/>
    <n v="542337"/>
  </r>
  <r>
    <d v="2025-06-08T00:00:00"/>
    <x v="5"/>
    <n v="543500"/>
  </r>
  <r>
    <d v="2025-06-09T00:00:00"/>
    <x v="5"/>
    <n v="541786"/>
  </r>
  <r>
    <d v="2025-06-10T00:00:00"/>
    <x v="5"/>
    <n v="545976"/>
  </r>
  <r>
    <d v="2025-06-11T00:00:00"/>
    <x v="5"/>
    <n v="544508"/>
  </r>
  <r>
    <d v="2025-06-12T00:00:00"/>
    <x v="5"/>
    <n v="548609"/>
  </r>
  <r>
    <d v="2025-06-13T00:00:00"/>
    <x v="5"/>
    <n v="550007"/>
  </r>
  <r>
    <d v="2025-06-14T00:00:00"/>
    <x v="5"/>
    <n v="548449"/>
  </r>
  <r>
    <d v="2025-06-15T00:00:00"/>
    <x v="5"/>
    <n v="552024"/>
  </r>
  <r>
    <d v="2025-06-16T00:00:00"/>
    <x v="5"/>
    <n v="553373"/>
  </r>
  <r>
    <d v="2025-06-17T00:00:00"/>
    <x v="5"/>
    <n v="554990"/>
  </r>
  <r>
    <d v="2025-06-18T00:00:00"/>
    <x v="5"/>
    <n v="555023"/>
  </r>
  <r>
    <d v="2025-06-19T00:00:00"/>
    <x v="5"/>
    <n v="555718"/>
  </r>
  <r>
    <d v="2025-06-20T00:00:00"/>
    <x v="5"/>
    <n v="557034"/>
  </r>
  <r>
    <d v="2025-06-21T00:00:00"/>
    <x v="5"/>
    <n v="558852"/>
  </r>
  <r>
    <d v="2025-06-22T00:00:00"/>
    <x v="5"/>
    <n v="560569"/>
  </r>
  <r>
    <d v="2025-06-23T00:00:00"/>
    <x v="5"/>
    <n v="562043"/>
  </r>
  <r>
    <d v="2025-06-24T00:00:00"/>
    <x v="5"/>
    <n v="563954"/>
  </r>
  <r>
    <d v="2025-06-25T00:00:00"/>
    <x v="5"/>
    <n v="565749"/>
  </r>
  <r>
    <d v="2025-06-26T00:00:00"/>
    <x v="5"/>
    <n v="567357"/>
  </r>
  <r>
    <d v="2025-06-27T00:00:00"/>
    <x v="5"/>
    <n v="569306"/>
  </r>
  <r>
    <d v="2025-06-28T00:00:00"/>
    <x v="5"/>
    <n v="570761"/>
  </r>
  <r>
    <d v="2025-06-29T00:00:00"/>
    <x v="5"/>
    <n v="503750"/>
  </r>
  <r>
    <d v="2025-06-30T00:00:00"/>
    <x v="5"/>
    <n v="573057"/>
  </r>
  <r>
    <d v="2025-07-01T00:00:00"/>
    <x v="6"/>
    <n v="566296"/>
  </r>
  <r>
    <d v="2025-07-02T00:00:00"/>
    <x v="6"/>
    <n v="567975"/>
  </r>
  <r>
    <d v="2025-07-03T00:00:00"/>
    <x v="6"/>
    <n v="499013"/>
  </r>
  <r>
    <d v="2025-07-04T00:00:00"/>
    <x v="6"/>
    <n v="568366"/>
  </r>
  <r>
    <d v="2025-07-05T00:00:00"/>
    <x v="6"/>
    <n v="572743"/>
  </r>
  <r>
    <d v="2025-07-06T00:00:00"/>
    <x v="6"/>
    <n v="573851"/>
  </r>
  <r>
    <d v="2025-07-07T00:00:00"/>
    <x v="6"/>
    <n v="574903"/>
  </r>
  <r>
    <d v="2025-07-08T00:00:00"/>
    <x v="6"/>
    <n v="574233"/>
  </r>
  <r>
    <d v="2025-07-09T00:00:00"/>
    <x v="6"/>
    <n v="576350"/>
  </r>
  <r>
    <d v="2025-07-10T00:00:00"/>
    <x v="6"/>
    <n v="575541"/>
  </r>
  <r>
    <d v="2025-07-11T00:00:00"/>
    <x v="6"/>
    <n v="578657"/>
  </r>
  <r>
    <d v="2025-07-12T00:00:00"/>
    <x v="6"/>
    <n v="581590"/>
  </r>
  <r>
    <d v="2025-07-13T00:00:00"/>
    <x v="6"/>
    <n v="580447"/>
  </r>
  <r>
    <d v="2025-07-14T00:00:00"/>
    <x v="6"/>
    <n v="582422"/>
  </r>
  <r>
    <d v="2025-07-15T00:00:00"/>
    <x v="6"/>
    <n v="581810"/>
  </r>
  <r>
    <d v="2025-07-16T00:00:00"/>
    <x v="6"/>
    <n v="583939"/>
  </r>
  <r>
    <d v="2025-07-17T00:00:00"/>
    <x v="6"/>
    <n v="584558"/>
  </r>
  <r>
    <d v="2025-07-18T00:00:00"/>
    <x v="6"/>
    <n v="585309"/>
  </r>
  <r>
    <d v="2025-07-19T00:00:00"/>
    <x v="6"/>
    <n v="588107"/>
  </r>
  <r>
    <d v="2025-07-20T00:00:00"/>
    <x v="6"/>
    <n v="519215"/>
  </r>
  <r>
    <d v="2025-07-21T00:00:00"/>
    <x v="6"/>
    <n v="590641"/>
  </r>
  <r>
    <d v="2025-07-22T00:00:00"/>
    <x v="6"/>
    <n v="591623"/>
  </r>
  <r>
    <d v="2025-07-23T00:00:00"/>
    <x v="6"/>
    <n v="587940"/>
  </r>
  <r>
    <d v="2025-07-24T00:00:00"/>
    <x v="6"/>
    <n v="593226"/>
  </r>
  <r>
    <d v="2025-07-25T00:00:00"/>
    <x v="6"/>
    <n v="597912"/>
  </r>
  <r>
    <d v="2025-07-26T00:00:00"/>
    <x v="6"/>
    <n v="599131"/>
  </r>
  <r>
    <d v="2025-07-27T00:00:00"/>
    <x v="6"/>
    <n v="600156"/>
  </r>
  <r>
    <d v="2025-07-28T00:00:00"/>
    <x v="6"/>
    <n v="601447"/>
  </r>
  <r>
    <d v="2025-07-29T00:00:00"/>
    <x v="6"/>
    <n v="603296"/>
  </r>
  <r>
    <d v="2025-07-30T00:00:00"/>
    <x v="6"/>
    <n v="604871"/>
  </r>
  <r>
    <d v="2025-07-31T00:00:00"/>
    <x v="6"/>
    <n v="605798"/>
  </r>
  <r>
    <d v="2025-08-01T00:00:00"/>
    <x v="7"/>
    <n v="601868"/>
  </r>
  <r>
    <d v="2025-08-02T00:00:00"/>
    <x v="7"/>
    <n v="602626"/>
  </r>
  <r>
    <d v="2025-08-03T00:00:00"/>
    <x v="7"/>
    <n v="603209"/>
  </r>
  <r>
    <d v="2025-08-04T00:00:00"/>
    <x v="7"/>
    <n v="603824"/>
  </r>
  <r>
    <d v="2025-08-05T00:00:00"/>
    <x v="7"/>
    <n v="604836"/>
  </r>
  <r>
    <d v="2025-08-06T00:00:00"/>
    <x v="7"/>
    <n v="603912"/>
  </r>
  <r>
    <d v="2025-08-07T00:00:00"/>
    <x v="7"/>
    <n v="606444"/>
  </r>
  <r>
    <d v="2025-08-08T00:00:00"/>
    <x v="7"/>
    <n v="607240"/>
  </r>
  <r>
    <d v="2025-08-09T00:00:00"/>
    <x v="7"/>
    <n v="614457"/>
  </r>
  <r>
    <d v="2025-08-10T00:00:00"/>
    <x v="7"/>
    <n v="615964"/>
  </r>
  <r>
    <d v="2025-08-11T00:00:00"/>
    <x v="7"/>
    <n v="618677"/>
  </r>
  <r>
    <d v="2025-08-12T00:00:00"/>
    <x v="7"/>
    <n v="620714"/>
  </r>
  <r>
    <d v="2025-08-13T00:00:00"/>
    <x v="7"/>
    <n v="621355"/>
  </r>
  <r>
    <d v="2025-08-14T00:00:00"/>
    <x v="7"/>
    <n v="625539"/>
  </r>
  <r>
    <d v="2025-08-15T00:00:00"/>
    <x v="7"/>
    <n v="628091"/>
  </r>
  <r>
    <d v="2025-08-16T00:00:00"/>
    <x v="7"/>
    <n v="630078"/>
  </r>
  <r>
    <d v="2025-08-17T00:00:00"/>
    <x v="7"/>
    <n v="631159"/>
  </r>
  <r>
    <d v="2025-08-18T00:00:00"/>
    <x v="7"/>
    <n v="632394"/>
  </r>
  <r>
    <d v="2025-08-19T00:00:00"/>
    <x v="7"/>
    <n v="633172"/>
  </r>
  <r>
    <d v="2025-08-20T00:00:00"/>
    <x v="7"/>
    <n v="635418"/>
  </r>
  <r>
    <d v="2025-08-21T00:00:00"/>
    <x v="7"/>
    <n v="639371"/>
  </r>
  <r>
    <d v="2025-08-22T00:00:00"/>
    <x v="7"/>
    <n v="639398"/>
  </r>
  <r>
    <d v="2025-08-23T00:00:00"/>
    <x v="7"/>
    <n v="642562"/>
  </r>
  <r>
    <d v="2025-08-24T00:00:00"/>
    <x v="7"/>
    <n v="643806"/>
  </r>
  <r>
    <d v="2025-08-25T00:00:00"/>
    <x v="7"/>
    <n v="645162"/>
  </r>
  <r>
    <d v="2025-08-26T00:00:00"/>
    <x v="7"/>
    <n v="647745"/>
  </r>
  <r>
    <d v="2025-08-27T00:00:00"/>
    <x v="7"/>
    <n v="650185"/>
  </r>
  <r>
    <d v="2025-08-28T00:00:00"/>
    <x v="7"/>
    <n v="654806"/>
  </r>
  <r>
    <d v="2025-08-29T00:00:00"/>
    <x v="7"/>
    <n v="657231"/>
  </r>
  <r>
    <d v="2025-08-30T00:00:00"/>
    <x v="7"/>
    <n v="657173"/>
  </r>
  <r>
    <d v="2025-08-31T00:00:00"/>
    <x v="7"/>
    <n v="658538"/>
  </r>
  <r>
    <d v="2025-09-01T00:00:00"/>
    <x v="8"/>
    <n v="650953"/>
  </r>
  <r>
    <d v="2025-09-02T00:00:00"/>
    <x v="8"/>
    <n v="652939"/>
  </r>
  <r>
    <d v="2025-09-03T00:00:00"/>
    <x v="8"/>
    <n v="637193"/>
  </r>
  <r>
    <d v="2025-09-04T00:00:00"/>
    <x v="8"/>
    <n v="657143"/>
  </r>
  <r>
    <d v="2025-09-05T00:00:00"/>
    <x v="8"/>
    <n v="659090"/>
  </r>
  <r>
    <d v="2025-09-06T00:00:00"/>
    <x v="8"/>
    <n v="659687"/>
  </r>
  <r>
    <d v="2025-09-07T00:00:00"/>
    <x v="8"/>
    <n v="659940"/>
  </r>
  <r>
    <d v="2025-09-08T00:00:00"/>
    <x v="8"/>
    <n v="660576"/>
  </r>
  <r>
    <d v="2025-09-09T00:00:00"/>
    <x v="8"/>
    <n v="662549"/>
  </r>
  <r>
    <d v="2025-09-10T00:00:00"/>
    <x v="8"/>
    <n v="664228"/>
  </r>
  <r>
    <d v="2025-09-11T00:00:00"/>
    <x v="8"/>
    <n v="666270"/>
  </r>
  <r>
    <d v="2025-09-12T00:00:00"/>
    <x v="8"/>
    <n v="667997"/>
  </r>
  <r>
    <d v="2025-09-13T00:00:00"/>
    <x v="8"/>
    <n v="669458"/>
  </r>
  <r>
    <d v="2025-09-14T00:00:00"/>
    <x v="8"/>
    <n v="670510"/>
  </r>
  <r>
    <d v="2025-09-15T00:00:00"/>
    <x v="8"/>
    <n v="671917"/>
  </r>
  <r>
    <d v="2025-09-16T00:00:00"/>
    <x v="8"/>
    <n v="674048"/>
  </r>
  <r>
    <d v="2025-09-17T00:00:00"/>
    <x v="8"/>
    <n v="675940"/>
  </r>
  <r>
    <d v="2025-09-18T00:00:00"/>
    <x v="8"/>
    <n v="677449"/>
  </r>
  <r>
    <d v="2025-09-19T00:00:00"/>
    <x v="8"/>
    <n v="678681"/>
  </r>
  <r>
    <d v="2025-09-20T00:00:00"/>
    <x v="8"/>
    <n v="601266"/>
  </r>
  <r>
    <d v="2025-09-21T00:00:00"/>
    <x v="8"/>
    <n v="683698"/>
  </r>
  <r>
    <d v="2025-09-22T00:00:00"/>
    <x v="8"/>
    <n v="685091"/>
  </r>
  <r>
    <d v="2025-09-23T00:00:00"/>
    <x v="8"/>
    <n v="687059"/>
  </r>
  <r>
    <d v="2025-09-24T00:00:00"/>
    <x v="8"/>
    <n v="688730"/>
  </r>
  <r>
    <d v="2025-09-25T00:00:00"/>
    <x v="8"/>
    <n v="678982"/>
  </r>
  <r>
    <d v="2025-09-26T00:00:00"/>
    <x v="8"/>
    <n v="680574"/>
  </r>
  <r>
    <d v="2025-09-27T00:00:00"/>
    <x v="8"/>
    <n v="693338"/>
  </r>
  <r>
    <d v="2025-09-28T00:00:00"/>
    <x v="8"/>
    <n v="694238"/>
  </r>
  <r>
    <d v="2025-09-29T00:00:00"/>
    <x v="8"/>
    <n v="695321"/>
  </r>
  <r>
    <d v="2025-09-30T00:00:00"/>
    <x v="8"/>
    <n v="697290"/>
  </r>
  <r>
    <d v="2025-10-01T00:00:00"/>
    <x v="9"/>
    <n v="689731"/>
  </r>
  <r>
    <d v="2025-10-02T00:00:00"/>
    <x v="9"/>
    <n v="691116"/>
  </r>
  <r>
    <d v="2025-10-03T00:00:00"/>
    <x v="9"/>
    <n v="691952"/>
  </r>
  <r>
    <d v="2025-10-04T00:00:00"/>
    <x v="9"/>
    <n v="692559"/>
  </r>
  <r>
    <d v="2025-10-05T00:00:00"/>
    <x v="9"/>
    <n v="693062"/>
  </r>
  <r>
    <d v="2025-10-06T00:00:00"/>
    <x v="9"/>
    <n v="691415"/>
  </r>
  <r>
    <d v="2025-10-07T00:00:00"/>
    <x v="9"/>
    <n v="694385"/>
  </r>
  <r>
    <d v="2025-10-08T00:00:00"/>
    <x v="9"/>
    <n v="700085"/>
  </r>
  <r>
    <d v="2025-10-09T00:00:00"/>
    <x v="9"/>
    <n v="701655"/>
  </r>
  <r>
    <d v="2025-10-10T00:00:00"/>
    <x v="9"/>
    <n v="703517"/>
  </r>
  <r>
    <d v="2025-10-11T00:00:00"/>
    <x v="9"/>
    <n v="704272"/>
  </r>
  <r>
    <d v="2025-10-12T00:00:00"/>
    <x v="9"/>
    <n v="704861"/>
  </r>
  <r>
    <d v="2025-10-13T00:00:00"/>
    <x v="9"/>
    <n v="705341"/>
  </r>
  <r>
    <d v="2025-10-14T00:00:00"/>
    <x v="9"/>
    <n v="706452"/>
  </r>
  <r>
    <d v="2025-10-15T00:00:00"/>
    <x v="9"/>
    <n v="707803"/>
  </r>
  <r>
    <d v="2025-10-16T00:00:00"/>
    <x v="9"/>
    <n v="709288"/>
  </r>
  <r>
    <d v="2025-10-17T00:00:00"/>
    <x v="9"/>
    <n v="710468"/>
  </r>
  <r>
    <d v="2025-10-18T00:00:00"/>
    <x v="9"/>
    <n v="722786"/>
  </r>
  <r>
    <d v="2025-10-19T00:00:00"/>
    <x v="9"/>
    <n v="715110"/>
  </r>
  <r>
    <d v="2025-10-20T00:00:00"/>
    <x v="9"/>
    <n v="720034"/>
  </r>
  <r>
    <d v="2025-10-21T00:00:00"/>
    <x v="9"/>
    <n v="723093"/>
  </r>
  <r>
    <d v="2025-10-22T00:00:00"/>
    <x v="9"/>
    <n v="692641"/>
  </r>
  <r>
    <d v="2025-10-23T00:00:00"/>
    <x v="9"/>
    <n v="695076"/>
  </r>
  <r>
    <d v="2025-10-24T00:00:00"/>
    <x v="9"/>
    <n v="695386"/>
  </r>
  <r>
    <d v="2025-10-25T00:00:00"/>
    <x v="9"/>
    <n v="734906"/>
  </r>
  <r>
    <d v="2025-10-26T00:00:00"/>
    <x v="9"/>
    <n v="735713"/>
  </r>
  <r>
    <d v="2025-10-27T00:00:00"/>
    <x v="9"/>
    <n v="644391"/>
  </r>
  <r>
    <d v="2025-10-28T00:00:00"/>
    <x v="9"/>
    <n v="651301"/>
  </r>
  <r>
    <d v="2025-10-29T00:00:00"/>
    <x v="9"/>
    <n v="651701"/>
  </r>
  <r>
    <d v="2025-10-30T00:00:00"/>
    <x v="9"/>
    <n v="741052"/>
  </r>
  <r>
    <d v="2025-10-31T00:00:00"/>
    <x v="9"/>
    <n v="751931"/>
  </r>
  <r>
    <d v="2025-11-01T00:00:00"/>
    <x v="10"/>
    <n v="748044"/>
  </r>
  <r>
    <d v="2025-11-02T00:00:00"/>
    <x v="10"/>
    <n v="750746"/>
  </r>
  <r>
    <d v="2025-11-03T00:00:00"/>
    <x v="10"/>
    <n v="753942"/>
  </r>
  <r>
    <d v="2025-11-04T00:00:00"/>
    <x v="10"/>
    <n v="755869"/>
  </r>
  <r>
    <d v="2025-11-05T00:00:00"/>
    <x v="10"/>
    <n v="759343"/>
  </r>
  <r>
    <d v="2025-11-06T00:00:00"/>
    <x v="10"/>
    <n v="763278"/>
  </r>
  <r>
    <d v="2025-11-07T00:00:00"/>
    <x v="10"/>
    <n v="765042"/>
  </r>
  <r>
    <d v="2025-11-08T00:00:00"/>
    <x v="10"/>
    <n v="770915"/>
  </r>
  <r>
    <d v="2025-11-09T00:00:00"/>
    <x v="10"/>
    <n v="680097"/>
  </r>
  <r>
    <d v="2025-11-10T00:00:00"/>
    <x v="10"/>
    <n v="778126"/>
  </r>
  <r>
    <d v="2025-11-11T00:00:00"/>
    <x v="10"/>
    <n v="781031"/>
  </r>
  <r>
    <d v="2025-11-12T00:00:00"/>
    <x v="10"/>
    <n v="787466"/>
  </r>
  <r>
    <d v="2025-11-13T00:00:00"/>
    <x v="10"/>
    <n v="789118"/>
  </r>
  <r>
    <d v="2025-11-14T00:00:00"/>
    <x v="10"/>
    <n v="790506"/>
  </r>
  <r>
    <d v="2025-11-15T00:00:00"/>
    <x v="10"/>
    <n v="797450"/>
  </r>
  <r>
    <d v="2025-11-16T00:00:00"/>
    <x v="10"/>
    <n v="801347"/>
  </r>
  <r>
    <d v="2025-11-17T00:00:00"/>
    <x v="10"/>
    <n v="802891"/>
  </r>
  <r>
    <d v="2025-11-18T00:00:00"/>
    <x v="10"/>
    <n v="806303"/>
  </r>
  <r>
    <d v="2025-11-19T00:00:00"/>
    <x v="10"/>
    <n v="809859"/>
  </r>
  <r>
    <d v="2025-11-20T00:00:00"/>
    <x v="10"/>
    <n v="813129"/>
  </r>
  <r>
    <d v="2025-11-21T00:00:00"/>
    <x v="10"/>
    <n v="815236"/>
  </r>
  <r>
    <d v="2025-11-22T00:00:00"/>
    <x v="10"/>
    <n v="818251"/>
  </r>
  <r>
    <d v="2025-11-23T00:00:00"/>
    <x v="10"/>
    <n v="820893"/>
  </r>
  <r>
    <d v="2025-11-24T00:00:00"/>
    <x v="10"/>
    <n v="822481"/>
  </r>
  <r>
    <d v="2025-11-25T00:00:00"/>
    <x v="10"/>
    <n v="824224"/>
  </r>
  <r>
    <d v="2025-11-26T00:00:00"/>
    <x v="10"/>
    <n v="825654"/>
  </r>
  <r>
    <d v="2025-11-27T00:00:00"/>
    <x v="10"/>
    <n v="828034"/>
  </r>
  <r>
    <d v="2025-11-28T00:00:00"/>
    <x v="10"/>
    <n v="829842"/>
  </r>
  <r>
    <d v="2025-11-29T00:00:00"/>
    <x v="10"/>
    <n v="831262"/>
  </r>
  <r>
    <d v="2025-11-30T00:00:00"/>
    <x v="10"/>
    <n v="831879"/>
  </r>
  <r>
    <d v="2025-12-01T00:00:00"/>
    <x v="11"/>
    <n v="826998"/>
  </r>
  <r>
    <d v="2025-12-02T00:00:00"/>
    <x v="11"/>
    <n v="832009"/>
  </r>
  <r>
    <d v="2025-12-03T00:00:00"/>
    <x v="11"/>
    <n v="834852"/>
  </r>
  <r>
    <d v="2025-12-04T00:00:00"/>
    <x v="11"/>
    <n v="836465"/>
  </r>
  <r>
    <d v="2025-12-05T00:00:00"/>
    <x v="11"/>
    <n v="848607"/>
  </r>
  <r>
    <d v="2025-12-06T00:00:00"/>
    <x v="11"/>
    <n v="850329"/>
  </r>
  <r>
    <d v="2025-12-07T00:00:00"/>
    <x v="11"/>
    <n v="746357"/>
  </r>
  <r>
    <d v="2025-12-08T00:00:00"/>
    <x v="11"/>
    <n v="853425"/>
  </r>
  <r>
    <d v="2025-12-09T00:00:00"/>
    <x v="11"/>
    <n v="855301"/>
  </r>
  <r>
    <d v="2025-12-10T00:00:00"/>
    <x v="11"/>
    <n v="843144"/>
  </r>
  <r>
    <d v="2025-12-11T00:00:00"/>
    <x v="11"/>
    <n v="866166"/>
  </r>
  <r>
    <d v="2025-12-12T00:00:00"/>
    <x v="11"/>
    <n v="856614"/>
  </r>
  <r>
    <d v="2025-12-13T00:00:00"/>
    <x v="11"/>
    <n v="853127"/>
  </r>
  <r>
    <d v="2025-12-14T00:00:00"/>
    <x v="11"/>
    <n v="846468"/>
  </r>
  <r>
    <d v="2025-12-15T00:00:00"/>
    <x v="11"/>
    <n v="845186"/>
  </r>
  <r>
    <d v="2025-12-16T00:00:00"/>
    <x v="11"/>
    <n v="850215"/>
  </r>
  <r>
    <d v="2025-12-17T00:00:00"/>
    <x v="11"/>
    <n v="852134"/>
  </r>
  <r>
    <d v="2025-12-18T00:00:00"/>
    <x v="11"/>
    <n v="855438"/>
  </r>
  <r>
    <d v="2025-12-19T00:00:00"/>
    <x v="11"/>
    <n v="858429"/>
  </r>
  <r>
    <d v="2025-12-20T00:00:00"/>
    <x v="11"/>
    <n v="751251"/>
  </r>
  <r>
    <d v="2025-12-21T00:00:00"/>
    <x v="11"/>
    <n v="860990"/>
  </r>
  <r>
    <d v="2025-12-22T00:00:00"/>
    <x v="11"/>
    <n v="863720"/>
  </r>
  <r>
    <d v="2025-12-23T00:00:00"/>
    <x v="11"/>
    <n v="867217"/>
  </r>
  <r>
    <d v="2025-12-24T00:00:00"/>
    <x v="11"/>
    <n v="866393"/>
  </r>
  <r>
    <d v="2025-12-25T00:00:00"/>
    <x v="11"/>
    <n v="869870"/>
  </r>
  <r>
    <d v="2025-12-26T00:00:00"/>
    <x v="11"/>
    <n v="870776"/>
  </r>
  <r>
    <d v="2025-12-27T00:00:00"/>
    <x v="11"/>
    <n v="872794"/>
  </r>
  <r>
    <d v="2025-12-28T00:00:00"/>
    <x v="11"/>
    <n v="875608"/>
  </r>
  <r>
    <d v="2025-12-29T00:00:00"/>
    <x v="11"/>
    <n v="878260"/>
  </r>
  <r>
    <d v="2025-12-30T00:00:00"/>
    <x v="11"/>
    <n v="881454"/>
  </r>
  <r>
    <d v="2025-12-31T00:00:00"/>
    <x v="11"/>
    <n v="878446"/>
  </r>
  <r>
    <d v="2026-01-01T00:00:00"/>
    <x v="12"/>
    <n v="871241"/>
  </r>
  <r>
    <d v="2026-01-02T00:00:00"/>
    <x v="12"/>
    <n v="873258"/>
  </r>
  <r>
    <d v="2026-01-03T00:00:00"/>
    <x v="12"/>
    <n v="874399"/>
  </r>
  <r>
    <d v="2026-01-04T00:00:00"/>
    <x v="12"/>
    <n v="768820"/>
  </r>
  <r>
    <d v="2026-01-05T00:00:00"/>
    <x v="12"/>
    <n v="881166"/>
  </r>
  <r>
    <d v="2026-01-06T00:00:00"/>
    <x v="12"/>
    <n v="882640"/>
  </r>
  <r>
    <d v="2026-01-07T00:00:00"/>
    <x v="12"/>
    <n v="883036"/>
  </r>
  <r>
    <d v="2026-01-08T00:00:00"/>
    <x v="12"/>
    <n v="886601"/>
  </r>
  <r>
    <d v="2026-01-09T00:00:00"/>
    <x v="12"/>
    <n v="889954"/>
  </r>
  <r>
    <d v="2026-01-10T00:00:00"/>
    <x v="12"/>
    <n v="892050"/>
  </r>
  <r>
    <d v="2026-01-11T00:00:00"/>
    <x v="12"/>
    <n v="894930"/>
  </r>
  <r>
    <d v="2026-01-12T00:00:00"/>
    <x v="12"/>
    <n v="896331"/>
  </r>
  <r>
    <d v="2026-01-13T00:00:00"/>
    <x v="12"/>
    <n v="901350"/>
  </r>
  <r>
    <d v="2026-01-14T00:00:00"/>
    <x v="12"/>
    <n v="903356"/>
  </r>
  <r>
    <d v="2026-01-15T00:00:00"/>
    <x v="12"/>
    <n v="886341"/>
  </r>
  <r>
    <d v="2026-01-16T00:00:00"/>
    <x v="12"/>
    <n v="909112"/>
  </r>
  <r>
    <d v="2026-01-17T00:00:00"/>
    <x v="12"/>
    <n v="798888"/>
  </r>
  <r>
    <d v="2026-01-18T00:00:00"/>
    <x v="12"/>
    <n v="915051"/>
  </r>
  <r>
    <d v="2026-01-19T00:00:00"/>
    <x v="12"/>
    <n v="914628"/>
  </r>
  <r>
    <d v="2026-01-20T00:00:00"/>
    <x v="12"/>
    <n v="913315"/>
  </r>
  <r>
    <d v="2026-01-21T00:00:00"/>
    <x v="12"/>
    <n v="916745"/>
  </r>
  <r>
    <d v="2026-01-22T00:00:00"/>
    <x v="12"/>
    <n v="920122"/>
  </r>
  <r>
    <d v="2026-01-23T00:00:00"/>
    <x v="12"/>
    <n v="923583"/>
  </r>
  <r>
    <d v="2026-01-24T00:00:00"/>
    <x v="12"/>
    <n v="925578"/>
  </r>
  <r>
    <d v="2026-01-25T00:00:00"/>
    <x v="12"/>
    <n v="928258"/>
  </r>
  <r>
    <d v="2026-01-26T00:00:00"/>
    <x v="12"/>
    <n v="813845"/>
  </r>
  <r>
    <d v="2026-01-27T00:00:00"/>
    <x v="12"/>
    <n v="931755"/>
  </r>
  <r>
    <d v="2026-01-28T00:00:00"/>
    <x v="12"/>
    <n v="932868"/>
  </r>
  <r>
    <d v="2026-01-29T00:00:00"/>
    <x v="12"/>
    <n v="935019"/>
  </r>
  <r>
    <d v="2026-01-30T00:00:00"/>
    <x v="12"/>
    <n v="920301"/>
  </r>
  <r>
    <d v="2026-01-31T00:00:00"/>
    <x v="12"/>
    <n v="948575"/>
  </r>
  <r>
    <d v="2026-02-01T00:00:00"/>
    <x v="13"/>
    <n v="825426"/>
  </r>
  <r>
    <d v="2026-02-02T00:00:00"/>
    <x v="13"/>
    <n v="945434"/>
  </r>
  <r>
    <d v="2026-02-03T00:00:00"/>
    <x v="13"/>
    <n v="949894"/>
  </r>
  <r>
    <d v="2026-02-04T00:00:00"/>
    <x v="13"/>
    <n v="834562"/>
  </r>
  <r>
    <d v="2026-02-05T00:00:00"/>
    <x v="13"/>
    <n v="956410"/>
  </r>
  <r>
    <d v="2026-02-06T00:00:00"/>
    <x v="13"/>
    <n v="960366"/>
  </r>
  <r>
    <d v="2026-02-07T00:00:00"/>
    <x v="13"/>
    <n v="962961"/>
  </r>
  <r>
    <d v="2026-02-08T00:00:00"/>
    <x v="13"/>
    <n v="964763"/>
  </r>
  <r>
    <d v="2026-02-09T00:00:00"/>
    <x v="13"/>
    <n v="969233"/>
  </r>
  <r>
    <d v="2026-02-10T00:00:00"/>
    <x v="13"/>
    <n v="972563"/>
  </r>
  <r>
    <d v="2026-02-11T00:00:00"/>
    <x v="13"/>
    <n v="973876"/>
  </r>
  <r>
    <d v="2026-02-12T00:00:00"/>
    <x v="13"/>
    <n v="977367"/>
  </r>
  <r>
    <d v="2026-02-13T00:00:00"/>
    <x v="13"/>
    <n v="980522"/>
  </r>
  <r>
    <d v="2026-02-14T00:00:00"/>
    <x v="13"/>
    <n v="982582"/>
  </r>
  <r>
    <d v="2026-02-15T00:00:00"/>
    <x v="13"/>
    <n v="985690"/>
  </r>
  <r>
    <d v="2026-02-16T00:00:00"/>
    <x v="13"/>
    <n v="988584"/>
  </r>
  <r>
    <d v="2026-02-17T00:00:00"/>
    <x v="13"/>
    <n v="992393"/>
  </r>
  <r>
    <d v="2026-02-18T00:00:00"/>
    <x v="13"/>
    <n v="870069"/>
  </r>
  <r>
    <d v="2026-02-19T00:00:00"/>
    <x v="13"/>
    <n v="997103"/>
  </r>
  <r>
    <d v="2026-02-20T00:00:00"/>
    <x v="13"/>
    <n v="890200"/>
  </r>
  <r>
    <d v="2026-02-21T00:00:00"/>
    <x v="13"/>
    <n v="878307"/>
  </r>
  <r>
    <d v="2026-02-22T00:00:00"/>
    <x v="13"/>
    <n v="879471"/>
  </r>
  <r>
    <d v="2026-02-23T00:00:00"/>
    <x v="13"/>
    <n v="883738"/>
  </r>
  <r>
    <d v="2026-02-24T00:00:00"/>
    <x v="13"/>
    <n v="886955"/>
  </r>
  <r>
    <d v="2026-02-25T00:00:00"/>
    <x v="13"/>
    <n v="888436"/>
  </r>
  <r>
    <d v="2026-02-26T00:00:00"/>
    <x v="13"/>
    <n v="891386"/>
  </r>
  <r>
    <d v="2026-02-27T00:00:00"/>
    <x v="13"/>
    <n v="894547"/>
  </r>
  <r>
    <d v="2026-02-28T00:00:00"/>
    <x v="13"/>
    <n v="895329"/>
  </r>
  <r>
    <d v="2026-03-01T00:00:00"/>
    <x v="14"/>
    <n v="1017692"/>
  </r>
  <r>
    <d v="2026-03-02T00:00:00"/>
    <x v="14"/>
    <n v="890764"/>
  </r>
  <r>
    <d v="2026-03-03T00:00:00"/>
    <x v="14"/>
    <n v="1023520"/>
  </r>
  <r>
    <d v="2026-03-04T00:00:00"/>
    <x v="14"/>
    <n v="1024946"/>
  </r>
  <r>
    <d v="2026-03-05T00:00:00"/>
    <x v="14"/>
    <n v="1027938"/>
  </r>
  <r>
    <d v="2026-03-06T00:00:00"/>
    <x v="14"/>
    <n v="1031261"/>
  </r>
  <r>
    <d v="2026-03-07T00:00:00"/>
    <x v="14"/>
    <n v="1033748"/>
  </r>
  <r>
    <d v="2026-03-08T00:00:00"/>
    <x v="14"/>
    <n v="1036213"/>
  </r>
  <r>
    <d v="2026-03-09T00:00:00"/>
    <x v="14"/>
    <n v="1030346"/>
  </r>
  <r>
    <d v="2026-03-10T00:00:00"/>
    <x v="14"/>
    <n v="1036215"/>
  </r>
  <r>
    <d v="2026-03-11T00:00:00"/>
    <x v="14"/>
    <n v="1045423"/>
  </r>
  <r>
    <d v="2026-03-12T00:00:00"/>
    <x v="14"/>
    <n v="1049027"/>
  </r>
  <r>
    <d v="2026-03-13T00:00:00"/>
    <x v="14"/>
    <n v="1041191"/>
  </r>
  <r>
    <d v="2026-03-14T00:00:00"/>
    <x v="14"/>
    <n v="1052078"/>
  </r>
  <r>
    <d v="2026-03-15T00:00:00"/>
    <x v="14"/>
    <n v="1054763"/>
  </r>
  <r>
    <d v="2026-03-16T00:00:00"/>
    <x v="14"/>
    <n v="1056155"/>
  </r>
  <r>
    <d v="2026-03-17T00:00:00"/>
    <x v="14"/>
    <n v="1060826"/>
  </r>
  <r>
    <d v="2026-03-18T00:00:00"/>
    <x v="14"/>
    <n v="1064130"/>
  </r>
  <r>
    <d v="2026-03-19T00:00:00"/>
    <x v="14"/>
    <n v="1067394"/>
  </r>
  <r>
    <d v="2026-03-20T00:00:00"/>
    <x v="14"/>
    <n v="1070997"/>
  </r>
  <r>
    <d v="2026-03-21T00:00:00"/>
    <x v="14"/>
    <n v="1071789"/>
  </r>
  <r>
    <d v="2026-03-22T00:00:00"/>
    <x v="14"/>
    <n v="1072737"/>
  </r>
  <r>
    <d v="2026-03-23T00:00:00"/>
    <x v="14"/>
    <n v="1075853"/>
  </r>
  <r>
    <d v="2026-03-24T00:00:00"/>
    <x v="14"/>
    <n v="1079568"/>
  </r>
  <r>
    <d v="2026-03-25T00:00:00"/>
    <x v="14"/>
    <n v="1080908"/>
  </r>
  <r>
    <d v="2026-03-26T00:00:00"/>
    <x v="14"/>
    <n v="1084025"/>
  </r>
  <r>
    <d v="2026-03-27T00:00:00"/>
    <x v="14"/>
    <n v="1086862"/>
  </r>
  <r>
    <d v="2026-03-28T00:00:00"/>
    <x v="14"/>
    <n v="1088269"/>
  </r>
  <r>
    <d v="2026-03-29T00:00:00"/>
    <x v="14"/>
    <n v="1090461"/>
  </r>
  <r>
    <d v="2026-03-30T00:00:00"/>
    <x v="14"/>
    <n v="1092957"/>
  </r>
  <r>
    <d v="2026-03-31T00:00:00"/>
    <x v="14"/>
    <n v="1096748"/>
  </r>
  <r>
    <d v="2026-04-01T00:00:00"/>
    <x v="15"/>
    <n v="1086101"/>
  </r>
  <r>
    <d v="2026-04-02T00:00:00"/>
    <x v="15"/>
    <n v="948427"/>
  </r>
  <r>
    <d v="2026-04-03T00:00:00"/>
    <x v="15"/>
    <n v="1093572"/>
  </r>
  <r>
    <d v="2026-04-04T00:00:00"/>
    <x v="15"/>
    <n v="1095914"/>
  </r>
  <r>
    <d v="2026-04-05T00:00:00"/>
    <x v="15"/>
    <n v="959075"/>
  </r>
  <r>
    <d v="2026-04-06T00:00:00"/>
    <x v="15"/>
    <n v="1100515"/>
  </r>
  <r>
    <d v="2026-04-07T00:00:00"/>
    <x v="15"/>
    <n v="965775"/>
  </r>
  <r>
    <d v="2026-04-08T00:00:00"/>
    <x v="15"/>
    <n v="1105656"/>
  </r>
  <r>
    <d v="2026-04-09T00:00:00"/>
    <x v="15"/>
    <n v="1110802"/>
  </r>
  <r>
    <d v="2026-04-10T00:00:00"/>
    <x v="15"/>
    <n v="976250"/>
  </r>
  <r>
    <d v="2026-04-11T00:00:00"/>
    <x v="15"/>
    <n v="1119043"/>
  </r>
  <r>
    <d v="2026-04-12T00:00:00"/>
    <x v="15"/>
    <n v="1122456"/>
  </r>
  <r>
    <d v="2026-04-13T00:00:00"/>
    <x v="15"/>
    <n v="984386"/>
  </r>
  <r>
    <d v="2026-04-14T00:00:00"/>
    <x v="15"/>
    <n v="987967"/>
  </r>
  <r>
    <d v="2026-04-15T00:00:00"/>
    <x v="15"/>
    <n v="1133415"/>
  </r>
  <r>
    <d v="2026-04-16T00:00:00"/>
    <x v="15"/>
    <n v="1134982"/>
  </r>
  <r>
    <d v="2026-04-17T00:00:00"/>
    <x v="15"/>
    <n v="1129857"/>
  </r>
  <r>
    <d v="2026-04-18T00:00:00"/>
    <x v="15"/>
    <n v="1140438"/>
  </r>
  <r>
    <d v="2026-04-19T00:00:00"/>
    <x v="15"/>
    <n v="1142807"/>
  </r>
  <r>
    <d v="2026-04-20T00:00:00"/>
    <x v="15"/>
    <n v="1145639"/>
  </r>
  <r>
    <d v="2026-04-21T00:00:00"/>
    <x v="15"/>
    <n v="1154100"/>
  </r>
  <r>
    <d v="2026-04-22T00:00:00"/>
    <x v="15"/>
    <n v="1157706"/>
  </r>
  <r>
    <d v="2026-04-23T00:00:00"/>
    <x v="15"/>
    <n v="1164450"/>
  </r>
  <r>
    <d v="2026-04-24T00:00:00"/>
    <x v="15"/>
    <n v="1170880"/>
  </r>
  <r>
    <d v="2026-04-25T00:00:00"/>
    <x v="15"/>
    <n v="1177838"/>
  </r>
  <r>
    <d v="2026-04-26T00:00:00"/>
    <x v="15"/>
    <n v="1182197"/>
  </r>
  <r>
    <d v="2026-04-27T00:00:00"/>
    <x v="15"/>
    <n v="1185973"/>
  </r>
  <r>
    <d v="2026-04-28T00:00:00"/>
    <x v="15"/>
    <n v="1190596"/>
  </r>
  <r>
    <d v="2026-04-29T00:00:00"/>
    <x v="15"/>
    <n v="1193360"/>
  </r>
  <r>
    <d v="2026-04-30T00:00:00"/>
    <x v="15"/>
    <n v="1187920"/>
  </r>
  <r>
    <d v="2026-05-01T00:00:00"/>
    <x v="16"/>
    <n v="1184388"/>
  </r>
  <r>
    <d v="2026-05-02T00:00:00"/>
    <x v="16"/>
    <n v="1187418"/>
  </r>
  <r>
    <d v="2026-05-03T00:00:00"/>
    <x v="16"/>
    <n v="1190530"/>
  </r>
  <r>
    <d v="2026-05-04T00:00:00"/>
    <x v="16"/>
    <n v="1194892"/>
  </r>
  <r>
    <d v="2026-05-05T00:00:00"/>
    <x v="16"/>
    <n v="1198755"/>
  </r>
  <r>
    <d v="2026-05-06T00:00:00"/>
    <x v="16"/>
    <n v="1201249"/>
  </r>
  <r>
    <d v="2026-05-07T00:00:00"/>
    <x v="16"/>
    <n v="1197908"/>
  </r>
  <r>
    <d v="2026-05-08T00:00:00"/>
    <x v="16"/>
    <n v="1194318"/>
  </r>
  <r>
    <d v="2026-05-09T00:00:00"/>
    <x v="16"/>
    <n v="1196497"/>
  </r>
  <r>
    <d v="2026-05-10T00:00:00"/>
    <x v="16"/>
    <n v="1197857"/>
  </r>
  <r>
    <d v="2026-05-11T00:00:00"/>
    <x v="16"/>
    <n v="1202833"/>
  </r>
  <r>
    <d v="2026-05-12T00:00:00"/>
    <x v="16"/>
    <n v="1207169"/>
  </r>
  <r>
    <d v="2026-05-13T00:00:00"/>
    <x v="16"/>
    <n v="1057514"/>
  </r>
  <r>
    <d v="2026-05-14T00:00:00"/>
    <x v="16"/>
    <n v="1216210"/>
  </r>
  <r>
    <d v="2026-05-15T00:00:00"/>
    <x v="16"/>
    <n v="1218717"/>
  </r>
  <r>
    <d v="2026-05-16T00:00:00"/>
    <x v="16"/>
    <n v="1218082"/>
  </r>
  <r>
    <d v="2026-05-17T00:00:00"/>
    <x v="16"/>
    <n v="1220141"/>
  </r>
  <r>
    <d v="2026-05-18T00:00:00"/>
    <x v="16"/>
    <n v="1222043"/>
  </r>
  <r>
    <d v="2026-05-19T00:00:00"/>
    <x v="16"/>
    <n v="1073372"/>
  </r>
  <r>
    <d v="2026-05-20T00:00:00"/>
    <x v="16"/>
    <n v="1229395"/>
  </r>
  <r>
    <d v="2026-05-21T00:00:00"/>
    <x v="16"/>
    <n v="1234197"/>
  </r>
  <r>
    <d v="2026-05-22T00:00:00"/>
    <x v="16"/>
    <n v="1238542"/>
  </r>
  <r>
    <d v="2026-05-23T00:00:00"/>
    <x v="16"/>
    <n v="1243900"/>
  </r>
  <r>
    <d v="2026-05-24T00:00:00"/>
    <x v="16"/>
    <n v="1246182"/>
  </r>
  <r>
    <d v="2026-05-25T00:00:00"/>
    <x v="16"/>
    <n v="1250279"/>
  </r>
  <r>
    <d v="2026-05-26T00:00:00"/>
    <x v="16"/>
    <n v="1254908"/>
  </r>
  <r>
    <d v="2026-05-27T00:00:00"/>
    <x v="16"/>
    <n v="1258507"/>
  </r>
  <r>
    <d v="2026-05-28T00:00:00"/>
    <x v="16"/>
    <n v="1259973"/>
  </r>
  <r>
    <d v="2026-05-29T00:00:00"/>
    <x v="16"/>
    <n v="1259973"/>
  </r>
  <r>
    <d v="2026-05-30T00:00:00"/>
    <x v="16"/>
    <n v="1252084"/>
  </r>
  <r>
    <d v="2026-05-31T00:00:00"/>
    <x v="16"/>
    <n v="1252022"/>
  </r>
  <r>
    <d v="2026-06-01T00:00:00"/>
    <x v="17"/>
    <n v="1252216"/>
  </r>
  <r>
    <d v="2026-06-02T00:00:00"/>
    <x v="17"/>
    <n v="1256926"/>
  </r>
  <r>
    <d v="2026-06-03T00:00:00"/>
    <x v="17"/>
    <n v="1268039"/>
  </r>
  <r>
    <d v="2026-06-04T00:00:00"/>
    <x v="17"/>
    <n v="1268908"/>
  </r>
  <r>
    <d v="2026-06-05T00:00:00"/>
    <x v="17"/>
    <n v="1272009"/>
  </r>
  <r>
    <d v="2026-06-06T00:00:00"/>
    <x v="17"/>
    <n v="1272502"/>
  </r>
  <r>
    <d v="2026-06-07T00:00:00"/>
    <x v="17"/>
    <n v="1116727"/>
  </r>
  <r>
    <d v="2026-06-08T00:00:00"/>
    <x v="17"/>
    <n v="1280032"/>
  </r>
  <r>
    <d v="2026-06-09T00:00:00"/>
    <x v="17"/>
    <n v="1282245"/>
  </r>
  <r>
    <d v="2026-06-10T00:00:00"/>
    <x v="17"/>
    <n v="1285313"/>
  </r>
  <r>
    <d v="2026-06-11T00:00:00"/>
    <x v="17"/>
    <n v="1289120"/>
  </r>
  <r>
    <d v="2026-06-12T00:00:00"/>
    <x v="17"/>
    <n v="1292790"/>
  </r>
  <r>
    <d v="2026-06-13T00:00:00"/>
    <x v="17"/>
    <n v="1296711"/>
  </r>
  <r>
    <d v="2026-06-14T00:00:00"/>
    <x v="17"/>
    <n v="1298588"/>
  </r>
  <r>
    <d v="2026-06-15T00:00:00"/>
    <x v="17"/>
    <n v="1135386"/>
  </r>
  <r>
    <d v="2026-06-16T00:00:00"/>
    <x v="17"/>
    <n v="1303153"/>
  </r>
  <r>
    <d v="2026-06-17T00:00:00"/>
    <x v="17"/>
    <n v="1308465"/>
  </r>
  <r>
    <d v="2026-06-18T00:00:00"/>
    <x v="17"/>
    <n v="1307757"/>
  </r>
  <r>
    <d v="2026-06-19T00:00:00"/>
    <x v="17"/>
    <n v="1311331"/>
  </r>
  <r>
    <d v="2026-06-20T00:00:00"/>
    <x v="17"/>
    <n v="1313273"/>
  </r>
  <r>
    <d v="2026-06-21T00:00:00"/>
    <x v="17"/>
    <n v="1317735"/>
  </r>
  <r>
    <d v="2026-06-22T00:00:00"/>
    <x v="17"/>
    <n v="1320542"/>
  </r>
  <r>
    <d v="2026-06-23T00:00:00"/>
    <x v="17"/>
    <n v="1323767"/>
  </r>
  <r>
    <d v="2026-06-24T00:00:00"/>
    <x v="17"/>
    <n v="1325927"/>
  </r>
  <r>
    <d v="2026-06-25T00:00:00"/>
    <x v="17"/>
    <n v="1329577"/>
  </r>
  <r>
    <d v="2026-06-26T00:00:00"/>
    <x v="17"/>
    <n v="1333008"/>
  </r>
  <r>
    <d v="2026-06-27T00:00:00"/>
    <x v="17"/>
    <n v="1334897"/>
  </r>
  <r>
    <d v="2026-06-28T00:00:00"/>
    <x v="17"/>
    <n v="1338134"/>
  </r>
  <r>
    <d v="2026-06-29T00:00:00"/>
    <x v="17"/>
    <n v="1341383"/>
  </r>
  <r>
    <d v="2026-06-30T00:00:00"/>
    <x v="17"/>
    <n v="1347328"/>
  </r>
  <r>
    <d v="2026-07-01T00:00:00"/>
    <x v="18"/>
    <n v="1345357"/>
  </r>
  <r>
    <d v="2026-07-02T00:00:00"/>
    <x v="18"/>
    <n v="1348532"/>
  </r>
  <r>
    <d v="2026-07-03T00:00:00"/>
    <x v="18"/>
    <n v="1351263"/>
  </r>
  <r>
    <d v="2026-07-04T00:00:00"/>
    <x v="18"/>
    <n v="1355891"/>
  </r>
  <r>
    <d v="2026-07-05T00:00:00"/>
    <x v="18"/>
    <n v="1359486"/>
  </r>
  <r>
    <d v="2026-07-06T00:00:00"/>
    <x v="18"/>
    <n v="1362765"/>
  </r>
  <r>
    <d v="2026-07-07T00:00:00"/>
    <x v="18"/>
    <n v="1366030"/>
  </r>
  <r>
    <d v="2026-07-08T00:00:00"/>
    <x v="18"/>
    <n v="1366639"/>
  </r>
  <r>
    <d v="2026-07-09T00:00:00"/>
    <x v="18"/>
    <n v="1369272"/>
  </r>
  <r>
    <d v="2026-07-10T00:00:00"/>
    <x v="18"/>
    <n v="1374140"/>
  </r>
  <r>
    <d v="2026-07-11T00:00:00"/>
    <x v="18"/>
    <n v="1378833"/>
  </r>
  <r>
    <d v="2026-07-12T00:00:00"/>
    <x v="18"/>
    <n v="1204805"/>
  </r>
  <r>
    <d v="2026-07-13T00:00:00"/>
    <x v="18"/>
    <n v="138501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9">
  <r>
    <d v="2025-01-01T00:00:00"/>
    <x v="0"/>
    <n v="5806118"/>
  </r>
  <r>
    <d v="2025-01-02T00:00:00"/>
    <x v="0"/>
    <n v="5905738"/>
  </r>
  <r>
    <d v="2025-01-03T00:00:00"/>
    <x v="0"/>
    <n v="5894974"/>
  </r>
  <r>
    <d v="2025-01-04T00:00:00"/>
    <x v="0"/>
    <n v="5721069"/>
  </r>
  <r>
    <d v="2025-01-05T00:00:00"/>
    <x v="0"/>
    <n v="5968843"/>
  </r>
  <r>
    <d v="2025-01-06T00:00:00"/>
    <x v="0"/>
    <n v="6036058"/>
  </r>
  <r>
    <d v="2025-01-07T00:00:00"/>
    <x v="0"/>
    <n v="6043566"/>
  </r>
  <r>
    <d v="2025-01-08T00:00:00"/>
    <x v="0"/>
    <n v="6085984"/>
  </r>
  <r>
    <d v="2025-01-09T00:00:00"/>
    <x v="0"/>
    <n v="6122979"/>
  </r>
  <r>
    <d v="2025-01-10T00:00:00"/>
    <x v="0"/>
    <n v="6118739"/>
  </r>
  <r>
    <d v="2025-01-11T00:00:00"/>
    <x v="0"/>
    <n v="5871858"/>
  </r>
  <r>
    <d v="2025-01-12T00:00:00"/>
    <x v="0"/>
    <n v="6081275"/>
  </r>
  <r>
    <d v="2025-01-13T00:00:00"/>
    <x v="0"/>
    <n v="6235024"/>
  </r>
  <r>
    <d v="2025-01-14T00:00:00"/>
    <x v="0"/>
    <n v="6294261"/>
  </r>
  <r>
    <d v="2025-01-15T00:00:00"/>
    <x v="0"/>
    <n v="6236404"/>
  </r>
  <r>
    <d v="2025-01-16T00:00:00"/>
    <x v="0"/>
    <n v="6263808"/>
  </r>
  <r>
    <d v="2025-01-17T00:00:00"/>
    <x v="0"/>
    <n v="7298021"/>
  </r>
  <r>
    <d v="2025-01-18T00:00:00"/>
    <x v="0"/>
    <n v="7377550"/>
  </r>
  <r>
    <d v="2025-01-19T00:00:00"/>
    <x v="0"/>
    <n v="7254362"/>
  </r>
  <r>
    <d v="2025-01-20T00:00:00"/>
    <x v="0"/>
    <n v="7203183"/>
  </r>
  <r>
    <d v="2025-01-21T00:00:00"/>
    <x v="0"/>
    <n v="7571482"/>
  </r>
  <r>
    <d v="2025-01-22T00:00:00"/>
    <x v="0"/>
    <n v="7249238"/>
  </r>
  <r>
    <d v="2025-01-23T00:00:00"/>
    <x v="0"/>
    <n v="6940276"/>
  </r>
  <r>
    <d v="2025-01-24T00:00:00"/>
    <x v="0"/>
    <n v="6828160"/>
  </r>
  <r>
    <d v="2025-01-25T00:00:00"/>
    <x v="0"/>
    <n v="6661122"/>
  </r>
  <r>
    <d v="2025-01-26T00:00:00"/>
    <x v="0"/>
    <n v="6746641"/>
  </r>
  <r>
    <d v="2025-01-27T00:00:00"/>
    <x v="0"/>
    <n v="6845293"/>
  </r>
  <r>
    <d v="2025-01-28T00:00:00"/>
    <x v="0"/>
    <n v="6879682"/>
  </r>
  <r>
    <d v="2025-01-29T00:00:00"/>
    <x v="0"/>
    <n v="7287186"/>
  </r>
  <r>
    <d v="2025-01-30T00:00:00"/>
    <x v="0"/>
    <n v="7033013"/>
  </r>
  <r>
    <d v="2025-01-31T00:00:00"/>
    <x v="0"/>
    <n v="8102153"/>
  </r>
  <r>
    <d v="2025-02-01T00:00:00"/>
    <x v="1"/>
    <n v="5284526"/>
  </r>
  <r>
    <d v="2025-02-02T00:00:00"/>
    <x v="1"/>
    <n v="5144697"/>
  </r>
  <r>
    <d v="2025-02-03T00:00:00"/>
    <x v="1"/>
    <n v="5401839"/>
  </r>
  <r>
    <d v="2025-02-04T00:00:00"/>
    <x v="1"/>
    <n v="5118145"/>
  </r>
  <r>
    <d v="2025-02-05T00:00:00"/>
    <x v="1"/>
    <n v="4907219"/>
  </r>
  <r>
    <d v="2025-02-06T00:00:00"/>
    <x v="1"/>
    <n v="5241425"/>
  </r>
  <r>
    <d v="2025-02-07T00:00:00"/>
    <x v="1"/>
    <n v="5203696"/>
  </r>
  <r>
    <d v="2025-02-08T00:00:00"/>
    <x v="1"/>
    <n v="5212669"/>
  </r>
  <r>
    <d v="2025-02-09T00:00:00"/>
    <x v="1"/>
    <n v="5542791"/>
  </r>
  <r>
    <d v="2025-02-10T00:00:00"/>
    <x v="1"/>
    <n v="5554648"/>
  </r>
  <r>
    <d v="2025-02-11T00:00:00"/>
    <x v="1"/>
    <n v="5517146"/>
  </r>
  <r>
    <d v="2025-02-12T00:00:00"/>
    <x v="1"/>
    <n v="5517969"/>
  </r>
  <r>
    <d v="2025-02-13T00:00:00"/>
    <x v="1"/>
    <n v="5960722"/>
  </r>
  <r>
    <d v="2025-02-14T00:00:00"/>
    <x v="1"/>
    <n v="5879722"/>
  </r>
  <r>
    <d v="2025-02-15T00:00:00"/>
    <x v="1"/>
    <n v="5618859"/>
  </r>
  <r>
    <d v="2025-02-16T00:00:00"/>
    <x v="1"/>
    <n v="5953877"/>
  </r>
  <r>
    <d v="2025-02-17T00:00:00"/>
    <x v="1"/>
    <n v="5777749"/>
  </r>
  <r>
    <d v="2025-02-18T00:00:00"/>
    <x v="1"/>
    <n v="5706570"/>
  </r>
  <r>
    <d v="2025-02-19T00:00:00"/>
    <x v="1"/>
    <n v="5850137"/>
  </r>
  <r>
    <d v="2025-02-20T00:00:00"/>
    <x v="1"/>
    <n v="6187124"/>
  </r>
  <r>
    <d v="2025-02-21T00:00:00"/>
    <x v="1"/>
    <n v="5658508"/>
  </r>
  <r>
    <d v="2025-02-22T00:00:00"/>
    <x v="1"/>
    <n v="5162491"/>
  </r>
  <r>
    <d v="2025-02-23T00:00:00"/>
    <x v="1"/>
    <n v="5444663"/>
  </r>
  <r>
    <d v="2025-02-24T00:00:00"/>
    <x v="1"/>
    <n v="5422863"/>
  </r>
  <r>
    <d v="2025-02-25T00:00:00"/>
    <x v="1"/>
    <n v="5508048"/>
  </r>
  <r>
    <d v="2025-02-26T00:00:00"/>
    <x v="1"/>
    <n v="6396191"/>
  </r>
  <r>
    <d v="2025-02-27T00:00:00"/>
    <x v="1"/>
    <n v="6121399"/>
  </r>
  <r>
    <d v="2025-02-28T00:00:00"/>
    <x v="1"/>
    <n v="6191744"/>
  </r>
  <r>
    <d v="2025-03-01T00:00:00"/>
    <x v="2"/>
    <n v="6105410"/>
  </r>
  <r>
    <d v="2025-03-02T00:00:00"/>
    <x v="2"/>
    <n v="6321990"/>
  </r>
  <r>
    <d v="2025-03-03T00:00:00"/>
    <x v="2"/>
    <n v="6301329"/>
  </r>
  <r>
    <d v="2025-03-04T00:00:00"/>
    <x v="2"/>
    <n v="5723055"/>
  </r>
  <r>
    <d v="2025-03-05T00:00:00"/>
    <x v="2"/>
    <n v="5981632"/>
  </r>
  <r>
    <d v="2025-03-06T00:00:00"/>
    <x v="2"/>
    <n v="5928214"/>
  </r>
  <r>
    <d v="2025-03-07T00:00:00"/>
    <x v="2"/>
    <n v="6184427"/>
  </r>
  <r>
    <d v="2025-03-08T00:00:00"/>
    <x v="2"/>
    <n v="5944047"/>
  </r>
  <r>
    <d v="2025-03-09T00:00:00"/>
    <x v="2"/>
    <n v="6236064"/>
  </r>
  <r>
    <d v="2025-03-10T00:00:00"/>
    <x v="2"/>
    <n v="6261671"/>
  </r>
  <r>
    <d v="2025-03-11T00:00:00"/>
    <x v="2"/>
    <n v="6008308"/>
  </r>
  <r>
    <d v="2025-03-12T00:00:00"/>
    <x v="2"/>
    <n v="6067951"/>
  </r>
  <r>
    <d v="2025-03-13T00:00:00"/>
    <x v="2"/>
    <n v="6330902"/>
  </r>
  <r>
    <d v="2025-03-14T00:00:00"/>
    <x v="2"/>
    <n v="6325984"/>
  </r>
  <r>
    <d v="2025-03-15T00:00:00"/>
    <x v="2"/>
    <n v="5706285"/>
  </r>
  <r>
    <d v="2025-03-16T00:00:00"/>
    <x v="2"/>
    <n v="5443146"/>
  </r>
  <r>
    <d v="2025-03-17T00:00:00"/>
    <x v="2"/>
    <n v="5859943"/>
  </r>
  <r>
    <d v="2025-03-18T00:00:00"/>
    <x v="2"/>
    <n v="5711790"/>
  </r>
  <r>
    <d v="2025-03-19T00:00:00"/>
    <x v="2"/>
    <n v="5755815"/>
  </r>
  <r>
    <d v="2025-03-20T00:00:00"/>
    <x v="2"/>
    <n v="5726416"/>
  </r>
  <r>
    <d v="2025-03-21T00:00:00"/>
    <x v="2"/>
    <n v="5847748"/>
  </r>
  <r>
    <d v="2025-03-22T00:00:00"/>
    <x v="2"/>
    <n v="5608204"/>
  </r>
  <r>
    <d v="2025-03-23T00:00:00"/>
    <x v="2"/>
    <n v="6193450"/>
  </r>
  <r>
    <d v="2025-03-24T00:00:00"/>
    <x v="2"/>
    <n v="6002037"/>
  </r>
  <r>
    <d v="2025-03-25T00:00:00"/>
    <x v="2"/>
    <n v="5912226"/>
  </r>
  <r>
    <d v="2025-03-26T00:00:00"/>
    <x v="2"/>
    <n v="5884290"/>
  </r>
  <r>
    <d v="2025-03-27T00:00:00"/>
    <x v="2"/>
    <n v="6156801"/>
  </r>
  <r>
    <d v="2025-03-28T00:00:00"/>
    <x v="2"/>
    <n v="6103216"/>
  </r>
  <r>
    <d v="2025-03-29T00:00:00"/>
    <x v="2"/>
    <n v="6031617"/>
  </r>
  <r>
    <d v="2025-03-30T00:00:00"/>
    <x v="2"/>
    <n v="6459900"/>
  </r>
  <r>
    <d v="2025-03-31T00:00:00"/>
    <x v="2"/>
    <n v="6544460"/>
  </r>
  <r>
    <d v="2025-04-01T00:00:00"/>
    <x v="3"/>
    <n v="6493063"/>
  </r>
  <r>
    <d v="2025-04-02T00:00:00"/>
    <x v="3"/>
    <n v="6377867"/>
  </r>
  <r>
    <d v="2025-04-03T00:00:00"/>
    <x v="3"/>
    <n v="6258643"/>
  </r>
  <r>
    <d v="2025-04-04T00:00:00"/>
    <x v="3"/>
    <n v="7130585"/>
  </r>
  <r>
    <d v="2025-04-05T00:00:00"/>
    <x v="3"/>
    <n v="6628792"/>
  </r>
  <r>
    <d v="2025-04-06T00:00:00"/>
    <x v="3"/>
    <n v="6989912"/>
  </r>
  <r>
    <d v="2025-04-07T00:00:00"/>
    <x v="3"/>
    <n v="6931283"/>
  </r>
  <r>
    <d v="2025-04-08T00:00:00"/>
    <x v="3"/>
    <n v="7364671"/>
  </r>
  <r>
    <d v="2025-04-09T00:00:00"/>
    <x v="3"/>
    <n v="7057198"/>
  </r>
  <r>
    <d v="2025-04-10T00:00:00"/>
    <x v="3"/>
    <n v="7184460"/>
  </r>
  <r>
    <d v="2025-04-11T00:00:00"/>
    <x v="3"/>
    <n v="7076088"/>
  </r>
  <r>
    <d v="2025-04-12T00:00:00"/>
    <x v="3"/>
    <n v="6335676"/>
  </r>
  <r>
    <d v="2025-04-13T00:00:00"/>
    <x v="3"/>
    <n v="7363808"/>
  </r>
  <r>
    <d v="2025-04-14T00:00:00"/>
    <x v="3"/>
    <n v="6958646"/>
  </r>
  <r>
    <d v="2025-04-15T00:00:00"/>
    <x v="3"/>
    <n v="6871024"/>
  </r>
  <r>
    <d v="2025-04-16T00:00:00"/>
    <x v="3"/>
    <n v="6484218"/>
  </r>
  <r>
    <d v="2025-04-17T00:00:00"/>
    <x v="3"/>
    <n v="6787514"/>
  </r>
  <r>
    <d v="2025-04-18T00:00:00"/>
    <x v="3"/>
    <n v="6452615"/>
  </r>
  <r>
    <d v="2025-04-19T00:00:00"/>
    <x v="3"/>
    <n v="6259888"/>
  </r>
  <r>
    <d v="2025-04-20T00:00:00"/>
    <x v="3"/>
    <n v="6550232"/>
  </r>
  <r>
    <d v="2025-04-21T00:00:00"/>
    <x v="3"/>
    <n v="6573528"/>
  </r>
  <r>
    <d v="2025-04-22T00:00:00"/>
    <x v="3"/>
    <n v="6689163"/>
  </r>
  <r>
    <d v="2025-04-23T00:00:00"/>
    <x v="3"/>
    <n v="6948794"/>
  </r>
  <r>
    <d v="2025-04-24T00:00:00"/>
    <x v="3"/>
    <n v="6909846"/>
  </r>
  <r>
    <d v="2025-04-25T00:00:00"/>
    <x v="3"/>
    <n v="6737671"/>
  </r>
  <r>
    <d v="2025-04-26T00:00:00"/>
    <x v="3"/>
    <n v="6567882"/>
  </r>
  <r>
    <d v="2025-04-27T00:00:00"/>
    <x v="3"/>
    <n v="6697368"/>
  </r>
  <r>
    <d v="2025-04-28T00:00:00"/>
    <x v="3"/>
    <n v="6350587"/>
  </r>
  <r>
    <d v="2025-04-29T00:00:00"/>
    <x v="3"/>
    <n v="6464605"/>
  </r>
  <r>
    <d v="2025-04-30T00:00:00"/>
    <x v="3"/>
    <n v="6422004"/>
  </r>
  <r>
    <d v="2025-05-01T00:00:00"/>
    <x v="4"/>
    <n v="6340162"/>
  </r>
  <r>
    <d v="2025-05-02T00:00:00"/>
    <x v="4"/>
    <n v="6796111"/>
  </r>
  <r>
    <d v="2025-05-03T00:00:00"/>
    <x v="4"/>
    <n v="6505340"/>
  </r>
  <r>
    <d v="2025-05-04T00:00:00"/>
    <x v="4"/>
    <n v="6603590"/>
  </r>
  <r>
    <d v="2025-05-05T00:00:00"/>
    <x v="4"/>
    <n v="6772957"/>
  </r>
  <r>
    <d v="2025-05-06T00:00:00"/>
    <x v="4"/>
    <n v="6997213"/>
  </r>
  <r>
    <d v="2025-05-07T00:00:00"/>
    <x v="4"/>
    <n v="6881108"/>
  </r>
  <r>
    <d v="2025-05-08T00:00:00"/>
    <x v="4"/>
    <n v="6934798"/>
  </r>
  <r>
    <d v="2025-05-09T00:00:00"/>
    <x v="4"/>
    <n v="6840445"/>
  </r>
  <r>
    <d v="2025-05-10T00:00:00"/>
    <x v="4"/>
    <n v="6855669"/>
  </r>
  <r>
    <d v="2025-05-11T00:00:00"/>
    <x v="4"/>
    <n v="6960097"/>
  </r>
  <r>
    <d v="2025-05-12T00:00:00"/>
    <x v="4"/>
    <n v="6699744"/>
  </r>
  <r>
    <d v="2025-05-13T00:00:00"/>
    <x v="4"/>
    <n v="6693759"/>
  </r>
  <r>
    <d v="2025-05-14T00:00:00"/>
    <x v="4"/>
    <n v="6734333"/>
  </r>
  <r>
    <d v="2025-05-15T00:00:00"/>
    <x v="4"/>
    <n v="8559925"/>
  </r>
  <r>
    <d v="2025-05-16T00:00:00"/>
    <x v="4"/>
    <n v="8284112"/>
  </r>
  <r>
    <d v="2025-05-17T00:00:00"/>
    <x v="4"/>
    <n v="8731814"/>
  </r>
  <r>
    <d v="2025-05-18T00:00:00"/>
    <x v="4"/>
    <n v="7775914"/>
  </r>
  <r>
    <d v="2025-05-19T00:00:00"/>
    <x v="4"/>
    <n v="7363190"/>
  </r>
  <r>
    <d v="2025-05-20T00:00:00"/>
    <x v="4"/>
    <n v="7115304"/>
  </r>
  <r>
    <d v="2025-05-21T00:00:00"/>
    <x v="4"/>
    <n v="10412236"/>
  </r>
  <r>
    <d v="2025-05-22T00:00:00"/>
    <x v="4"/>
    <n v="7819467"/>
  </r>
  <r>
    <d v="2025-05-23T00:00:00"/>
    <x v="4"/>
    <n v="7067256"/>
  </r>
  <r>
    <d v="2025-05-24T00:00:00"/>
    <x v="4"/>
    <n v="6820420"/>
  </r>
  <r>
    <d v="2025-05-25T00:00:00"/>
    <x v="4"/>
    <n v="6988883"/>
  </r>
  <r>
    <d v="2025-05-26T00:00:00"/>
    <x v="4"/>
    <n v="7058185"/>
  </r>
  <r>
    <d v="2025-05-27T00:00:00"/>
    <x v="4"/>
    <n v="7086061"/>
  </r>
  <r>
    <d v="2025-05-28T00:00:00"/>
    <x v="4"/>
    <n v="7210635"/>
  </r>
  <r>
    <d v="2025-05-29T00:00:00"/>
    <x v="4"/>
    <n v="6971533"/>
  </r>
  <r>
    <d v="2025-05-30T00:00:00"/>
    <x v="4"/>
    <n v="7018868"/>
  </r>
  <r>
    <d v="2025-05-31T00:00:00"/>
    <x v="4"/>
    <n v="7015771"/>
  </r>
  <r>
    <d v="2025-06-01T00:00:00"/>
    <x v="5"/>
    <n v="7077167"/>
  </r>
  <r>
    <d v="2025-06-02T00:00:00"/>
    <x v="5"/>
    <n v="7288638"/>
  </r>
  <r>
    <d v="2025-06-03T00:00:00"/>
    <x v="5"/>
    <n v="7193190"/>
  </r>
  <r>
    <d v="2025-06-04T00:00:00"/>
    <x v="5"/>
    <n v="7154640"/>
  </r>
  <r>
    <d v="2025-06-05T00:00:00"/>
    <x v="5"/>
    <n v="7066670"/>
  </r>
  <r>
    <d v="2025-06-06T00:00:00"/>
    <x v="5"/>
    <n v="7061317"/>
  </r>
  <r>
    <d v="2025-06-07T00:00:00"/>
    <x v="5"/>
    <n v="6830861"/>
  </r>
  <r>
    <d v="2025-06-08T00:00:00"/>
    <x v="5"/>
    <n v="6907887"/>
  </r>
  <r>
    <d v="2025-06-09T00:00:00"/>
    <x v="5"/>
    <n v="7046015"/>
  </r>
  <r>
    <d v="2025-06-10T00:00:00"/>
    <x v="5"/>
    <n v="7233323"/>
  </r>
  <r>
    <d v="2025-06-11T00:00:00"/>
    <x v="5"/>
    <n v="7090398"/>
  </r>
  <r>
    <d v="2025-06-12T00:00:00"/>
    <x v="5"/>
    <n v="7017331"/>
  </r>
  <r>
    <d v="2025-06-13T00:00:00"/>
    <x v="5"/>
    <n v="7068800"/>
  </r>
  <r>
    <d v="2025-06-14T00:00:00"/>
    <x v="5"/>
    <n v="6856670"/>
  </r>
  <r>
    <d v="2025-06-15T00:00:00"/>
    <x v="5"/>
    <n v="7369221"/>
  </r>
  <r>
    <d v="2025-06-16T00:00:00"/>
    <x v="5"/>
    <n v="7384716"/>
  </r>
  <r>
    <d v="2025-06-17T00:00:00"/>
    <x v="5"/>
    <n v="7396123"/>
  </r>
  <r>
    <d v="2025-06-18T00:00:00"/>
    <x v="5"/>
    <n v="7323809"/>
  </r>
  <r>
    <d v="2025-06-19T00:00:00"/>
    <x v="5"/>
    <n v="7404670"/>
  </r>
  <r>
    <d v="2025-06-20T00:00:00"/>
    <x v="5"/>
    <n v="7500450"/>
  </r>
  <r>
    <d v="2025-06-21T00:00:00"/>
    <x v="5"/>
    <n v="7163801"/>
  </r>
  <r>
    <d v="2025-06-22T00:00:00"/>
    <x v="5"/>
    <n v="7328561"/>
  </r>
  <r>
    <d v="2025-06-23T00:00:00"/>
    <x v="5"/>
    <n v="7448168"/>
  </r>
  <r>
    <d v="2025-06-24T00:00:00"/>
    <x v="5"/>
    <n v="7435005"/>
  </r>
  <r>
    <d v="2025-06-25T00:00:00"/>
    <x v="5"/>
    <n v="7517076"/>
  </r>
  <r>
    <d v="2025-06-26T00:00:00"/>
    <x v="5"/>
    <n v="7518416"/>
  </r>
  <r>
    <d v="2025-06-27T00:00:00"/>
    <x v="5"/>
    <n v="7422399"/>
  </r>
  <r>
    <d v="2025-06-28T00:00:00"/>
    <x v="5"/>
    <n v="7252024"/>
  </r>
  <r>
    <d v="2025-06-29T00:00:00"/>
    <x v="5"/>
    <n v="7506237"/>
  </r>
  <r>
    <d v="2025-06-30T00:00:00"/>
    <x v="5"/>
    <n v="7546496"/>
  </r>
  <r>
    <d v="2025-07-01T00:00:00"/>
    <x v="6"/>
    <n v="7546316"/>
  </r>
  <r>
    <d v="2025-07-02T00:00:00"/>
    <x v="6"/>
    <n v="7538059"/>
  </r>
  <r>
    <d v="2025-07-03T00:00:00"/>
    <x v="6"/>
    <n v="7525962"/>
  </r>
  <r>
    <d v="2025-07-04T00:00:00"/>
    <x v="6"/>
    <n v="7527010"/>
  </r>
  <r>
    <d v="2025-07-05T00:00:00"/>
    <x v="6"/>
    <n v="7281032"/>
  </r>
  <r>
    <d v="2025-07-06T00:00:00"/>
    <x v="6"/>
    <n v="7465208"/>
  </r>
  <r>
    <d v="2025-07-07T00:00:00"/>
    <x v="6"/>
    <n v="7491951"/>
  </r>
  <r>
    <d v="2025-07-08T00:00:00"/>
    <x v="6"/>
    <n v="7362898"/>
  </r>
  <r>
    <d v="2025-07-09T00:00:00"/>
    <x v="6"/>
    <n v="7444305"/>
  </r>
  <r>
    <d v="2025-07-10T00:00:00"/>
    <x v="6"/>
    <n v="7688475"/>
  </r>
  <r>
    <d v="2025-07-11T00:00:00"/>
    <x v="6"/>
    <n v="7732121"/>
  </r>
  <r>
    <d v="2025-07-12T00:00:00"/>
    <x v="6"/>
    <n v="7343061"/>
  </r>
  <r>
    <d v="2025-07-13T00:00:00"/>
    <x v="6"/>
    <n v="7482901"/>
  </r>
  <r>
    <d v="2025-07-14T00:00:00"/>
    <x v="6"/>
    <n v="7743611"/>
  </r>
  <r>
    <d v="2025-07-15T00:00:00"/>
    <x v="6"/>
    <n v="7650710"/>
  </r>
  <r>
    <d v="2025-07-16T00:00:00"/>
    <x v="6"/>
    <n v="7606295"/>
  </r>
  <r>
    <d v="2025-07-17T00:00:00"/>
    <x v="6"/>
    <n v="7701062"/>
  </r>
  <r>
    <d v="2025-07-18T00:00:00"/>
    <x v="6"/>
    <n v="7707628"/>
  </r>
  <r>
    <d v="2025-07-19T00:00:00"/>
    <x v="6"/>
    <n v="8369573"/>
  </r>
  <r>
    <d v="2025-07-20T00:00:00"/>
    <x v="6"/>
    <n v="7923240"/>
  </r>
  <r>
    <d v="2025-07-21T00:00:00"/>
    <x v="6"/>
    <n v="7648837"/>
  </r>
  <r>
    <d v="2025-07-22T00:00:00"/>
    <x v="6"/>
    <n v="7742723"/>
  </r>
  <r>
    <d v="2025-07-23T00:00:00"/>
    <x v="6"/>
    <n v="7718756"/>
  </r>
  <r>
    <d v="2025-07-24T00:00:00"/>
    <x v="6"/>
    <n v="7804653"/>
  </r>
  <r>
    <d v="2025-07-25T00:00:00"/>
    <x v="6"/>
    <n v="7702332"/>
  </r>
  <r>
    <d v="2025-07-26T00:00:00"/>
    <x v="6"/>
    <n v="7425915"/>
  </r>
  <r>
    <d v="2025-07-27T00:00:00"/>
    <x v="6"/>
    <n v="7626420"/>
  </r>
  <r>
    <d v="2025-07-28T00:00:00"/>
    <x v="6"/>
    <n v="7755748"/>
  </r>
  <r>
    <d v="2025-07-29T00:00:00"/>
    <x v="6"/>
    <n v="7744510"/>
  </r>
  <r>
    <d v="2025-07-30T00:00:00"/>
    <x v="6"/>
    <n v="7699460"/>
  </r>
  <r>
    <d v="2025-07-31T00:00:00"/>
    <x v="6"/>
    <n v="7797104"/>
  </r>
  <r>
    <d v="2025-08-01T00:00:00"/>
    <x v="7"/>
    <n v="7713497"/>
  </r>
  <r>
    <d v="2025-08-02T00:00:00"/>
    <x v="7"/>
    <n v="7370642"/>
  </r>
  <r>
    <d v="2025-08-03T00:00:00"/>
    <x v="7"/>
    <n v="7543293"/>
  </r>
  <r>
    <d v="2025-08-04T00:00:00"/>
    <x v="7"/>
    <n v="7749978"/>
  </r>
  <r>
    <d v="2025-08-05T00:00:00"/>
    <x v="7"/>
    <n v="7906838"/>
  </r>
  <r>
    <d v="2025-08-06T00:00:00"/>
    <x v="7"/>
    <n v="8085746"/>
  </r>
  <r>
    <d v="2025-08-07T00:00:00"/>
    <x v="7"/>
    <n v="7941472"/>
  </r>
  <r>
    <d v="2025-08-08T00:00:00"/>
    <x v="7"/>
    <n v="7971679"/>
  </r>
  <r>
    <d v="2025-08-09T00:00:00"/>
    <x v="7"/>
    <n v="7696059"/>
  </r>
  <r>
    <d v="2025-08-10T00:00:00"/>
    <x v="7"/>
    <n v="7840838"/>
  </r>
  <r>
    <d v="2025-08-11T00:00:00"/>
    <x v="7"/>
    <n v="8318713"/>
  </r>
  <r>
    <d v="2025-08-12T00:00:00"/>
    <x v="7"/>
    <n v="8182427"/>
  </r>
  <r>
    <d v="2025-08-13T00:00:00"/>
    <x v="7"/>
    <n v="7943716"/>
  </r>
  <r>
    <d v="2025-08-14T00:00:00"/>
    <x v="7"/>
    <n v="7957554"/>
  </r>
  <r>
    <d v="2025-08-15T00:00:00"/>
    <x v="7"/>
    <n v="7654840"/>
  </r>
  <r>
    <d v="2025-08-16T00:00:00"/>
    <x v="7"/>
    <n v="7068795"/>
  </r>
  <r>
    <d v="2025-08-17T00:00:00"/>
    <x v="7"/>
    <n v="7314726"/>
  </r>
  <r>
    <d v="2025-08-18T00:00:00"/>
    <x v="7"/>
    <n v="7332225"/>
  </r>
  <r>
    <d v="2025-08-19T00:00:00"/>
    <x v="7"/>
    <n v="7408299"/>
  </r>
  <r>
    <d v="2025-08-20T00:00:00"/>
    <x v="7"/>
    <n v="7536768"/>
  </r>
  <r>
    <d v="2025-08-21T00:00:00"/>
    <x v="7"/>
    <n v="7506108"/>
  </r>
  <r>
    <d v="2025-08-22T00:00:00"/>
    <x v="7"/>
    <n v="7942412"/>
  </r>
  <r>
    <d v="2025-08-23T00:00:00"/>
    <x v="7"/>
    <n v="7608913"/>
  </r>
  <r>
    <d v="2025-08-24T00:00:00"/>
    <x v="7"/>
    <n v="7973912"/>
  </r>
  <r>
    <d v="2025-08-25T00:00:00"/>
    <x v="7"/>
    <n v="7917781"/>
  </r>
  <r>
    <d v="2025-08-26T00:00:00"/>
    <x v="7"/>
    <n v="7842003"/>
  </r>
  <r>
    <d v="2025-08-27T00:00:00"/>
    <x v="7"/>
    <n v="7803113"/>
  </r>
  <r>
    <d v="2025-08-28T00:00:00"/>
    <x v="7"/>
    <n v="7888639"/>
  </r>
  <r>
    <d v="2025-08-29T00:00:00"/>
    <x v="7"/>
    <n v="7861996"/>
  </r>
  <r>
    <d v="2025-08-30T00:00:00"/>
    <x v="7"/>
    <n v="7768846"/>
  </r>
  <r>
    <d v="2025-08-31T00:00:00"/>
    <x v="7"/>
    <n v="7678277"/>
  </r>
  <r>
    <d v="2025-09-01T00:00:00"/>
    <x v="8"/>
    <n v="7385052"/>
  </r>
  <r>
    <d v="2025-09-02T00:00:00"/>
    <x v="8"/>
    <n v="7402399"/>
  </r>
  <r>
    <d v="2025-09-03T00:00:00"/>
    <x v="8"/>
    <n v="7568468"/>
  </r>
  <r>
    <d v="2025-09-04T00:00:00"/>
    <x v="8"/>
    <n v="7737577"/>
  </r>
  <r>
    <d v="2025-09-05T00:00:00"/>
    <x v="8"/>
    <n v="7531099"/>
  </r>
  <r>
    <d v="2025-09-06T00:00:00"/>
    <x v="8"/>
    <n v="7370255"/>
  </r>
  <r>
    <d v="2025-09-07T00:00:00"/>
    <x v="8"/>
    <n v="7965669"/>
  </r>
  <r>
    <d v="2025-09-08T00:00:00"/>
    <x v="8"/>
    <n v="7937760"/>
  </r>
  <r>
    <d v="2025-09-09T00:00:00"/>
    <x v="8"/>
    <n v="8001275"/>
  </r>
  <r>
    <d v="2025-09-10T00:00:00"/>
    <x v="8"/>
    <n v="8155510"/>
  </r>
  <r>
    <d v="2025-09-11T00:00:00"/>
    <x v="8"/>
    <n v="8096023"/>
  </r>
  <r>
    <d v="2025-09-12T00:00:00"/>
    <x v="8"/>
    <n v="8120899"/>
  </r>
  <r>
    <d v="2025-09-13T00:00:00"/>
    <x v="8"/>
    <n v="7856710"/>
  </r>
  <r>
    <d v="2025-09-14T00:00:00"/>
    <x v="8"/>
    <n v="8132612"/>
  </r>
  <r>
    <d v="2025-09-15T00:00:00"/>
    <x v="8"/>
    <n v="8113718"/>
  </r>
  <r>
    <d v="2025-09-16T00:00:00"/>
    <x v="8"/>
    <n v="8139663"/>
  </r>
  <r>
    <d v="2025-09-17T00:00:00"/>
    <x v="8"/>
    <n v="8138317"/>
  </r>
  <r>
    <d v="2025-09-18T00:00:00"/>
    <x v="8"/>
    <n v="8072801"/>
  </r>
  <r>
    <d v="2025-09-19T00:00:00"/>
    <x v="8"/>
    <n v="8072078"/>
  </r>
  <r>
    <d v="2025-09-20T00:00:00"/>
    <x v="8"/>
    <n v="9044356"/>
  </r>
  <r>
    <d v="2025-09-21T00:00:00"/>
    <x v="8"/>
    <n v="8587161"/>
  </r>
  <r>
    <d v="2025-09-22T00:00:00"/>
    <x v="8"/>
    <n v="7604580"/>
  </r>
  <r>
    <d v="2025-09-23T00:00:00"/>
    <x v="8"/>
    <n v="8145886"/>
  </r>
  <r>
    <d v="2025-09-24T00:00:00"/>
    <x v="8"/>
    <n v="8104484"/>
  </r>
  <r>
    <d v="2025-09-25T00:00:00"/>
    <x v="8"/>
    <n v="8132239"/>
  </r>
  <r>
    <d v="2025-09-26T00:00:00"/>
    <x v="8"/>
    <n v="8198044"/>
  </r>
  <r>
    <d v="2025-09-27T00:00:00"/>
    <x v="8"/>
    <n v="7567338"/>
  </r>
  <r>
    <d v="2025-09-28T00:00:00"/>
    <x v="8"/>
    <n v="8136918"/>
  </r>
  <r>
    <d v="2025-09-29T00:00:00"/>
    <x v="8"/>
    <n v="8190877"/>
  </r>
  <r>
    <d v="2025-09-30T00:00:00"/>
    <x v="8"/>
    <n v="8376768"/>
  </r>
  <r>
    <d v="2025-10-01T00:00:00"/>
    <x v="9"/>
    <n v="8435784"/>
  </r>
  <r>
    <d v="2025-10-02T00:00:00"/>
    <x v="9"/>
    <n v="8331593"/>
  </r>
  <r>
    <d v="2025-10-03T00:00:00"/>
    <x v="9"/>
    <n v="8469258"/>
  </r>
  <r>
    <d v="2025-10-04T00:00:00"/>
    <x v="9"/>
    <n v="8136805"/>
  </r>
  <r>
    <d v="2025-10-05T00:00:00"/>
    <x v="9"/>
    <n v="8304552"/>
  </r>
  <r>
    <d v="2025-10-06T00:00:00"/>
    <x v="9"/>
    <n v="8289454"/>
  </r>
  <r>
    <d v="2025-10-07T00:00:00"/>
    <x v="9"/>
    <n v="8307754"/>
  </r>
  <r>
    <d v="2025-10-08T00:00:00"/>
    <x v="9"/>
    <n v="8561730"/>
  </r>
  <r>
    <d v="2025-10-09T00:00:00"/>
    <x v="9"/>
    <n v="8308113"/>
  </r>
  <r>
    <d v="2025-10-10T00:00:00"/>
    <x v="9"/>
    <n v="8600387"/>
  </r>
  <r>
    <d v="2025-10-11T00:00:00"/>
    <x v="9"/>
    <n v="8256151"/>
  </r>
  <r>
    <d v="2025-10-12T00:00:00"/>
    <x v="9"/>
    <n v="8526375"/>
  </r>
  <r>
    <d v="2025-10-13T00:00:00"/>
    <x v="9"/>
    <n v="8524270"/>
  </r>
  <r>
    <d v="2025-10-14T00:00:00"/>
    <x v="9"/>
    <n v="8743375"/>
  </r>
  <r>
    <d v="2025-10-15T00:00:00"/>
    <x v="9"/>
    <n v="9364249"/>
  </r>
  <r>
    <d v="2025-10-16T00:00:00"/>
    <x v="9"/>
    <n v="9608368"/>
  </r>
  <r>
    <d v="2025-10-17T00:00:00"/>
    <x v="9"/>
    <n v="9963172"/>
  </r>
  <r>
    <d v="2025-10-18T00:00:00"/>
    <x v="9"/>
    <n v="9948992"/>
  </r>
  <r>
    <d v="2025-10-19T00:00:00"/>
    <x v="9"/>
    <n v="10408088"/>
  </r>
  <r>
    <d v="2025-10-20T00:00:00"/>
    <x v="9"/>
    <n v="10590435"/>
  </r>
  <r>
    <d v="2025-10-21T00:00:00"/>
    <x v="9"/>
    <n v="11274196"/>
  </r>
  <r>
    <d v="2025-10-22T00:00:00"/>
    <x v="9"/>
    <n v="12194231"/>
  </r>
  <r>
    <d v="2025-10-23T00:00:00"/>
    <x v="9"/>
    <n v="12310630"/>
  </r>
  <r>
    <d v="2025-10-24T00:00:00"/>
    <x v="9"/>
    <n v="11465584"/>
  </r>
  <r>
    <d v="2025-10-25T00:00:00"/>
    <x v="9"/>
    <n v="11169278"/>
  </r>
  <r>
    <d v="2025-10-26T00:00:00"/>
    <x v="9"/>
    <n v="11604362"/>
  </r>
  <r>
    <d v="2025-10-27T00:00:00"/>
    <x v="9"/>
    <n v="11609879"/>
  </r>
  <r>
    <d v="2025-10-28T00:00:00"/>
    <x v="9"/>
    <n v="11373334"/>
  </r>
  <r>
    <d v="2025-10-29T00:00:00"/>
    <x v="9"/>
    <n v="11886781"/>
  </r>
  <r>
    <d v="2025-10-30T00:00:00"/>
    <x v="9"/>
    <n v="12636724"/>
  </r>
  <r>
    <d v="2025-10-31T00:00:00"/>
    <x v="9"/>
    <n v="13002024"/>
  </r>
  <r>
    <d v="2025-11-01T00:00:00"/>
    <x v="10"/>
    <n v="13099012"/>
  </r>
  <r>
    <d v="2025-11-02T00:00:00"/>
    <x v="10"/>
    <n v="13343655"/>
  </r>
  <r>
    <d v="2025-11-03T00:00:00"/>
    <x v="10"/>
    <n v="13207961"/>
  </r>
  <r>
    <d v="2025-11-04T00:00:00"/>
    <x v="10"/>
    <n v="13186783"/>
  </r>
  <r>
    <d v="2025-11-05T00:00:00"/>
    <x v="10"/>
    <n v="14187092"/>
  </r>
  <r>
    <d v="2025-11-06T00:00:00"/>
    <x v="10"/>
    <n v="14659882"/>
  </r>
  <r>
    <d v="2025-11-07T00:00:00"/>
    <x v="10"/>
    <n v="14255587"/>
  </r>
  <r>
    <d v="2025-11-08T00:00:00"/>
    <x v="10"/>
    <n v="16869977"/>
  </r>
  <r>
    <d v="2025-11-09T00:00:00"/>
    <x v="10"/>
    <n v="17019724"/>
  </r>
  <r>
    <d v="2025-11-10T00:00:00"/>
    <x v="10"/>
    <n v="15692652"/>
  </r>
  <r>
    <d v="2025-11-11T00:00:00"/>
    <x v="10"/>
    <n v="16812231"/>
  </r>
  <r>
    <d v="2025-11-12T00:00:00"/>
    <x v="10"/>
    <n v="16746893"/>
  </r>
  <r>
    <d v="2025-11-13T00:00:00"/>
    <x v="10"/>
    <n v="17052049"/>
  </r>
  <r>
    <d v="2025-11-14T00:00:00"/>
    <x v="10"/>
    <n v="15532127"/>
  </r>
  <r>
    <d v="2025-11-15T00:00:00"/>
    <x v="10"/>
    <n v="16741704"/>
  </r>
  <r>
    <d v="2025-11-16T00:00:00"/>
    <x v="10"/>
    <n v="16618121"/>
  </r>
  <r>
    <d v="2025-11-17T00:00:00"/>
    <x v="10"/>
    <n v="16146013"/>
  </r>
  <r>
    <d v="2025-11-18T00:00:00"/>
    <x v="10"/>
    <n v="14780784"/>
  </r>
  <r>
    <d v="2025-11-19T00:00:00"/>
    <x v="10"/>
    <n v="14949508"/>
  </r>
  <r>
    <d v="2025-11-20T00:00:00"/>
    <x v="10"/>
    <n v="15203837"/>
  </r>
  <r>
    <d v="2025-11-21T00:00:00"/>
    <x v="10"/>
    <n v="14524349"/>
  </r>
  <r>
    <d v="2025-11-22T00:00:00"/>
    <x v="10"/>
    <n v="13580109"/>
  </r>
  <r>
    <d v="2025-11-23T00:00:00"/>
    <x v="10"/>
    <n v="13012757"/>
  </r>
  <r>
    <d v="2025-11-24T00:00:00"/>
    <x v="10"/>
    <n v="13224835"/>
  </r>
  <r>
    <d v="2025-11-25T00:00:00"/>
    <x v="10"/>
    <n v="10881279"/>
  </r>
  <r>
    <d v="2025-11-26T00:00:00"/>
    <x v="10"/>
    <n v="11056418"/>
  </r>
  <r>
    <d v="2025-11-27T00:00:00"/>
    <x v="10"/>
    <n v="10711773"/>
  </r>
  <r>
    <d v="2025-11-28T00:00:00"/>
    <x v="10"/>
    <n v="9946189"/>
  </r>
  <r>
    <d v="2025-11-29T00:00:00"/>
    <x v="10"/>
    <n v="10254530"/>
  </r>
  <r>
    <d v="2025-11-30T00:00:00"/>
    <x v="10"/>
    <n v="10624955"/>
  </r>
  <r>
    <d v="2025-12-01T00:00:00"/>
    <x v="11"/>
    <n v="10868167"/>
  </r>
  <r>
    <d v="2025-12-02T00:00:00"/>
    <x v="11"/>
    <n v="11330167"/>
  </r>
  <r>
    <d v="2025-12-03T00:00:00"/>
    <x v="11"/>
    <n v="7532729"/>
  </r>
  <r>
    <d v="2025-12-04T00:00:00"/>
    <x v="11"/>
    <n v="12746160"/>
  </r>
  <r>
    <d v="2025-12-05T00:00:00"/>
    <x v="11"/>
    <n v="7929107"/>
  </r>
  <r>
    <d v="2025-12-06T00:00:00"/>
    <x v="11"/>
    <n v="6963903"/>
  </r>
  <r>
    <d v="2025-12-07T00:00:00"/>
    <x v="11"/>
    <n v="7431400"/>
  </r>
  <r>
    <d v="2025-12-08T00:00:00"/>
    <x v="11"/>
    <n v="9929469"/>
  </r>
  <r>
    <d v="2025-12-09T00:00:00"/>
    <x v="11"/>
    <n v="13393014"/>
  </r>
  <r>
    <d v="2025-12-10T00:00:00"/>
    <x v="11"/>
    <n v="13002084"/>
  </r>
  <r>
    <d v="2025-12-11T00:00:00"/>
    <x v="11"/>
    <n v="13191373"/>
  </r>
  <r>
    <d v="2025-12-12T00:00:00"/>
    <x v="11"/>
    <n v="16488378"/>
  </r>
  <r>
    <d v="2025-12-13T00:00:00"/>
    <x v="11"/>
    <n v="16187147"/>
  </r>
  <r>
    <d v="2025-12-14T00:00:00"/>
    <x v="11"/>
    <n v="16461389"/>
  </r>
  <r>
    <d v="2025-12-15T00:00:00"/>
    <x v="11"/>
    <n v="15345166"/>
  </r>
  <r>
    <d v="2025-12-16T00:00:00"/>
    <x v="11"/>
    <n v="14027637"/>
  </r>
  <r>
    <d v="2025-12-17T00:00:00"/>
    <x v="11"/>
    <n v="14430304"/>
  </r>
  <r>
    <d v="2025-12-18T00:00:00"/>
    <x v="11"/>
    <n v="14885859"/>
  </r>
  <r>
    <d v="2025-12-19T00:00:00"/>
    <x v="11"/>
    <n v="12249459"/>
  </r>
  <r>
    <d v="2025-12-20T00:00:00"/>
    <x v="11"/>
    <n v="12236994"/>
  </r>
  <r>
    <d v="2025-12-21T00:00:00"/>
    <x v="11"/>
    <n v="12483647"/>
  </r>
  <r>
    <d v="2025-12-22T00:00:00"/>
    <x v="11"/>
    <n v="11198466"/>
  </r>
  <r>
    <d v="2025-12-23T00:00:00"/>
    <x v="11"/>
    <n v="11590398"/>
  </r>
  <r>
    <d v="2025-12-24T00:00:00"/>
    <x v="11"/>
    <n v="11985076"/>
  </r>
  <r>
    <d v="2025-12-25T00:00:00"/>
    <x v="11"/>
    <n v="10771088"/>
  </r>
  <r>
    <d v="2025-12-26T00:00:00"/>
    <x v="11"/>
    <n v="11056188"/>
  </r>
  <r>
    <d v="2025-12-27T00:00:00"/>
    <x v="11"/>
    <n v="11375139"/>
  </r>
  <r>
    <d v="2025-12-28T00:00:00"/>
    <x v="11"/>
    <n v="11873790"/>
  </r>
  <r>
    <d v="2025-12-29T00:00:00"/>
    <x v="11"/>
    <n v="11938677"/>
  </r>
  <r>
    <d v="2025-12-30T00:00:00"/>
    <x v="11"/>
    <n v="11281978"/>
  </r>
  <r>
    <d v="2025-12-31T00:00:00"/>
    <x v="11"/>
    <n v="11940183"/>
  </r>
  <r>
    <d v="2026-01-01T00:00:00"/>
    <x v="12"/>
    <n v="11844606"/>
  </r>
  <r>
    <d v="2026-01-02T00:00:00"/>
    <x v="12"/>
    <n v="11667137"/>
  </r>
  <r>
    <d v="2026-01-03T00:00:00"/>
    <x v="12"/>
    <n v="11783775"/>
  </r>
  <r>
    <d v="2026-01-04T00:00:00"/>
    <x v="12"/>
    <n v="12118218"/>
  </r>
  <r>
    <d v="2026-01-05T00:00:00"/>
    <x v="12"/>
    <n v="11965843"/>
  </r>
  <r>
    <d v="2026-01-06T00:00:00"/>
    <x v="12"/>
    <n v="10994975"/>
  </r>
  <r>
    <d v="2026-01-07T00:00:00"/>
    <x v="12"/>
    <n v="12071171"/>
  </r>
  <r>
    <d v="2026-01-08T00:00:00"/>
    <x v="12"/>
    <n v="12279758"/>
  </r>
  <r>
    <d v="2026-01-09T00:00:00"/>
    <x v="12"/>
    <n v="12457343"/>
  </r>
  <r>
    <d v="2026-01-10T00:00:00"/>
    <x v="12"/>
    <n v="11417534"/>
  </r>
  <r>
    <d v="2026-01-11T00:00:00"/>
    <x v="12"/>
    <n v="12310947"/>
  </r>
  <r>
    <d v="2026-01-12T00:00:00"/>
    <x v="12"/>
    <n v="11713207"/>
  </r>
  <r>
    <d v="2026-01-13T00:00:00"/>
    <x v="12"/>
    <n v="12523295"/>
  </r>
  <r>
    <d v="2026-01-14T00:00:00"/>
    <x v="12"/>
    <n v="12174853"/>
  </r>
  <r>
    <d v="2026-01-15T00:00:00"/>
    <x v="12"/>
    <n v="12030611"/>
  </r>
  <r>
    <d v="2026-01-16T00:00:00"/>
    <x v="12"/>
    <n v="12087659"/>
  </r>
  <r>
    <d v="2026-01-17T00:00:00"/>
    <x v="12"/>
    <n v="11363166"/>
  </r>
  <r>
    <d v="2026-01-18T00:00:00"/>
    <x v="12"/>
    <n v="12094862"/>
  </r>
  <r>
    <d v="2026-01-19T00:00:00"/>
    <x v="12"/>
    <n v="11606698"/>
  </r>
  <r>
    <d v="2026-01-20T00:00:00"/>
    <x v="12"/>
    <n v="10781906"/>
  </r>
  <r>
    <d v="2026-01-21T00:00:00"/>
    <x v="12"/>
    <n v="12300930"/>
  </r>
  <r>
    <d v="2026-01-22T00:00:00"/>
    <x v="12"/>
    <n v="11999861"/>
  </r>
  <r>
    <d v="2026-01-23T00:00:00"/>
    <x v="12"/>
    <n v="12553691"/>
  </r>
  <r>
    <d v="2026-01-24T00:00:00"/>
    <x v="12"/>
    <n v="11923667"/>
  </r>
  <r>
    <d v="2026-01-25T00:00:00"/>
    <x v="12"/>
    <n v="12074694"/>
  </r>
  <r>
    <d v="2026-01-26T00:00:00"/>
    <x v="12"/>
    <n v="11443075"/>
  </r>
  <r>
    <d v="2026-01-27T00:00:00"/>
    <x v="12"/>
    <n v="12587215"/>
  </r>
  <r>
    <d v="2026-01-28T00:00:00"/>
    <x v="12"/>
    <n v="11289256"/>
  </r>
  <r>
    <d v="2026-01-29T00:00:00"/>
    <x v="12"/>
    <n v="12500698"/>
  </r>
  <r>
    <d v="2026-01-30T00:00:00"/>
    <x v="12"/>
    <n v="12333445"/>
  </r>
  <r>
    <d v="2026-01-31T00:00:00"/>
    <x v="12"/>
    <n v="12616702"/>
  </r>
  <r>
    <d v="2026-02-01T00:00:00"/>
    <x v="13"/>
    <n v="12365166"/>
  </r>
  <r>
    <d v="2026-02-02T00:00:00"/>
    <x v="13"/>
    <n v="12749863"/>
  </r>
  <r>
    <d v="2026-02-03T00:00:00"/>
    <x v="13"/>
    <n v="12981510"/>
  </r>
  <r>
    <d v="2026-02-04T00:00:00"/>
    <x v="13"/>
    <n v="13292634"/>
  </r>
  <r>
    <d v="2026-02-05T00:00:00"/>
    <x v="13"/>
    <n v="12030310"/>
  </r>
  <r>
    <d v="2026-02-06T00:00:00"/>
    <x v="13"/>
    <n v="13676122"/>
  </r>
  <r>
    <d v="2026-02-07T00:00:00"/>
    <x v="13"/>
    <n v="12017455"/>
  </r>
  <r>
    <d v="2026-02-08T00:00:00"/>
    <x v="13"/>
    <n v="12754283"/>
  </r>
  <r>
    <d v="2026-02-09T00:00:00"/>
    <x v="13"/>
    <n v="12664152"/>
  </r>
  <r>
    <d v="2026-02-10T00:00:00"/>
    <x v="13"/>
    <n v="13557811"/>
  </r>
  <r>
    <d v="2026-02-11T00:00:00"/>
    <x v="13"/>
    <n v="13562855"/>
  </r>
  <r>
    <d v="2026-02-12T00:00:00"/>
    <x v="13"/>
    <n v="13320067"/>
  </r>
  <r>
    <d v="2026-02-13T00:00:00"/>
    <x v="13"/>
    <n v="13110131"/>
  </r>
  <r>
    <d v="2026-02-14T00:00:00"/>
    <x v="13"/>
    <n v="12659383"/>
  </r>
  <r>
    <d v="2026-02-15T00:00:00"/>
    <x v="13"/>
    <n v="12168713"/>
  </r>
  <r>
    <d v="2026-02-16T00:00:00"/>
    <x v="13"/>
    <n v="13267793"/>
  </r>
  <r>
    <d v="2026-02-17T00:00:00"/>
    <x v="13"/>
    <n v="12156192"/>
  </r>
  <r>
    <d v="2026-02-18T00:00:00"/>
    <x v="13"/>
    <n v="13974532"/>
  </r>
  <r>
    <d v="2026-02-19T00:00:00"/>
    <x v="13"/>
    <n v="13308477"/>
  </r>
  <r>
    <d v="2026-02-20T00:00:00"/>
    <x v="13"/>
    <n v="13806057"/>
  </r>
  <r>
    <d v="2026-02-21T00:00:00"/>
    <x v="13"/>
    <n v="12310034"/>
  </r>
  <r>
    <d v="2026-02-22T00:00:00"/>
    <x v="13"/>
    <n v="12644865"/>
  </r>
  <r>
    <d v="2026-02-23T00:00:00"/>
    <x v="13"/>
    <n v="13211193"/>
  </r>
  <r>
    <d v="2026-02-24T00:00:00"/>
    <x v="13"/>
    <n v="12675367"/>
  </r>
  <r>
    <d v="2026-02-25T00:00:00"/>
    <x v="13"/>
    <n v="13889362"/>
  </r>
  <r>
    <d v="2026-02-26T00:00:00"/>
    <x v="13"/>
    <n v="13101913"/>
  </r>
  <r>
    <d v="2026-02-27T00:00:00"/>
    <x v="13"/>
    <n v="13352509"/>
  </r>
  <r>
    <d v="2026-02-28T00:00:00"/>
    <x v="13"/>
    <n v="13344267"/>
  </r>
  <r>
    <d v="2026-03-01T00:00:00"/>
    <x v="14"/>
    <n v="13206664"/>
  </r>
  <r>
    <d v="2026-03-02T00:00:00"/>
    <x v="14"/>
    <n v="14048453"/>
  </r>
  <r>
    <d v="2026-03-03T00:00:00"/>
    <x v="14"/>
    <n v="14172141"/>
  </r>
  <r>
    <d v="2026-03-04T00:00:00"/>
    <x v="14"/>
    <n v="14008874"/>
  </r>
  <r>
    <d v="2026-03-05T00:00:00"/>
    <x v="14"/>
    <n v="13881682"/>
  </r>
  <r>
    <d v="2026-03-06T00:00:00"/>
    <x v="14"/>
    <n v="13678101"/>
  </r>
  <r>
    <d v="2026-03-07T00:00:00"/>
    <x v="14"/>
    <n v="13662496"/>
  </r>
  <r>
    <d v="2026-03-08T00:00:00"/>
    <x v="14"/>
    <n v="13235294"/>
  </r>
  <r>
    <d v="2026-03-09T00:00:00"/>
    <x v="14"/>
    <n v="14075613"/>
  </r>
  <r>
    <d v="2026-03-10T00:00:00"/>
    <x v="14"/>
    <n v="14482445"/>
  </r>
  <r>
    <d v="2026-03-11T00:00:00"/>
    <x v="14"/>
    <n v="13098009"/>
  </r>
  <r>
    <d v="2026-03-12T00:00:00"/>
    <x v="14"/>
    <n v="14024905"/>
  </r>
  <r>
    <d v="2026-03-13T00:00:00"/>
    <x v="14"/>
    <n v="14855501"/>
  </r>
  <r>
    <d v="2026-03-14T00:00:00"/>
    <x v="14"/>
    <n v="11660801"/>
  </r>
  <r>
    <d v="2026-03-15T00:00:00"/>
    <x v="14"/>
    <n v="12405907"/>
  </r>
  <r>
    <d v="2026-03-16T00:00:00"/>
    <x v="14"/>
    <n v="14800538"/>
  </r>
  <r>
    <d v="2026-03-17T00:00:00"/>
    <x v="14"/>
    <n v="14987122"/>
  </r>
  <r>
    <d v="2026-03-18T00:00:00"/>
    <x v="14"/>
    <n v="14444596"/>
  </r>
  <r>
    <d v="2026-03-19T00:00:00"/>
    <x v="14"/>
    <n v="18000115"/>
  </r>
  <r>
    <d v="2026-03-20T00:00:00"/>
    <x v="14"/>
    <n v="14378465"/>
  </r>
  <r>
    <d v="2026-03-21T00:00:00"/>
    <x v="14"/>
    <n v="14063052"/>
  </r>
  <r>
    <d v="2026-03-22T00:00:00"/>
    <x v="14"/>
    <n v="14769001"/>
  </r>
  <r>
    <d v="2026-03-23T00:00:00"/>
    <x v="14"/>
    <n v="14249378"/>
  </r>
  <r>
    <d v="2026-03-24T00:00:00"/>
    <x v="14"/>
    <n v="14494907"/>
  </r>
  <r>
    <d v="2026-03-25T00:00:00"/>
    <x v="14"/>
    <n v="13945786"/>
  </r>
  <r>
    <d v="2026-03-26T00:00:00"/>
    <x v="14"/>
    <n v="13531289"/>
  </r>
  <r>
    <d v="2026-03-27T00:00:00"/>
    <x v="14"/>
    <n v="15916551"/>
  </r>
  <r>
    <d v="2026-03-28T00:00:00"/>
    <x v="14"/>
    <n v="15403848"/>
  </r>
  <r>
    <d v="2026-03-29T00:00:00"/>
    <x v="14"/>
    <n v="14769783"/>
  </r>
  <r>
    <d v="2026-03-30T00:00:00"/>
    <x v="14"/>
    <n v="15864660"/>
  </r>
  <r>
    <d v="2026-03-31T00:00:00"/>
    <x v="14"/>
    <n v="16362735"/>
  </r>
  <r>
    <d v="2026-04-01T00:00:00"/>
    <x v="15"/>
    <n v="15962888"/>
  </r>
  <r>
    <d v="2026-04-02T00:00:00"/>
    <x v="15"/>
    <n v="16117912"/>
  </r>
  <r>
    <d v="2026-04-03T00:00:00"/>
    <x v="15"/>
    <n v="15880868"/>
  </r>
  <r>
    <d v="2026-04-04T00:00:00"/>
    <x v="15"/>
    <n v="14705309"/>
  </r>
  <r>
    <d v="2026-04-05T00:00:00"/>
    <x v="15"/>
    <n v="14122800"/>
  </r>
  <r>
    <d v="2026-04-06T00:00:00"/>
    <x v="15"/>
    <n v="17005878"/>
  </r>
  <r>
    <d v="2026-04-07T00:00:00"/>
    <x v="15"/>
    <n v="16639453"/>
  </r>
  <r>
    <d v="2026-04-08T00:00:00"/>
    <x v="15"/>
    <n v="16692287"/>
  </r>
  <r>
    <d v="2026-04-09T00:00:00"/>
    <x v="15"/>
    <n v="16659794"/>
  </r>
  <r>
    <d v="2026-04-10T00:00:00"/>
    <x v="15"/>
    <n v="15179558"/>
  </r>
  <r>
    <d v="2026-04-11T00:00:00"/>
    <x v="15"/>
    <n v="12892280"/>
  </r>
  <r>
    <d v="2026-04-12T00:00:00"/>
    <x v="15"/>
    <n v="14997045"/>
  </r>
  <r>
    <d v="2026-04-13T00:00:00"/>
    <x v="15"/>
    <n v="15040342"/>
  </r>
  <r>
    <d v="2026-04-14T00:00:00"/>
    <x v="15"/>
    <n v="16145150"/>
  </r>
  <r>
    <d v="2026-04-15T00:00:00"/>
    <x v="15"/>
    <n v="14419123"/>
  </r>
  <r>
    <d v="2026-04-16T00:00:00"/>
    <x v="15"/>
    <n v="13694312"/>
  </r>
  <r>
    <d v="2026-04-17T00:00:00"/>
    <x v="15"/>
    <n v="13284523"/>
  </r>
  <r>
    <d v="2026-04-18T00:00:00"/>
    <x v="15"/>
    <n v="13594146"/>
  </r>
  <r>
    <d v="2026-04-19T00:00:00"/>
    <x v="15"/>
    <n v="13032523"/>
  </r>
  <r>
    <d v="2026-04-20T00:00:00"/>
    <x v="15"/>
    <n v="14152862"/>
  </r>
  <r>
    <d v="2026-04-21T00:00:00"/>
    <x v="15"/>
    <n v="11107279"/>
  </r>
  <r>
    <d v="2026-04-22T00:00:00"/>
    <x v="15"/>
    <n v="14728345"/>
  </r>
  <r>
    <d v="2026-04-23T00:00:00"/>
    <x v="15"/>
    <n v="14223837"/>
  </r>
  <r>
    <d v="2026-04-24T00:00:00"/>
    <x v="15"/>
    <n v="14590731"/>
  </r>
  <r>
    <d v="2026-04-25T00:00:00"/>
    <x v="15"/>
    <n v="15185968"/>
  </r>
  <r>
    <d v="2026-04-26T00:00:00"/>
    <x v="15"/>
    <n v="15782825"/>
  </r>
  <r>
    <d v="2026-04-27T00:00:00"/>
    <x v="15"/>
    <n v="14538126"/>
  </r>
  <r>
    <d v="2026-04-28T00:00:00"/>
    <x v="15"/>
    <n v="14932178"/>
  </r>
  <r>
    <d v="2026-04-29T00:00:00"/>
    <x v="15"/>
    <n v="14144123"/>
  </r>
  <r>
    <d v="2026-04-30T00:00:00"/>
    <x v="15"/>
    <n v="14821753"/>
  </r>
  <r>
    <d v="2026-05-01T00:00:00"/>
    <x v="16"/>
    <n v="15697197"/>
  </r>
  <r>
    <d v="2026-05-02T00:00:00"/>
    <x v="16"/>
    <n v="15598193"/>
  </r>
  <r>
    <d v="2026-05-03T00:00:00"/>
    <x v="16"/>
    <n v="16041049"/>
  </r>
  <r>
    <d v="2026-05-04T00:00:00"/>
    <x v="16"/>
    <n v="14772829"/>
  </r>
  <r>
    <d v="2026-05-05T00:00:00"/>
    <x v="16"/>
    <n v="14720856"/>
  </r>
  <r>
    <d v="2026-05-06T00:00:00"/>
    <x v="16"/>
    <n v="15126469"/>
  </r>
  <r>
    <d v="2026-05-07T00:00:00"/>
    <x v="16"/>
    <n v="15021192"/>
  </r>
  <r>
    <d v="2026-05-08T00:00:00"/>
    <x v="16"/>
    <n v="15313586"/>
  </r>
  <r>
    <d v="2026-05-09T00:00:00"/>
    <x v="16"/>
    <n v="14651646"/>
  </r>
  <r>
    <d v="2026-05-10T00:00:00"/>
    <x v="16"/>
    <n v="15604966"/>
  </r>
  <r>
    <d v="2026-05-11T00:00:00"/>
    <x v="16"/>
    <n v="14920016"/>
  </r>
  <r>
    <d v="2026-05-12T00:00:00"/>
    <x v="16"/>
    <n v="15017167"/>
  </r>
  <r>
    <d v="2026-05-13T00:00:00"/>
    <x v="16"/>
    <n v="15134317"/>
  </r>
  <r>
    <d v="2026-05-14T00:00:00"/>
    <x v="16"/>
    <n v="14934231"/>
  </r>
  <r>
    <d v="2026-05-15T00:00:00"/>
    <x v="16"/>
    <n v="15639138"/>
  </r>
  <r>
    <d v="2026-05-16T00:00:00"/>
    <x v="16"/>
    <n v="16549538"/>
  </r>
  <r>
    <d v="2026-05-17T00:00:00"/>
    <x v="16"/>
    <n v="12672209"/>
  </r>
  <r>
    <d v="2026-05-18T00:00:00"/>
    <x v="16"/>
    <n v="17778435"/>
  </r>
  <r>
    <d v="2026-05-19T00:00:00"/>
    <x v="16"/>
    <n v="15741266"/>
  </r>
  <r>
    <d v="2026-05-20T00:00:00"/>
    <x v="16"/>
    <n v="15537485"/>
  </r>
  <r>
    <d v="2026-05-21T00:00:00"/>
    <x v="16"/>
    <n v="15248953"/>
  </r>
  <r>
    <d v="2026-05-22T00:00:00"/>
    <x v="16"/>
    <n v="15130221"/>
  </r>
  <r>
    <d v="2026-05-23T00:00:00"/>
    <x v="16"/>
    <n v="14511031"/>
  </r>
  <r>
    <d v="2026-05-24T00:00:00"/>
    <x v="16"/>
    <n v="14877329"/>
  </r>
  <r>
    <d v="2026-05-25T00:00:00"/>
    <x v="16"/>
    <n v="15493406"/>
  </r>
  <r>
    <d v="2026-05-26T00:00:00"/>
    <x v="16"/>
    <n v="16597693"/>
  </r>
  <r>
    <d v="2026-05-27T00:00:00"/>
    <x v="16"/>
    <n v="15857439"/>
  </r>
  <r>
    <d v="2026-05-28T00:00:00"/>
    <x v="16"/>
    <n v="15040489"/>
  </r>
  <r>
    <d v="2026-05-29T00:00:00"/>
    <x v="16"/>
    <n v="14516774"/>
  </r>
  <r>
    <d v="2026-05-30T00:00:00"/>
    <x v="16"/>
    <n v="15572047"/>
  </r>
  <r>
    <d v="2026-05-31T00:00:00"/>
    <x v="16"/>
    <n v="17519554"/>
  </r>
  <r>
    <d v="2026-06-01T00:00:00"/>
    <x v="17"/>
    <n v="17205236"/>
  </r>
  <r>
    <d v="2026-06-02T00:00:00"/>
    <x v="17"/>
    <n v="17450193"/>
  </r>
  <r>
    <d v="2026-06-03T00:00:00"/>
    <x v="17"/>
    <n v="18040015"/>
  </r>
  <r>
    <d v="2026-06-04T00:00:00"/>
    <x v="17"/>
    <n v="18650628"/>
  </r>
  <r>
    <d v="2026-06-05T00:00:00"/>
    <x v="17"/>
    <n v="18727234"/>
  </r>
  <r>
    <d v="2026-06-06T00:00:00"/>
    <x v="17"/>
    <n v="18880247"/>
  </r>
  <r>
    <d v="2026-06-07T00:00:00"/>
    <x v="17"/>
    <n v="19365800"/>
  </r>
  <r>
    <d v="2026-06-08T00:00:00"/>
    <x v="17"/>
    <n v="18106919"/>
  </r>
  <r>
    <d v="2026-06-09T00:00:00"/>
    <x v="17"/>
    <n v="18772898"/>
  </r>
  <r>
    <d v="2026-06-10T00:00:00"/>
    <x v="17"/>
    <n v="19125630"/>
  </r>
  <r>
    <d v="2026-06-11T00:00:00"/>
    <x v="17"/>
    <n v="19217381"/>
  </r>
  <r>
    <d v="2026-06-12T00:00:00"/>
    <x v="17"/>
    <n v="18080144"/>
  </r>
  <r>
    <d v="2026-06-13T00:00:00"/>
    <x v="17"/>
    <n v="19960916"/>
  </r>
  <r>
    <d v="2026-06-14T00:00:00"/>
    <x v="17"/>
    <n v="20166989"/>
  </r>
  <r>
    <d v="2026-06-15T00:00:00"/>
    <x v="17"/>
    <n v="18344479"/>
  </r>
  <r>
    <d v="2026-06-16T00:00:00"/>
    <x v="17"/>
    <n v="18327872"/>
  </r>
  <r>
    <d v="2026-06-17T00:00:00"/>
    <x v="17"/>
    <n v="18719014"/>
  </r>
  <r>
    <d v="2026-06-18T00:00:00"/>
    <x v="17"/>
    <n v="19002902"/>
  </r>
  <r>
    <d v="2026-06-19T00:00:00"/>
    <x v="17"/>
    <n v="19359829"/>
  </r>
  <r>
    <d v="2026-06-20T00:00:00"/>
    <x v="17"/>
    <n v="20010322"/>
  </r>
  <r>
    <d v="2026-06-21T00:00:00"/>
    <x v="17"/>
    <n v="20117029"/>
  </r>
  <r>
    <d v="2026-06-22T00:00:00"/>
    <x v="17"/>
    <n v="18625876"/>
  </r>
  <r>
    <d v="2026-06-23T00:00:00"/>
    <x v="17"/>
    <n v="18154807"/>
  </r>
  <r>
    <d v="2026-06-24T00:00:00"/>
    <x v="17"/>
    <n v="18160838"/>
  </r>
  <r>
    <d v="2026-06-25T00:00:00"/>
    <x v="17"/>
    <n v="18039194"/>
  </r>
  <r>
    <d v="2026-06-26T00:00:00"/>
    <x v="17"/>
    <n v="17987258"/>
  </r>
  <r>
    <d v="2026-06-27T00:00:00"/>
    <x v="17"/>
    <n v="18330499"/>
  </r>
  <r>
    <d v="2026-06-28T00:00:00"/>
    <x v="17"/>
    <n v="15438364"/>
  </r>
  <r>
    <d v="2026-06-29T00:00:00"/>
    <x v="17"/>
    <n v="17326842"/>
  </r>
  <r>
    <d v="2026-06-30T00:00:00"/>
    <x v="17"/>
    <n v="18396997"/>
  </r>
  <r>
    <d v="2026-07-01T00:00:00"/>
    <x v="18"/>
    <n v="18876487"/>
  </r>
  <r>
    <d v="2026-07-02T00:00:00"/>
    <x v="18"/>
    <n v="17821062"/>
  </r>
  <r>
    <d v="2026-07-03T00:00:00"/>
    <x v="18"/>
    <n v="18412334"/>
  </r>
  <r>
    <d v="2026-07-04T00:00:00"/>
    <x v="18"/>
    <n v="19937126"/>
  </r>
  <r>
    <d v="2026-07-05T00:00:00"/>
    <x v="18"/>
    <n v="19446881"/>
  </r>
  <r>
    <d v="2026-07-06T00:00:00"/>
    <x v="18"/>
    <n v="18908483"/>
  </r>
  <r>
    <d v="2026-07-07T00:00:00"/>
    <x v="18"/>
    <n v="19513678"/>
  </r>
  <r>
    <d v="2026-07-08T00:00:00"/>
    <x v="18"/>
    <n v="19779112"/>
  </r>
  <r>
    <d v="2026-07-09T00:00:00"/>
    <x v="18"/>
    <n v="19780581"/>
  </r>
  <r>
    <d v="2026-07-10T00:00:00"/>
    <x v="18"/>
    <n v="19571690"/>
  </r>
  <r>
    <d v="2026-07-11T00:00:00"/>
    <x v="18"/>
    <n v="19283265"/>
  </r>
  <r>
    <d v="2026-07-12T00:00:00"/>
    <x v="18"/>
    <n v="18912135"/>
  </r>
  <r>
    <d v="2026-07-13T00:00:00"/>
    <x v="18"/>
    <n v="128066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7FAA45-0627-4543-880F-D88C59020062}" name="Pivot_AU_API_Invocations_Sum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23" firstHeaderRow="1" firstDataRow="1" firstDataCol="1"/>
  <pivotFields count="3">
    <pivotField numFmtId="22" showAll="0"/>
    <pivotField axis="axisRow" numFmtId="1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dataField="1"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Sum of API Invocations" fld="2" baseField="0" baseItem="0" numFmtId="3"/>
  </dataFields>
  <formats count="2">
    <format dxfId="22">
      <pivotArea outline="0" collapsedLevelsAreSubtotals="1" fieldPosition="0"/>
    </format>
    <format dxfId="2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F5228F-C8E7-40EB-9E0B-26B552195215}" name="Pivot_AU_Authorisations_Avg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3" firstHeaderRow="1" firstDataRow="1" firstDataCol="1"/>
  <pivotFields count="3">
    <pivotField numFmtId="22" showAll="0"/>
    <pivotField axis="axisRow" numFmtId="1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dataField="1"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Average of Active Ongoing Authorisations" fld="2" subtotal="average" baseField="0" baseItem="0" numFmtId="3"/>
  </dataFields>
  <formats count="2">
    <format dxfId="24">
      <pivotArea outline="0" collapsedLevelsAreSubtotals="1" fieldPosition="0"/>
    </format>
    <format dxfId="2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6" xr16:uid="{D29113C2-6883-4042-8591-E6EF832B71DE}" autoFormatId="16" applyNumberFormats="0" applyBorderFormats="0" applyFontFormats="0" applyPatternFormats="0" applyAlignmentFormats="0" applyWidthHeightFormats="0">
  <queryTableRefresh nextId="9">
    <queryTableFields count="8">
      <queryTableField id="1" name="Bank" tableColumnId="1"/>
      <queryTableField id="2" name="Total Assets FY25 ($M CAD)" tableColumnId="2"/>
      <queryTableField id="3" name="Total Revenue FY25 ($M)" tableColumnId="3"/>
      <queryTableField id="4" name="Total Revenue FY24 ($M)" tableColumnId="4"/>
      <queryTableField id="5" name="Net Income FY25 ($M)" tableColumnId="5"/>
      <queryTableField id="6" name="Net Income FY24 ($M)" tableColumnId="6"/>
      <queryTableField id="7" name="Source File" tableColumnId="7"/>
      <queryTableField id="8" name="Notes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3" xr16:uid="{A829B45D-76BB-4899-9EC7-F3805DC0617A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9" xr16:uid="{3A31FBDB-4F18-4391-816A-D1E300032631}" autoFormatId="16" applyNumberFormats="0" applyBorderFormats="0" applyFontFormats="0" applyPatternFormats="0" applyAlignmentFormats="0" applyWidthHeightFormats="0">
  <queryTableRefresh nextId="12">
    <queryTableFields count="10">
      <queryTableField id="1" name="Metric" tableColumnId="1"/>
      <queryTableField id="2" name="Value" tableColumnId="2"/>
      <queryTableField id="3" name="Unit" tableColumnId="3"/>
      <queryTableField id="4" name="As-Of Date" tableColumnId="4"/>
      <queryTableField id="11" dataBound="0" tableColumnId="11"/>
      <queryTableField id="5" name="Date Retrieved" tableColumnId="5"/>
      <queryTableField id="6" name="Source Name" tableColumnId="6"/>
      <queryTableField id="7" name="URL" tableColumnId="7"/>
      <queryTableField id="8" name="Status" tableColumnId="8"/>
      <queryTableField id="9" name="Notes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D88C9FC2-219A-44E9-823D-AA0571E8A715}" autoFormatId="16" applyNumberFormats="0" applyBorderFormats="0" applyFontFormats="0" applyPatternFormats="0" applyAlignmentFormats="0" applyWidthHeightFormats="0">
  <queryTableRefresh nextId="11">
    <queryTableFields count="10">
      <queryTableField id="1" name="Bank" tableColumnId="1"/>
      <queryTableField id="2" name="Segment Name (as reported)" tableColumnId="2"/>
      <queryTableField id="3" name="Segment NII FY25 ($M)" tableColumnId="3"/>
      <queryTableField id="4" name="Segment Non-Interest Income FY25 ($M)" tableColumnId="4"/>
      <queryTableField id="5" name="Segment Total Revenue FY25 ($M)" tableColumnId="5"/>
      <queryTableField id="6" name="Segment Total Revenue FY24 ($M)" tableColumnId="6"/>
      <queryTableField id="7" name="Segment Net Income FY25 ($M)" tableColumnId="7"/>
      <queryTableField id="8" name="Segment Net Income FY24 ($M)" tableColumnId="8"/>
      <queryTableField id="9" name="% of Total Bank Net Income" tableColumnId="9"/>
      <queryTableField id="10" name="Notes" tableColumnId="10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8AC42B9-7672-4334-A208-2801EF66459F}" autoFormatId="16" applyNumberFormats="0" applyBorderFormats="0" applyFontFormats="0" applyPatternFormats="0" applyAlignmentFormats="0" applyWidthHeightFormats="0">
  <queryTableRefresh nextId="7">
    <queryTableFields count="6">
      <queryTableField id="1" name="Bank" tableColumnId="1"/>
      <queryTableField id="2" name="Fee Category" tableColumnId="2"/>
      <queryTableField id="3" name="FY25 ($M)" tableColumnId="3"/>
      <queryTableField id="4" name="FY24 ($M)" tableColumnId="4"/>
      <queryTableField id="5" name="Scope" tableColumnId="5"/>
      <queryTableField id="6" name="Notes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3C8F211C-8EA5-48C0-856F-8B966FE59AA1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3" xr16:uid="{19B8E100-16FD-48D1-A454-EFCCD3C28DF5}" autoFormatId="16" applyNumberFormats="0" applyBorderFormats="0" applyFontFormats="0" applyPatternFormats="0" applyAlignmentFormats="0" applyWidthHeightFormats="0">
  <queryTableRefresh nextId="3">
    <queryTableFields count="2">
      <queryTableField id="1" name="Metric Name" tableColumnId="1"/>
      <queryTableField id="2" name="Value / Detail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0" xr16:uid="{60FF6D0F-9FA3-48A4-8A80-9001F6106D8E}" autoFormatId="16" applyNumberFormats="0" applyBorderFormats="0" applyFontFormats="0" applyPatternFormats="0" applyAlignmentFormats="0" applyWidthHeightFormats="0">
  <queryTableRefresh nextId="3">
    <queryTableFields count="2">
      <queryTableField id="1" name="Column2" tableColumnId="1"/>
      <queryTableField id="2" name="Column3" tableColumnId="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2" xr16:uid="{9124E3D4-1C2F-47DF-B0F3-77F6300D85BB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Column1" tableColumnId="1"/>
      <queryTableField id="2" name="Column2" tableColumnId="2"/>
      <queryTableField id="3" name="Column3" tableColumnId="3"/>
      <queryTableField id="4" dataBound="0" tableColumnId="4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4" xr16:uid="{AA16B550-51D7-4221-9D95-05BD07D26141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8" xr16:uid="{44DBC438-C167-451E-A366-00446841FD3A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% Availability (AVG)" tableColumnId="1"/>
      <queryTableField id="2" name="Month Year MMM-YYYY" tableColumnId="2"/>
      <queryTableField id="3" dataBound="0" tableColumnId="3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A055AE42-8879-4436-BD23-8BEE4EB759A2}" autoFormatId="16" applyNumberFormats="0" applyBorderFormats="0" applyFontFormats="0" applyPatternFormats="0" applyAlignmentFormats="0" applyWidthHeightFormats="0">
  <queryTableRefresh nextId="5">
    <queryTableFields count="3">
      <queryTableField id="1" name="Date" tableColumnId="1"/>
      <queryTableField id="4" dataBound="0" tableColumnId="5"/>
      <queryTableField id="2" name="API Invocations" tableColumnId="2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CE480E13-98C9-4280-853E-7E19AE613FDE}" autoFormatId="16" applyNumberFormats="0" applyBorderFormats="0" applyFontFormats="0" applyPatternFormats="0" applyAlignmentFormats="0" applyWidthHeightFormats="0">
  <queryTableRefresh nextId="5">
    <queryTableFields count="3">
      <queryTableField id="1" name="Date" tableColumnId="1"/>
      <queryTableField id="4" dataBound="0" tableColumnId="4"/>
      <queryTableField id="2" name="Active Ongoing Authorisations" tableColumnId="2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5" xr16:uid="{5EA706B7-C8B3-4674-9905-92F30B194185}" autoFormatId="16" applyNumberFormats="0" applyBorderFormats="0" applyFontFormats="0" applyPatternFormats="0" applyAlignmentFormats="0" applyWidthHeightFormats="0">
  <queryTableRefresh nextId="5">
    <queryTableFields count="4">
      <queryTableField id="1" name="Year" tableColumnId="1"/>
      <queryTableField id="2" name="Milestone" tableColumnId="2"/>
      <queryTableField id="3" name="Detail" tableColumnId="3"/>
      <queryTableField id="4" name="Source" tableColumnId="4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BADD9A11-DD1E-4C90-9D31-F06148C350DC}" autoFormatId="16" applyNumberFormats="0" applyBorderFormats="0" applyFontFormats="0" applyPatternFormats="0" applyAlignmentFormats="0" applyWidthHeightFormats="0">
  <queryTableRefresh nextId="11">
    <queryTableFields count="10">
      <queryTableField id="1" name="Metric" tableColumnId="1"/>
      <queryTableField id="2" name="Value" tableColumnId="2"/>
      <queryTableField id="3" name="Unit" tableColumnId="3"/>
      <queryTableField id="4" name="Geography" tableColumnId="4"/>
      <queryTableField id="5" name="As-Of Date" tableColumnId="5"/>
      <queryTableField id="6" name="Date Retrieved" tableColumnId="6"/>
      <queryTableField id="7" name="Source Name" tableColumnId="7"/>
      <queryTableField id="8" name="URL" tableColumnId="8"/>
      <queryTableField id="9" name="Status" tableColumnId="9"/>
      <queryTableField id="10" name="Notes" tableColumnId="10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CC1320CF-980E-490F-A0E6-E48EF4226FAF}" autoFormatId="16" applyNumberFormats="0" applyBorderFormats="0" applyFontFormats="0" applyPatternFormats="0" applyAlignmentFormats="0" applyWidthHeightFormats="0">
  <queryTableRefresh nextId="24">
    <queryTableFields count="22">
      <queryTableField id="1" name="Metric" tableColumnId="1"/>
      <queryTableField id="23" dataBound="0" tableColumnId="23"/>
      <queryTableField id="2" name="# of API Calls Successful" tableColumnId="2"/>
      <queryTableField id="3" name="# of API Calls Successful - AIS" tableColumnId="3"/>
      <queryTableField id="4" name="# of API Calls Successful - PIS" tableColumnId="4"/>
      <queryTableField id="5" name="# of API Calls Successful - COF" tableColumnId="5"/>
      <queryTableField id="6" name="# of Non VRP Domestic Payments Successful" tableColumnId="6"/>
      <queryTableField id="7" name="Vol VRP Payment Succeeded" tableColumnId="7"/>
      <queryTableField id="8" name="# of API Calls Failed" tableColumnId="8"/>
      <queryTableField id="9" name="# of API Calls failed for Business Reasons" tableColumnId="9"/>
      <queryTableField id="10" name="% of API Calls failed for Business Reasons" tableColumnId="10"/>
      <queryTableField id="11" name="# of API Calls failed for Technical Reasons" tableColumnId="11"/>
      <queryTableField id="12" name="% of API Calls failed for Technical Reasons" tableColumnId="12"/>
      <queryTableField id="13" name="# of API Calls with Rejected Status" tableColumnId="13"/>
      <queryTableField id="14" name="% of API Calls with Rejected Status" tableColumnId="14"/>
      <queryTableField id="15" name="API Response Time" tableColumnId="15"/>
      <queryTableField id="16" name="Availability %" tableColumnId="16"/>
      <queryTableField id="17" name="Availability % - AIS" tableColumnId="17"/>
      <queryTableField id="18" name="Availability % - PIS" tableColumnId="18"/>
      <queryTableField id="19" name="Availability % - Weighted" tableColumnId="19"/>
      <queryTableField id="20" name="Availability % - Weighted - AIS" tableColumnId="20"/>
      <queryTableField id="21" name="Availability % - Weighted - PIS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2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616B80D-AA2C-4F80-B4B7-A5C1FE6C31DE}" name="Total_Bank" displayName="Total_Bank" ref="A1:H7" tableType="queryTable" totalsRowShown="0">
  <autoFilter ref="A1:H7" xr:uid="{5616B80D-AA2C-4F80-B4B7-A5C1FE6C31DE}"/>
  <tableColumns count="8">
    <tableColumn id="1" xr3:uid="{92E4FC1B-C827-4C7A-90FF-5A2520416CDB}" uniqueName="1" name="Bank" queryTableFieldId="1" dataDxfId="127"/>
    <tableColumn id="2" xr3:uid="{CF700CBE-DACF-4C2A-AEC3-773F876C27D7}" uniqueName="2" name="Total Assets FY25 ($M CAD)" queryTableFieldId="2"/>
    <tableColumn id="3" xr3:uid="{E1F166A6-4F0C-43EA-B9E5-4132627CE102}" uniqueName="3" name="Total Revenue FY25 ($M)" queryTableFieldId="3"/>
    <tableColumn id="4" xr3:uid="{E83DBEF5-0B48-447A-9031-3C0DC601629B}" uniqueName="4" name="Total Revenue FY24 ($M)" queryTableFieldId="4"/>
    <tableColumn id="5" xr3:uid="{3E1C4E9D-3CE5-431C-8F13-727970027BFA}" uniqueName="5" name="Net Income FY25 ($M)" queryTableFieldId="5"/>
    <tableColumn id="6" xr3:uid="{7CCD142A-9620-4143-9853-6C7EDF0F4052}" uniqueName="6" name="Net Income FY24 ($M)" queryTableFieldId="6"/>
    <tableColumn id="7" xr3:uid="{7B3ABA9B-00B4-4DC3-870C-0F761048E6E6}" uniqueName="7" name="Source File" queryTableFieldId="7" dataDxfId="126"/>
    <tableColumn id="8" xr3:uid="{D33432D7-F53C-46DF-8F1F-80CF86E83EAE}" uniqueName="8" name="Notes" queryTableFieldId="8" dataDxfId="12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EAE3B91-3EE7-4B09-8FCF-FED4904667E3}" name="README" displayName="README" ref="A1:B9" tableType="queryTable" totalsRowShown="0">
  <autoFilter ref="A1:B9" xr:uid="{0EAE3B91-3EE7-4B09-8FCF-FED4904667E3}"/>
  <tableColumns count="2">
    <tableColumn id="1" xr3:uid="{A7FCEEA1-7EC4-48ED-8771-017DAF4FF5BA}" uniqueName="1" name="Column1" queryTableFieldId="1" dataDxfId="124"/>
    <tableColumn id="2" xr3:uid="{087C6409-0771-4435-A0E2-AB2F68A2259A}" uniqueName="2" name="Column2" queryTableFieldId="2" dataDxfId="12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B68C4D-76AB-4A50-8180-13849725A6BF}" name="Raw_Canada_Baseline" displayName="Raw_Canada_Baseline" ref="A1:J8" tableType="queryTable" totalsRowShown="0">
  <autoFilter ref="A1:J8" xr:uid="{F2B68C4D-76AB-4A50-8180-13849725A6BF}"/>
  <tableColumns count="10">
    <tableColumn id="1" xr3:uid="{12B21C7B-E600-41D0-A92D-1EBC7A30919F}" uniqueName="1" name="Metric" queryTableFieldId="1" dataDxfId="122"/>
    <tableColumn id="2" xr3:uid="{FFC1FAE2-4DB7-456A-91C1-D653AD69F0C4}" uniqueName="2" name="Value" queryTableFieldId="2"/>
    <tableColumn id="3" xr3:uid="{ED720542-D4C9-44F9-A228-4D0126F045FB}" uniqueName="3" name="Unit" queryTableFieldId="3" dataDxfId="121"/>
    <tableColumn id="4" xr3:uid="{F8E4817B-D465-4230-9FFA-0A2F3AB3C4FC}" uniqueName="4" name="As-Of Date" queryTableFieldId="4" dataDxfId="120"/>
    <tableColumn id="11" xr3:uid="{6C7F4EDE-BDD4-4525-8400-4F82BE3C8245}" uniqueName="11" name="Months Since Launch" queryTableFieldId="11" dataDxfId="119">
      <calculatedColumnFormula>IFERROR(DATEDIF(Launch_Dates!$B$5,IF(ISNUMBER(D2),D2,IF(LEN(TRIM(D2))=4,DATE(VALUE(TRIM(D2)),1,1),DATEVALUE(D2))),"m"),"")</calculatedColumnFormula>
    </tableColumn>
    <tableColumn id="5" xr3:uid="{A5238C70-E126-4E2D-B465-0657BCA1666B}" uniqueName="5" name="Date Retrieved" queryTableFieldId="5" dataDxfId="118"/>
    <tableColumn id="6" xr3:uid="{3286C828-FE23-43CB-AA67-1D3D951235A2}" uniqueName="6" name="Source Name" queryTableFieldId="6" dataDxfId="117"/>
    <tableColumn id="7" xr3:uid="{DBA66CEB-4DC6-4977-8291-339FFCA3AE2A}" uniqueName="7" name="URL" queryTableFieldId="7" dataDxfId="116"/>
    <tableColumn id="8" xr3:uid="{9B5EECA7-EB9D-43D6-BC2F-FABA3D151348}" uniqueName="8" name="Status" queryTableFieldId="8" dataDxfId="115"/>
    <tableColumn id="9" xr3:uid="{2CE32E9C-7839-498B-A949-12AF4788049E}" uniqueName="9" name="Notes" queryTableFieldId="9" dataDxfId="11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7DC54C-0BE3-4B62-9603-05E038CC4565}" name="PC_Segment" displayName="PC_Segment" ref="A1:J7" tableType="queryTable" totalsRowShown="0">
  <autoFilter ref="A1:J7" xr:uid="{ED7DC54C-0BE3-4B62-9603-05E038CC4565}"/>
  <tableColumns count="10">
    <tableColumn id="1" xr3:uid="{FA693112-8BD6-4C65-AC48-A4FB2D3F45EF}" uniqueName="1" name="Bank" queryTableFieldId="1" dataDxfId="113"/>
    <tableColumn id="2" xr3:uid="{FA3D115E-06E1-46F1-8340-4F7EF2FA47E2}" uniqueName="2" name="Segment Name (as reported)" queryTableFieldId="2" dataDxfId="112"/>
    <tableColumn id="3" xr3:uid="{EDE699CD-2D08-4FBB-ADAD-209697F8C620}" uniqueName="3" name="Segment NII FY25 ($M)" queryTableFieldId="3"/>
    <tableColumn id="4" xr3:uid="{4F3AF87B-055F-4909-9BFF-733A51CB565A}" uniqueName="4" name="Segment Non-Interest Income FY25 ($M)" queryTableFieldId="4"/>
    <tableColumn id="5" xr3:uid="{D82F891F-04F5-4F39-A4FE-1C8787190151}" uniqueName="5" name="Segment Total Revenue FY25 ($M)" queryTableFieldId="5"/>
    <tableColumn id="6" xr3:uid="{B75E097E-5843-4507-BD20-356533CB95FE}" uniqueName="6" name="Segment Total Revenue FY24 ($M)" queryTableFieldId="6"/>
    <tableColumn id="7" xr3:uid="{000E6550-0DE4-47C8-ABAA-0091FC0802BE}" uniqueName="7" name="Segment Net Income FY25 ($M)" queryTableFieldId="7"/>
    <tableColumn id="8" xr3:uid="{CD0F82E4-4BFB-4110-BA4A-E968DC1C0B70}" uniqueName="8" name="Segment Net Income FY24 ($M)" queryTableFieldId="8"/>
    <tableColumn id="9" xr3:uid="{2BB5E5F5-9791-4E31-8F17-E615746ABEEC}" uniqueName="9" name="% of Total Bank Net Income" queryTableFieldId="9"/>
    <tableColumn id="10" xr3:uid="{247014AF-B957-4635-806A-AB4E8E24BC6F}" uniqueName="10" name="Notes" queryTableFieldId="10" dataDxfId="11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34BADE-3459-459A-B64C-1B7A0FE781FE}" name="Fee_Breakout" displayName="Fee_Breakout" ref="A1:F6" tableType="queryTable" totalsRowShown="0">
  <autoFilter ref="A1:F6" xr:uid="{4434BADE-3459-459A-B64C-1B7A0FE781FE}"/>
  <tableColumns count="6">
    <tableColumn id="1" xr3:uid="{1155C3DC-2E40-4BBF-9307-24254E7D9F1D}" uniqueName="1" name="Bank" queryTableFieldId="1" dataDxfId="110"/>
    <tableColumn id="2" xr3:uid="{5F282A5B-4E73-442A-AB6C-5CFCE9930FE5}" uniqueName="2" name="Fee Category" queryTableFieldId="2" dataDxfId="109"/>
    <tableColumn id="3" xr3:uid="{796BD93D-B5E7-458A-B27A-155E8B9C0A66}" uniqueName="3" name="FY25 ($M)" queryTableFieldId="3"/>
    <tableColumn id="4" xr3:uid="{B437682F-9BD1-43A5-9708-399D8BD23C18}" uniqueName="4" name="FY24 ($M)" queryTableFieldId="4"/>
    <tableColumn id="5" xr3:uid="{6CB64FBC-1674-4B46-88E6-10ECF321E26C}" uniqueName="5" name="Scope" queryTableFieldId="5" dataDxfId="108"/>
    <tableColumn id="6" xr3:uid="{2F48E507-47AB-431E-A449-7608DA79355A}" uniqueName="6" name="Notes" queryTableFieldId="6" dataDxfId="10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25F3687-2CE9-498D-9EBB-7C39BA123A77}" name="Country_Comparison" displayName="Country_Comparison" ref="A1:E6" tableType="queryTable" totalsRowShown="0">
  <autoFilter ref="A1:E6" xr:uid="{825F3687-2CE9-498D-9EBB-7C39BA123A77}"/>
  <tableColumns count="5">
    <tableColumn id="1" xr3:uid="{4720B268-4F8C-4CBD-A3A7-7C3B12B934D2}" uniqueName="1" name="Column1" queryTableFieldId="1" dataDxfId="106"/>
    <tableColumn id="2" xr3:uid="{47AF37EC-A048-44AF-BDAC-948381910F35}" uniqueName="2" name="Column2" queryTableFieldId="2" dataDxfId="105"/>
    <tableColumn id="3" xr3:uid="{8A1C9B11-742A-4885-B3E3-65C6EA795AF3}" uniqueName="3" name="Column3" queryTableFieldId="3" dataDxfId="104"/>
    <tableColumn id="4" xr3:uid="{B7F4499D-1CB0-4A3F-8CB3-FE2FC1B3E276}" uniqueName="4" name="Column4" queryTableFieldId="4" dataDxfId="103"/>
    <tableColumn id="5" xr3:uid="{C5187014-8C86-4CE6-9BA6-530B177BB83F}" uniqueName="5" name="Column5" queryTableFieldId="5" dataDxfId="10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FE04DF3-4A09-46C9-91CA-70402761E369}" name="Table11" displayName="Table11" ref="A1:J26" totalsRowShown="0" headerRowDxfId="101">
  <autoFilter ref="A1:J26" xr:uid="{3FE04DF3-4A09-46C9-91CA-70402761E369}"/>
  <tableColumns count="10">
    <tableColumn id="1" xr3:uid="{94502644-E18A-45DA-9382-C8CB3620F755}" name="Months" dataDxfId="100">
      <calculatedColumnFormula>'Raw_UK_API_Data'!A2</calculatedColumnFormula>
    </tableColumn>
    <tableColumn id="2" xr3:uid="{3DDDD68F-D815-4DB2-940F-B4D1113D14B8}" name="UK API Calls (actual)" dataDxfId="99">
      <calculatedColumnFormula>'Raw_UK_API_Data'!C2</calculatedColumnFormula>
    </tableColumn>
    <tableColumn id="3" xr3:uid="{3B4B38C2-3C2C-498D-9DD0-182D07C39C6F}" name="UK MoM Growth % " dataDxfId="98"/>
    <tableColumn id="4" xr3:uid="{DEE86621-FFF0-4A18-AB36-1D2D5C7FB8A3}" name=" Canada Month"/>
    <tableColumn id="5" xr3:uid="{1FC77CC9-621C-45BC-BFA8-F9C7139C044E}" name="Canada — Conservative" dataDxfId="97">
      <calculatedColumnFormula>'Raw_Canada_Baseline'!B2*0.05</calculatedColumnFormula>
    </tableColumn>
    <tableColumn id="6" xr3:uid="{448268CF-926E-487B-BE1B-1B0855A52B0F}" name="Canada — Base"/>
    <tableColumn id="7" xr3:uid="{618A5980-61BF-492E-8BA6-9B34D9370F45}" name="Canada — Optimistic"/>
    <tableColumn id="8" xr3:uid="{9DE65890-18E5-4F33-8147-0804AF65B295}" name="Cons. as % of 9M" dataCellStyle="Percent">
      <calculatedColumnFormula xml:space="preserve"> E2/'Raw_Canada_Baseline'!$B$2</calculatedColumnFormula>
    </tableColumn>
    <tableColumn id="9" xr3:uid="{EE64B1D4-E985-4863-8529-E023A30A9432}" name="Base as % of 9M" dataCellStyle="Percent">
      <calculatedColumnFormula xml:space="preserve"> F2/'Raw_Canada_Baseline'!$B$2</calculatedColumnFormula>
    </tableColumn>
    <tableColumn id="10" xr3:uid="{84ABA4CC-BAF2-47C6-965F-5AB0AD33C8D4}" name="Opt. as % of 9M" dataCellStyle="Percent">
      <calculatedColumnFormula xml:space="preserve"> G2/'Raw_Canada_Baseline'!$B$2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B04CC3E-9507-4459-BCD0-A78AA940EAB4}" name="Table16" displayName="Table16" ref="L1:N5" totalsRowShown="0">
  <autoFilter ref="L1:N5" xr:uid="{7B04CC3E-9507-4459-BCD0-A78AA940EAB4}"/>
  <tableColumns count="3">
    <tableColumn id="1" xr3:uid="{33080D4B-EBDA-4BAB-9200-3F8C70550A90}" name="Column1"/>
    <tableColumn id="2" xr3:uid="{6367C007-F759-4454-A56E-691989C35602}" name="Column2"/>
    <tableColumn id="3" xr3:uid="{7ED7F6B2-E021-4F28-BB83-2DF9D3630A4C}" name="Column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9B89EFEE-11BD-4EE6-80FE-1F54A51ACEA7}" name="ME_A_forecast" displayName="ME_A_forecast" ref="A1:B6" tableType="queryTable" totalsRowShown="0">
  <autoFilter ref="A1:B6" xr:uid="{9B89EFEE-11BD-4EE6-80FE-1F54A51ACEA7}"/>
  <tableColumns count="2">
    <tableColumn id="1" xr3:uid="{E0C992EC-0C31-4882-AEE2-F6743D013341}" uniqueName="1" name="Metric Name" queryTableFieldId="1" dataDxfId="96"/>
    <tableColumn id="2" xr3:uid="{ACAD4DB1-B7F7-40A9-8C38-AEF1C11726C2}" uniqueName="2" name="Value / Detail" queryTableFieldId="2" dataDxfId="95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911B53F0-09B2-447D-A3BD-C24967C4B26B}" name="Country_Launch_Dates" displayName="Country_Launch_Dates" ref="A1:C5" totalsRowShown="0" headerRowDxfId="94">
  <autoFilter ref="A1:C5" xr:uid="{911B53F0-09B2-447D-A3BD-C24967C4B26B}"/>
  <tableColumns count="3">
    <tableColumn id="1" xr3:uid="{FBD50A4B-D2BB-453F-9903-7BAF94828D00}" name="Country"/>
    <tableColumn id="2" xr3:uid="{FFD47C55-AB12-4F62-BB6E-D07A4772A903}" name="Launch Date" dataDxfId="93"/>
    <tableColumn id="3" xr3:uid="{B39A70F6-4492-4F08-BFB5-351E491029C8}" name="Notes" dataDxfId="92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85BE342-F021-4D15-B10E-B7255857E041}" name="Raw_India_AA" displayName="Raw_India_AA" ref="A1:B8" tableType="queryTable" totalsRowShown="0">
  <autoFilter ref="A1:B8" xr:uid="{085BE342-F021-4D15-B10E-B7255857E041}"/>
  <tableColumns count="2">
    <tableColumn id="1" xr3:uid="{D1B0A578-0BAD-4190-A314-68BDCC5359F3}" uniqueName="1" name="Column2" queryTableFieldId="1" dataDxfId="91"/>
    <tableColumn id="2" xr3:uid="{A4C1E868-8396-4E87-828E-B7318659F492}" uniqueName="2" name="Column3" queryTableFieldId="2" dataDxfId="90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9A5C0A4-019E-4C1B-95B3-AFA611A7E9E7}" name="Raw_US_Adoption" displayName="Raw_US_Adoption" ref="A1:D12" tableType="queryTable" totalsRowShown="0">
  <autoFilter ref="A1:D12" xr:uid="{49A5C0A4-019E-4C1B-95B3-AFA611A7E9E7}"/>
  <tableColumns count="4">
    <tableColumn id="1" xr3:uid="{628DE7B4-65FB-4B5C-AC03-60AAB738007F}" uniqueName="1" name="Column1" queryTableFieldId="1" dataDxfId="89"/>
    <tableColumn id="2" xr3:uid="{0B11DFE5-A304-4B96-B55F-E65E8E6B25F4}" uniqueName="2" name="Column2" queryTableFieldId="2" dataDxfId="88"/>
    <tableColumn id="3" xr3:uid="{E3FF1B6B-266B-48F3-A7EE-4F0426013A45}" uniqueName="3" name="Column3" queryTableFieldId="3" dataDxfId="87"/>
    <tableColumn id="4" xr3:uid="{113503DE-5686-475F-BDDD-EE7185FB5E6D}" uniqueName="4" name="Months Since Launch" queryTableFieldId="4" dataDxfId="86">
      <calculatedColumnFormula>IFERROR(DATEDIF(Launch_Dates!$B$4,IF(ISNUMBER(C2),DATE(C2,1,1),IF(LEN(TRIM(C2))=4,DATE(VALUE(TRIM(C2)),1,1),DATEVALUE("1 "&amp;C2))),"m"),"")</calculatedColumnFormula>
    </tableColumn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B9ED56D-78D9-40C9-ADF9-245BD4693FA0}" name="Regulation_by_Country" displayName="Regulation_by_Country" ref="A1:D14" tableType="queryTable" totalsRowShown="0">
  <autoFilter ref="A1:D14" xr:uid="{3B9ED56D-78D9-40C9-ADF9-245BD4693FA0}"/>
  <tableColumns count="4">
    <tableColumn id="1" xr3:uid="{5CB694E2-2A97-48A0-AC41-DF8AB71AC01F}" uniqueName="1" name="Column1" queryTableFieldId="1" dataDxfId="85"/>
    <tableColumn id="2" xr3:uid="{94DC2246-B1CE-4651-A377-C41BBAEA996D}" uniqueName="2" name="Column2" queryTableFieldId="2" dataDxfId="84"/>
    <tableColumn id="3" xr3:uid="{8A899620-F33F-42B4-BAC1-95A1A37F0467}" uniqueName="3" name="Column3" queryTableFieldId="3" dataDxfId="83"/>
    <tableColumn id="4" xr3:uid="{99BCF0C0-B1C6-4A60-AF3C-C5530B451276}" uniqueName="4" name="Column4" queryTableFieldId="4" dataDxfId="82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D5C4617-4EB3-454A-914A-8FE6428FC14A}" name="Raw_AU_Availability" displayName="Raw_AU_Availability" ref="A1:C20" tableType="queryTable" totalsRowShown="0">
  <autoFilter ref="A1:C20" xr:uid="{7D5C4617-4EB3-454A-914A-8FE6428FC14A}"/>
  <tableColumns count="3">
    <tableColumn id="1" xr3:uid="{EB0A78D0-3D4F-48EE-9240-E1F23D9718CE}" uniqueName="1" name="% Availability (AVG)" queryTableFieldId="1"/>
    <tableColumn id="2" xr3:uid="{2A9DD45E-3F89-4974-98CD-68CC9C8903C1}" uniqueName="2" name="Month Year MMM-YYYY" queryTableFieldId="2" dataDxfId="81"/>
    <tableColumn id="3" xr3:uid="{3DCF55A1-BC7E-429A-9012-E289BE391EB3}" uniqueName="3" name="Months Since Launch" queryTableFieldId="3" dataDxfId="80">
      <calculatedColumnFormula>IFERROR(DATEDIF(Launch_Dates!$B$3,B2,"m"),"")</calculatedColumnFormula>
    </tableColumn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1DAE176-8E88-4CB2-B872-9709B8C49371}" name="Raw_AU_API_Invocations" displayName="Raw_AU_API_Invocations" ref="A1:C560" tableType="queryTable" totalsRowShown="0">
  <autoFilter ref="A1:C560" xr:uid="{A1DAE176-8E88-4CB2-B872-9709B8C49371}"/>
  <tableColumns count="3">
    <tableColumn id="1" xr3:uid="{4B836D4F-5A34-4654-8FAB-38B610C92F97}" uniqueName="1" name="Date" queryTableFieldId="1" dataDxfId="79"/>
    <tableColumn id="5" xr3:uid="{FFAF1F7F-FF83-473D-AE4C-B7EC1891D529}" uniqueName="5" name="Months Since Launch" queryTableFieldId="4" dataDxfId="78">
      <calculatedColumnFormula>IFERROR(DATEDIF(Launch_Dates!$B$3,A2,"m"),"")</calculatedColumnFormula>
    </tableColumn>
    <tableColumn id="2" xr3:uid="{0B79D3FE-69E7-4EDF-904F-50E37BBF0A57}" uniqueName="2" name="API Invocations" queryTableFieldId="2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CB5C011-1674-4DF1-B2FE-188B1850D146}" name="Raw_AU_Authorisations" displayName="Raw_AU_Authorisations" ref="A1:C560" tableType="queryTable" totalsRowShown="0">
  <autoFilter ref="A1:C560" xr:uid="{6CB5C011-1674-4DF1-B2FE-188B1850D146}"/>
  <tableColumns count="3">
    <tableColumn id="1" xr3:uid="{8BD8B1D9-3FA2-4E53-A8CE-BA98556A9C10}" uniqueName="1" name="Date" queryTableFieldId="1" dataDxfId="77"/>
    <tableColumn id="4" xr3:uid="{BE68AA84-AC9C-4D01-9060-28C39AAAAD5E}" uniqueName="4" name="Months Since Launch" queryTableFieldId="4" dataDxfId="76">
      <calculatedColumnFormula>IFERROR(DATEDIF(Launch_Dates!$B$3,A2,"m"),"")</calculatedColumnFormula>
    </tableColumn>
    <tableColumn id="2" xr3:uid="{62191BAB-5A2B-415F-B47B-18C2DC0E7877}" uniqueName="2" name="Active Ongoing Authorisations" queryTableFieldId="2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CF9A0C64-60DE-4472-A054-35B455E8B3F2}" name="tbl_AdoptionCurve" displayName="tbl_AdoptionCurve" ref="A1:D140" totalsRowShown="0" headerRowDxfId="75">
  <autoFilter ref="A1:D140" xr:uid="{CF9A0C64-60DE-4472-A054-35B455E8B3F2}"/>
  <tableColumns count="4">
    <tableColumn id="1" xr3:uid="{BE5CB59E-77D9-43A0-BBA1-522C80F9519A}" name="Country"/>
    <tableColumn id="2" xr3:uid="{88D81C47-D824-416C-BFB0-60F9FEA4A60E}" name="Months Since Launch" dataDxfId="74"/>
    <tableColumn id="3" xr3:uid="{2DC09ECF-52F0-4051-8AD6-3ECAD5A92F82}" name="Metric Name"/>
    <tableColumn id="4" xr3:uid="{DBFBE787-3263-4C2D-9AD1-6D1A059A40EE}" name="Metric Valu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EF2BA87-60FC-468B-96A6-218A44CBDFD0}" name="tbl_RevenueRisk" displayName="tbl_RevenueRisk" ref="F1:H19" totalsRowShown="0" headerRowDxfId="73">
  <autoFilter ref="F1:H19" xr:uid="{5EF2BA87-60FC-468B-96A6-218A44CBDFD0}"/>
  <tableColumns count="3">
    <tableColumn id="1" xr3:uid="{32366F5C-CD10-40A5-93B1-F2214DD53407}" name="Bank"/>
    <tableColumn id="2" xr3:uid="{B7C8821E-FA52-4F58-90AB-966C310A5628}" name="Product Line"/>
    <tableColumn id="3" xr3:uid="{6CA80D64-1024-4655-8245-8FE147FB025D}" name="Revenue at Risk - Base ($M)" dataDxfId="72"/>
  </tableColumns>
  <tableStyleInfo name="TableStyleMedium4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F486FE26-DA74-48ED-8CEC-69965FFC674D}" name="tbl_Milestones" displayName="tbl_Milestones" ref="K1:N4" totalsRowShown="0" headerRowDxfId="71">
  <autoFilter ref="K1:N4" xr:uid="{F486FE26-DA74-48ED-8CEC-69965FFC674D}"/>
  <tableColumns count="4">
    <tableColumn id="1" xr3:uid="{C06B9238-61DB-446B-A7F1-F4FD71FEE2C6}" name="Milestone"/>
    <tableColumn id="2" xr3:uid="{0D3ECC92-AFB7-430C-92CB-EEA03A569634}" name="Target Date" dataDxfId="70"/>
    <tableColumn id="3" xr3:uid="{D2AB2072-640C-4F43-9B4A-9B303C35003A}" name="Status" dataDxfId="69"/>
    <tableColumn id="4" xr3:uid="{0120C250-E345-4814-99FB-0DE393A6BC1C}" name="Days Remaining" dataDxfId="68"/>
  </tableColumns>
  <tableStyleInfo name="TableStyleMedium5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4E420616-1863-4E23-9FF7-204509E3A0FC}" name="tbl_Posture" displayName="tbl_Posture" ref="K8:M14" totalsRowShown="0" headerRowDxfId="67">
  <autoFilter ref="K8:M14" xr:uid="{4E420616-1863-4E23-9FF7-204509E3A0FC}"/>
  <tableColumns count="3">
    <tableColumn id="1" xr3:uid="{568620A0-0013-4D45-B6D9-2FC70DB4E93B}" name="Bank"/>
    <tableColumn id="2" xr3:uid="{63CDDCA2-5D1E-42C4-8577-FABB60426C92}" name="Public Commitment Level (1-5)" dataDxfId="66"/>
    <tableColumn id="3" xr3:uid="{0530E524-6FCA-4AA7-A896-8E38F992FEB0}" name="Digital Exposure Estimate (1-5)" dataDxfId="65"/>
  </tableColumns>
  <tableStyleInfo name="TableStyleMedium6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D927310F-10B7-4F8E-B60B-16827A19B719}" name="KPI_Tiles" displayName="KPI_Tiles" ref="K17:N20" totalsRowShown="0" headerRowDxfId="64">
  <autoFilter ref="K17:N20" xr:uid="{D927310F-10B7-4F8E-B60B-16827A19B719}"/>
  <tableColumns count="4">
    <tableColumn id="1" xr3:uid="{D79BF90F-669A-4DD1-944C-2C73D4027E25}" name="KPI"/>
    <tableColumn id="2" xr3:uid="{F04A6B04-8705-4E02-8C82-4C8F4B529084}" name="Value"/>
    <tableColumn id="3" xr3:uid="{BF83093F-4A6E-45DD-9620-76A67F97C504}" name="Unit"/>
    <tableColumn id="4" xr3:uid="{2C34D8C6-3ADD-4885-8D18-D61E9E3F10D6}" name="Source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AA7590C-337D-4178-A20F-56868B39B587}" name="Table17" displayName="Table17" ref="A1:L8" totalsRowCount="1">
  <autoFilter ref="A1:L7" xr:uid="{4AA7590C-337D-4178-A20F-56868B39B587}"/>
  <tableColumns count="12">
    <tableColumn id="1" xr3:uid="{0BC4800A-DA26-4ADB-8E0A-05755F0F5CB4}" name="Bank">
      <calculatedColumnFormula>PC_Segment!A2</calculatedColumnFormula>
    </tableColumn>
    <tableColumn id="2" xr3:uid="{FEC56C56-7EA0-435C-82D2-9F8D5D5C08C3}" name="Segment Revenue FY25 ($M)" dataDxfId="63" totalsRowDxfId="62">
      <calculatedColumnFormula>PC_Segment!E2</calculatedColumnFormula>
    </tableColumn>
    <tableColumn id="3" xr3:uid="{C34186E5-D5DB-41DE-8FC8-F87F412DC935}" name="Exposed Revenue Share (%) "/>
    <tableColumn id="4" xr3:uid="{2913534D-68A9-4C14-9FC5-253053C4846C}" name="Exposed Revenue Base ($M)" dataDxfId="61" totalsRowDxfId="60">
      <calculatedColumnFormula xml:space="preserve"> B2*C2</calculatedColumnFormula>
    </tableColumn>
    <tableColumn id="5" xr3:uid="{9F9795D3-CEB9-4FDB-BEFC-5DDE442285CE}" name="Adoption % — Conservative" dataDxfId="59" totalsRowDxfId="58">
      <calculatedColumnFormula xml:space="preserve"> Calc_Adoption_Forecast!$H$26</calculatedColumnFormula>
    </tableColumn>
    <tableColumn id="6" xr3:uid="{D910D1C1-F3F1-49BC-AE93-F59164C44FF8}" name="Adoption % — Base" dataDxfId="57" totalsRowDxfId="56">
      <calculatedColumnFormula xml:space="preserve"> Calc_Adoption_Forecast!$I$26</calculatedColumnFormula>
    </tableColumn>
    <tableColumn id="7" xr3:uid="{2409D65A-A7C0-4457-BBE9-148CCBD6B38C}" name="Adoption % — Optimistic" totalsRowLabel="Big Six aggregate revenue-at-risk" dataDxfId="55" totalsRowDxfId="54">
      <calculatedColumnFormula xml:space="preserve"> Calc_Adoption_Forecast!$J$26</calculatedColumnFormula>
    </tableColumn>
    <tableColumn id="8" xr3:uid="{DF3E7315-1577-4C34-ADF8-57541D8B3CB0}" name="Revenue at Risk — Conservative ($M)" totalsRowFunction="custom" dataDxfId="53" totalsRowDxfId="52">
      <calculatedColumnFormula xml:space="preserve"> D2*E2</calculatedColumnFormula>
      <totalsRowFormula>SUM(Table17[Revenue at Risk — Conservative ($M)])</totalsRowFormula>
    </tableColumn>
    <tableColumn id="9" xr3:uid="{A479C9A3-7955-4EE2-8436-4135E17606AD}" name="Revenue at Risk — Base ($M)" totalsRowFunction="custom" dataDxfId="51" totalsRowDxfId="50">
      <calculatedColumnFormula xml:space="preserve"> D2*F2</calculatedColumnFormula>
      <totalsRowFormula>SUM(Table17[Revenue at Risk — Base ($M)])</totalsRowFormula>
    </tableColumn>
    <tableColumn id="10" xr3:uid="{E506A9B2-2F53-4E9D-9185-73AD9866A3B3}" name="Revenue at Risk — Optimistic ($M)" totalsRowFunction="custom" dataDxfId="49" totalsRowDxfId="48">
      <calculatedColumnFormula xml:space="preserve"> D2*G2</calculatedColumnFormula>
      <totalsRowFormula>SUM(Table17[Revenue at Risk — Optimistic ($M)])</totalsRowFormula>
    </tableColumn>
    <tableColumn id="11" xr3:uid="{2721CAA2-94C7-45F9-A566-2D77A4BAB59B}" name="Base Case Risk as % of Segment Revenue" dataDxfId="47" totalsRowDxfId="46" dataCellStyle="Percent" totalsRowCellStyle="Percent">
      <calculatedColumnFormula>I2/B2</calculatedColumnFormula>
    </tableColumn>
    <tableColumn id="12" xr3:uid="{E9BA5AEF-5E62-49B3-BD01-77A299CB91AF}" name="Rank (Most Exposed = 1)" dataDxfId="45" totalsRowDxfId="44">
      <calculatedColumnFormula>RANK(I2,$I$2:$I$7,0)</calculatedColumnFormula>
    </tableColumn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0C763C8-C0C7-4CFC-B6AB-D0F57B66D8F0}" name="Regulatory_Timeline" displayName="Regulatory_Timeline" ref="A1:D5" tableType="queryTable" totalsRowShown="0">
  <autoFilter ref="A1:D5" xr:uid="{C0C763C8-C0C7-4CFC-B6AB-D0F57B66D8F0}"/>
  <tableColumns count="4">
    <tableColumn id="1" xr3:uid="{7BA28015-1812-481C-AA76-5DD3770A1CB5}" uniqueName="1" name="Year" queryTableFieldId="1"/>
    <tableColumn id="2" xr3:uid="{6C53F903-5900-4FB4-BFD6-DB7BBE134F5F}" uniqueName="2" name="Milestone" queryTableFieldId="2" dataDxfId="43"/>
    <tableColumn id="3" xr3:uid="{CA6D2877-CD02-4038-8A47-D1AA23B6C6E1}" uniqueName="3" name="Detail" queryTableFieldId="3" dataDxfId="42"/>
    <tableColumn id="4" xr3:uid="{FDCF5E2F-E7E0-4304-AB1E-F1CE0280A3F8}" uniqueName="4" name="Source" queryTableFieldId="4" dataDxfId="41"/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396273B-2DF7-4CDA-A989-A3AC3E7B878F}" name="PSD2_PSD3_Data_Log" displayName="PSD2_PSD3_Data_Log" ref="A1:J9" tableType="queryTable" totalsRowShown="0">
  <autoFilter ref="A1:J9" xr:uid="{6396273B-2DF7-4CDA-A989-A3AC3E7B878F}"/>
  <tableColumns count="10">
    <tableColumn id="1" xr3:uid="{BD795D8D-576E-4E3D-8679-2D5899B3069C}" uniqueName="1" name="Metric" queryTableFieldId="1" dataDxfId="40"/>
    <tableColumn id="2" xr3:uid="{18E6B761-8D9C-43A2-BB72-E8BAC810D280}" uniqueName="2" name="Value" queryTableFieldId="2" dataDxfId="39"/>
    <tableColumn id="3" xr3:uid="{C9AB7AA3-48D8-494F-8DAD-F55D1080D4C0}" uniqueName="3" name="Unit" queryTableFieldId="3" dataDxfId="38"/>
    <tableColumn id="4" xr3:uid="{C270D2FF-70B4-4A2D-B2D7-7DDC4609AE8A}" uniqueName="4" name="Geography" queryTableFieldId="4" dataDxfId="37"/>
    <tableColumn id="5" xr3:uid="{F930E730-312C-43E9-AA4A-6AE811133F04}" uniqueName="5" name="As-Of Date" queryTableFieldId="5" dataDxfId="36"/>
    <tableColumn id="6" xr3:uid="{317874FA-5BFA-4259-A91B-029A3EF33604}" uniqueName="6" name="Date Retrieved" queryTableFieldId="6" dataDxfId="35"/>
    <tableColumn id="7" xr3:uid="{6EE7792A-6988-46D0-AA36-2A913B9365DC}" uniqueName="7" name="Source Name" queryTableFieldId="7" dataDxfId="34"/>
    <tableColumn id="8" xr3:uid="{3238D971-13CA-46DF-BB96-F3B46C043506}" uniqueName="8" name="URL" queryTableFieldId="8" dataDxfId="33"/>
    <tableColumn id="9" xr3:uid="{53A85360-DE94-4A19-A80B-60C19B56CD23}" uniqueName="9" name="Status" queryTableFieldId="9" dataDxfId="32"/>
    <tableColumn id="10" xr3:uid="{92B9C537-A309-43B4-8563-B156D4F0D17E}" uniqueName="10" name="Notes" queryTableFieldId="10" dataDxfId="31"/>
  </tableColumns>
  <tableStyleInfo name="TableStyleMedium7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9DBDBC5-3AB2-4D5D-9748-2C24CF32EA56}" name="Raw_UK_API_Data" displayName="Raw_UK_API_Data" ref="A1:V26" tableType="queryTable" totalsRowShown="0">
  <autoFilter ref="A1:V26" xr:uid="{69DBDBC5-3AB2-4D5D-9748-2C24CF32EA56}"/>
  <tableColumns count="22">
    <tableColumn id="1" xr3:uid="{61FD98D9-DBE8-427A-8842-A284950BE9EF}" uniqueName="1" name="Metric" queryTableFieldId="1" dataDxfId="30"/>
    <tableColumn id="23" xr3:uid="{E277F774-712D-4D1C-88A7-4C155B1D43A8}" uniqueName="23" name="Months Since Launch" queryTableFieldId="23" dataDxfId="29">
      <calculatedColumnFormula>IFERROR(DATEDIF(Launch_Dates!$B$2,A2,"m"),"")</calculatedColumnFormula>
    </tableColumn>
    <tableColumn id="2" xr3:uid="{C353606F-107C-4683-A60D-D1350CE74F50}" uniqueName="2" name="# of API Calls Successful" queryTableFieldId="2"/>
    <tableColumn id="3" xr3:uid="{6520B64B-39DC-4C00-AB1B-C406B4B3CA00}" uniqueName="3" name="# of API Calls Successful - AIS" queryTableFieldId="3"/>
    <tableColumn id="4" xr3:uid="{C2DEF18E-BF79-48A4-B00A-6817660BCBD4}" uniqueName="4" name="# of API Calls Successful - PIS" queryTableFieldId="4"/>
    <tableColumn id="5" xr3:uid="{944EFD0C-52D0-45C5-8454-4C4B1D7771BD}" uniqueName="5" name="# of API Calls Successful - COF" queryTableFieldId="5"/>
    <tableColumn id="6" xr3:uid="{023702D3-3B07-42F0-AFF0-29637C47ED1D}" uniqueName="6" name="# of Non VRP Domestic Payments Successful" queryTableFieldId="6"/>
    <tableColumn id="7" xr3:uid="{4EE6BA87-BC9C-48B3-A744-A5022ACC3CC3}" uniqueName="7" name="Vol VRP Payment Succeeded" queryTableFieldId="7"/>
    <tableColumn id="8" xr3:uid="{08BC8B0C-9C14-4438-8265-EC5CDD1C1B33}" uniqueName="8" name="# of API Calls Failed" queryTableFieldId="8"/>
    <tableColumn id="9" xr3:uid="{20D29785-1161-4F06-875B-B15710EC58B6}" uniqueName="9" name="# of API Calls failed for Business Reasons" queryTableFieldId="9"/>
    <tableColumn id="10" xr3:uid="{B07A9DCD-2FC8-4B28-9C65-21E4B82193B3}" uniqueName="10" name="% of API Calls failed for Business Reasons" queryTableFieldId="10" dataDxfId="28" dataCellStyle="Percent"/>
    <tableColumn id="11" xr3:uid="{1CD07AB3-5988-4079-90A3-FE99DD3E9246}" uniqueName="11" name="# of API Calls failed for Technical Reasons" queryTableFieldId="11"/>
    <tableColumn id="12" xr3:uid="{199B2AF4-6504-4A85-8985-22B7E82F0FF3}" uniqueName="12" name="% of API Calls failed for Technical Reasons" queryTableFieldId="12" dataDxfId="27" dataCellStyle="Percent"/>
    <tableColumn id="13" xr3:uid="{8B9DA1CA-F9B4-4E51-B0E6-71E778EF2107}" uniqueName="13" name="# of API Calls with Rejected Status" queryTableFieldId="13"/>
    <tableColumn id="14" xr3:uid="{37C9E7A9-0ADA-453A-AFE0-2CF71987C3CA}" uniqueName="14" name="% of API Calls with Rejected Status" queryTableFieldId="14" dataDxfId="26" dataCellStyle="Percent"/>
    <tableColumn id="15" xr3:uid="{85D5E73F-3323-4A75-AE8D-F54D88425758}" uniqueName="15" name="API Response Time" queryTableFieldId="15" dataDxfId="25"/>
    <tableColumn id="16" xr3:uid="{310376BF-6FA6-4141-A6F5-B3D3B267C6F0}" uniqueName="16" name="Availability %" queryTableFieldId="16" dataCellStyle="Percent"/>
    <tableColumn id="17" xr3:uid="{A227E6F2-B530-4F1A-AFE1-9C87C79F85FD}" uniqueName="17" name="Availability % - AIS" queryTableFieldId="17" dataCellStyle="Percent"/>
    <tableColumn id="18" xr3:uid="{52FEE18B-3C60-45BF-ABD6-20268076A33D}" uniqueName="18" name="Availability % - PIS" queryTableFieldId="18" dataCellStyle="Percent"/>
    <tableColumn id="19" xr3:uid="{E95741D5-BD21-4779-94AE-0353B447A978}" uniqueName="19" name="Availability % - Weighted" queryTableFieldId="19" dataCellStyle="Percent"/>
    <tableColumn id="20" xr3:uid="{D373235C-9F22-4AFE-8FB5-3019E87170B7}" uniqueName="20" name="Availability % - Weighted - AIS" queryTableFieldId="20" dataCellStyle="Percent"/>
    <tableColumn id="21" xr3:uid="{CB572393-8682-4766-9115-695BAD9630CE}" uniqueName="21" name="Availability % - Weighted - PIS" queryTableFieldId="21" dataCellStyle="Percent"/>
  </tableColumns>
  <tableStyleInfo name="TableStyleMedium7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38278D2D-FC52-48C2-AD1D-B222808F19F0}" name="Chart1_AdoptionCurve_Feed" displayName="Chart1_AdoptionCurve_Feed" ref="A1:D140" totalsRowShown="0" headerRowDxfId="20">
  <autoFilter ref="A1:D140" xr:uid="{38278D2D-FC52-48C2-AD1D-B222808F19F0}"/>
  <tableColumns count="4">
    <tableColumn id="1" xr3:uid="{F58612A2-8B00-4D05-A115-0256A0E59DBE}" name="Country"/>
    <tableColumn id="2" xr3:uid="{5630C069-38EC-436E-9E7B-4F06C959BB7C}" name="Months Since Launch" dataDxfId="19"/>
    <tableColumn id="3" xr3:uid="{C345F142-E0C8-458E-A1EC-B6BB9AECAF50}" name="Metric Name"/>
    <tableColumn id="4" xr3:uid="{EEEAE16D-B353-4660-8698-1C6380EC756D}" name="Metric Value" dataDxfId="18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88520B0E-548B-41A7-897D-56692C20D743}" name="Calc_Chart2_RevenueByProductLine" displayName="Calc_Chart2_RevenueByProductLine" ref="A1:C19" totalsRowShown="0" headerRowDxfId="17">
  <autoFilter ref="A1:C19" xr:uid="{88520B0E-548B-41A7-897D-56692C20D743}"/>
  <tableColumns count="3">
    <tableColumn id="1" xr3:uid="{2067C5E9-C0DD-4BA4-BEE3-17D47D098C15}" name="Bank"/>
    <tableColumn id="2" xr3:uid="{B847D7F3-0DC2-4F27-88C4-BEDDE8B6C8EB}" name="Product Line"/>
    <tableColumn id="3" xr3:uid="{97921E3F-320B-45DE-9677-9D73E0848AC4}" name="Revenue at Risk - Base ($M)" dataDxfId="16"/>
  </tableColumns>
  <tableStyleInfo name="TableStyleMedium4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9241E155-77D9-47B9-82C4-63317AE1D30A}" name="Table32" displayName="Table32" ref="E1:P7" totalsRowShown="0" headerRowDxfId="15">
  <autoFilter ref="E1:P7" xr:uid="{9241E155-77D9-47B9-82C4-63317AE1D30A}"/>
  <tableColumns count="12">
    <tableColumn id="1" xr3:uid="{A44BF644-22E4-46F5-A18B-2E7F5E516D96}" name="Bank"/>
    <tableColumn id="2" xr3:uid="{370A69E3-A637-4FE7-B3D7-713AF09EB8BC}" name="Segment Revenue FY25 ($M)" dataDxfId="14"/>
    <tableColumn id="3" xr3:uid="{8F888CE8-994B-4999-B058-47CAB5D785B4}" name="Base Adoption %" dataDxfId="13"/>
    <tableColumn id="4" xr3:uid="{5C9D7C8A-01FB-4B55-BDB9-A0211C82EE4A}" name="Payments Share" dataDxfId="12"/>
    <tableColumn id="5" xr3:uid="{D991FA73-D32E-40A4-B3B9-D16022CCDFCD}" name="Lending Share" dataDxfId="11"/>
    <tableColumn id="6" xr3:uid="{03497539-6656-4C60-8208-ECFADF182826}" name="Deposits Share" dataDxfId="10"/>
    <tableColumn id="7" xr3:uid="{2B8F452B-3B69-4CCA-8D70-9F204C4E3113}" name="Payments Factor" dataDxfId="9"/>
    <tableColumn id="8" xr3:uid="{DE457EF4-EB30-4BB0-AFE5-7FCD62A18FD9}" name="Lending Factor" dataDxfId="8"/>
    <tableColumn id="9" xr3:uid="{B40C8E68-D136-4E84-BE80-C61F7B63F9A3}" name="Deposits Factor" dataDxfId="7"/>
    <tableColumn id="10" xr3:uid="{88C24210-854C-4E46-B960-E3D6BDAB3F44}" name="Payments Risk" dataDxfId="6"/>
    <tableColumn id="11" xr3:uid="{A47F88A3-E800-43E4-8618-EEC3D6C4F41C}" name="Lending Risk" dataDxfId="5"/>
    <tableColumn id="12" xr3:uid="{89DBE437-3C31-4C04-A164-F30072F3173F}" name="Deposits Risk" dataDxfId="4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3581817A-7743-4AF3-9B79-2DC465A69A2B}" name="Calc_Chart3_Milestones_Table" displayName="Calc_Chart3_Milestones_Table" ref="A1:D4" totalsRowShown="0" headerRowDxfId="130">
  <autoFilter ref="A1:D4" xr:uid="{3581817A-7743-4AF3-9B79-2DC465A69A2B}"/>
  <tableColumns count="4">
    <tableColumn id="1" xr3:uid="{9DB833D6-583F-4F7B-9E8A-09E1FC409E7C}" name="Milestone"/>
    <tableColumn id="2" xr3:uid="{A518403E-DF2D-4F39-A517-64B6A011DEE2}" name="Target Date" dataDxfId="129"/>
    <tableColumn id="3" xr3:uid="{D65A8D66-FCA1-447C-A639-3B56095BE00A}" name="Status"/>
    <tableColumn id="4" xr3:uid="{279910DD-6FA6-443D-9E28-0CA8CF8FDDF5}" name="Days Remaining" dataDxfId="128">
      <calculatedColumnFormula>B2-TODAY()</calculatedColumnFormula>
    </tableColumn>
  </tableColumns>
  <tableStyleInfo name="TableStyleMedium5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BBEEEED4-4741-4BF9-A16A-F522C89F3EFA}" name="Calc_Chart4_Posture_Table" displayName="Calc_Chart4_Posture_Table" ref="A1:C7" totalsRowShown="0" headerRowDxfId="3">
  <autoFilter ref="A1:C7" xr:uid="{BBEEEED4-4741-4BF9-A16A-F522C89F3EFA}"/>
  <tableColumns count="3">
    <tableColumn id="1" xr3:uid="{5DB68801-BE0F-4B76-A65C-8B2BEBA15144}" name="Bank"/>
    <tableColumn id="2" xr3:uid="{9CFA1A79-877A-4894-A3DE-AA3AC8FB5FA0}" name="Public Commitment Level (1-5)" dataDxfId="2"/>
    <tableColumn id="3" xr3:uid="{9922DFB4-9ADF-4871-8544-18C9DA6FC2ED}" name="Digital Exposure Estimate (1-5)" dataDxfId="1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table" Target="../tables/table18.xml"/><Relationship Id="rId1" Type="http://schemas.openxmlformats.org/officeDocument/2006/relationships/table" Target="../tables/table17.xml"/><Relationship Id="rId5" Type="http://schemas.openxmlformats.org/officeDocument/2006/relationships/table" Target="../tables/table21.xml"/><Relationship Id="rId4" Type="http://schemas.openxmlformats.org/officeDocument/2006/relationships/table" Target="../tables/table20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table" Target="../tables/table27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74D3F-2FF6-45DD-A7AD-3C34166D6670}">
  <dimension ref="A1:H7"/>
  <sheetViews>
    <sheetView workbookViewId="0"/>
  </sheetViews>
  <sheetFormatPr defaultRowHeight="14.4" x14ac:dyDescent="0.3"/>
  <cols>
    <col min="1" max="1" width="14.88671875" bestFit="1" customWidth="1"/>
    <col min="2" max="2" width="25.77734375" bestFit="1" customWidth="1"/>
    <col min="3" max="4" width="23.33203125" bestFit="1" customWidth="1"/>
    <col min="5" max="6" width="21.44140625" bestFit="1" customWidth="1"/>
    <col min="7" max="7" width="40.77734375" bestFit="1" customWidth="1"/>
    <col min="8" max="8" width="73.88671875" bestFit="1" customWidth="1"/>
  </cols>
  <sheetData>
    <row r="1" spans="1:8" x14ac:dyDescent="0.3">
      <c r="A1" t="s">
        <v>0</v>
      </c>
      <c r="B1" t="s">
        <v>114</v>
      </c>
      <c r="C1" t="s">
        <v>115</v>
      </c>
      <c r="D1" t="s">
        <v>116</v>
      </c>
      <c r="E1" t="s">
        <v>117</v>
      </c>
      <c r="F1" t="s">
        <v>118</v>
      </c>
      <c r="G1" t="s">
        <v>119</v>
      </c>
      <c r="H1" t="s">
        <v>5</v>
      </c>
    </row>
    <row r="2" spans="1:8" x14ac:dyDescent="0.3">
      <c r="A2" t="s">
        <v>6</v>
      </c>
      <c r="B2">
        <v>2325006</v>
      </c>
      <c r="C2">
        <v>66605</v>
      </c>
      <c r="D2">
        <v>57344</v>
      </c>
      <c r="E2">
        <v>20369</v>
      </c>
      <c r="F2">
        <v>16240</v>
      </c>
      <c r="G2" t="s">
        <v>120</v>
      </c>
      <c r="H2" t="s">
        <v>121</v>
      </c>
    </row>
    <row r="3" spans="1:8" x14ac:dyDescent="0.3">
      <c r="A3" t="s">
        <v>37</v>
      </c>
      <c r="B3">
        <v>2094600</v>
      </c>
      <c r="C3">
        <v>67777</v>
      </c>
      <c r="D3">
        <v>57223</v>
      </c>
      <c r="E3">
        <v>20538</v>
      </c>
      <c r="F3">
        <v>8842</v>
      </c>
      <c r="G3" t="s">
        <v>122</v>
      </c>
      <c r="H3" t="s">
        <v>123</v>
      </c>
    </row>
    <row r="4" spans="1:8" x14ac:dyDescent="0.3">
      <c r="A4" t="s">
        <v>40</v>
      </c>
      <c r="B4">
        <v>1580221</v>
      </c>
      <c r="C4">
        <v>36274</v>
      </c>
      <c r="D4">
        <v>32795</v>
      </c>
      <c r="E4">
        <v>8725</v>
      </c>
      <c r="F4">
        <v>7327</v>
      </c>
      <c r="G4" t="s">
        <v>124</v>
      </c>
      <c r="H4" t="s">
        <v>125</v>
      </c>
    </row>
    <row r="5" spans="1:8" x14ac:dyDescent="0.3">
      <c r="A5" t="s">
        <v>43</v>
      </c>
      <c r="B5">
        <v>1116938</v>
      </c>
      <c r="C5">
        <v>29133</v>
      </c>
      <c r="D5">
        <v>25606</v>
      </c>
      <c r="E5">
        <v>8454</v>
      </c>
      <c r="F5">
        <v>7154</v>
      </c>
      <c r="G5" t="s">
        <v>126</v>
      </c>
    </row>
    <row r="6" spans="1:8" x14ac:dyDescent="0.3">
      <c r="A6" t="s">
        <v>46</v>
      </c>
      <c r="B6">
        <v>1460042</v>
      </c>
      <c r="C6">
        <v>37741</v>
      </c>
      <c r="D6">
        <v>33670</v>
      </c>
      <c r="E6">
        <v>7758</v>
      </c>
      <c r="F6">
        <v>8491</v>
      </c>
      <c r="G6" t="s">
        <v>127</v>
      </c>
      <c r="H6" t="s">
        <v>128</v>
      </c>
    </row>
    <row r="7" spans="1:8" x14ac:dyDescent="0.3">
      <c r="A7" t="s">
        <v>12</v>
      </c>
      <c r="B7">
        <v>576919</v>
      </c>
      <c r="C7">
        <v>13980</v>
      </c>
      <c r="D7">
        <v>11400</v>
      </c>
      <c r="E7">
        <v>4017</v>
      </c>
      <c r="F7">
        <v>3816</v>
      </c>
      <c r="G7" t="s">
        <v>129</v>
      </c>
      <c r="H7" t="s">
        <v>130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AA8AD-F957-4A66-8E70-30011A59D315}">
  <dimension ref="A1:B9"/>
  <sheetViews>
    <sheetView workbookViewId="0"/>
  </sheetViews>
  <sheetFormatPr defaultRowHeight="14.4" x14ac:dyDescent="0.3"/>
  <cols>
    <col min="1" max="2" width="80.88671875" bestFit="1" customWidth="1"/>
  </cols>
  <sheetData>
    <row r="1" spans="1:2" x14ac:dyDescent="0.3">
      <c r="A1" t="s">
        <v>100</v>
      </c>
      <c r="B1" t="s">
        <v>101</v>
      </c>
    </row>
    <row r="2" spans="1:2" x14ac:dyDescent="0.3">
      <c r="A2" t="s">
        <v>102</v>
      </c>
    </row>
    <row r="3" spans="1:2" x14ac:dyDescent="0.3">
      <c r="A3" t="s">
        <v>103</v>
      </c>
    </row>
    <row r="5" spans="1:2" x14ac:dyDescent="0.3">
      <c r="A5" t="s">
        <v>104</v>
      </c>
      <c r="B5" t="s">
        <v>105</v>
      </c>
    </row>
    <row r="6" spans="1:2" x14ac:dyDescent="0.3">
      <c r="A6" t="s">
        <v>106</v>
      </c>
      <c r="B6" t="s">
        <v>107</v>
      </c>
    </row>
    <row r="7" spans="1:2" x14ac:dyDescent="0.3">
      <c r="A7" t="s">
        <v>108</v>
      </c>
      <c r="B7" t="s">
        <v>109</v>
      </c>
    </row>
    <row r="8" spans="1:2" x14ac:dyDescent="0.3">
      <c r="A8" t="s">
        <v>110</v>
      </c>
      <c r="B8" t="s">
        <v>111</v>
      </c>
    </row>
    <row r="9" spans="1:2" x14ac:dyDescent="0.3">
      <c r="A9" t="s">
        <v>112</v>
      </c>
      <c r="B9" t="s">
        <v>113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783A0-8216-4711-B0ED-EBA026ABCD2F}">
  <dimension ref="A1:J8"/>
  <sheetViews>
    <sheetView workbookViewId="0">
      <selection activeCell="B2" sqref="B2"/>
    </sheetView>
  </sheetViews>
  <sheetFormatPr defaultRowHeight="14.4" x14ac:dyDescent="0.3"/>
  <cols>
    <col min="1" max="1" width="51.88671875" bestFit="1" customWidth="1"/>
    <col min="2" max="2" width="12.77734375" bestFit="1" customWidth="1"/>
    <col min="3" max="3" width="8.6640625" bestFit="1" customWidth="1"/>
    <col min="4" max="4" width="27.21875" bestFit="1" customWidth="1"/>
    <col min="5" max="5" width="20.6640625" bestFit="1" customWidth="1"/>
    <col min="6" max="6" width="15.5546875" bestFit="1" customWidth="1"/>
    <col min="7" max="7" width="41.21875" bestFit="1" customWidth="1"/>
    <col min="8" max="8" width="93.6640625" bestFit="1" customWidth="1"/>
    <col min="9" max="9" width="15.88671875" bestFit="1" customWidth="1"/>
    <col min="10" max="10" width="145.109375" bestFit="1" customWidth="1"/>
  </cols>
  <sheetData>
    <row r="1" spans="1:10" x14ac:dyDescent="0.3">
      <c r="A1" t="s">
        <v>51</v>
      </c>
      <c r="B1" t="s">
        <v>52</v>
      </c>
      <c r="C1" t="s">
        <v>53</v>
      </c>
      <c r="D1" t="s">
        <v>54</v>
      </c>
      <c r="E1" t="s">
        <v>377</v>
      </c>
      <c r="F1" t="s">
        <v>55</v>
      </c>
      <c r="G1" t="s">
        <v>56</v>
      </c>
      <c r="H1" t="s">
        <v>57</v>
      </c>
      <c r="I1" t="s">
        <v>58</v>
      </c>
      <c r="J1" t="s">
        <v>5</v>
      </c>
    </row>
    <row r="2" spans="1:10" x14ac:dyDescent="0.3">
      <c r="A2" t="s">
        <v>59</v>
      </c>
      <c r="B2">
        <v>9000000</v>
      </c>
      <c r="C2" t="s">
        <v>60</v>
      </c>
      <c r="D2" t="s">
        <v>61</v>
      </c>
      <c r="E2" s="5" t="str">
        <f>IFERROR(DATEDIF(Launch_Dates!$B$5,IF(ISNUMBER(D2),D2,IF(LEN(TRIM(D2))=4,DATE(VALUE(TRIM(D2)),1,1),DATEVALUE(D2))),"m"),"")</f>
        <v/>
      </c>
      <c r="F2" s="1">
        <v>46213</v>
      </c>
      <c r="G2" t="s">
        <v>62</v>
      </c>
      <c r="H2" t="s">
        <v>63</v>
      </c>
      <c r="I2" t="s">
        <v>64</v>
      </c>
      <c r="J2" t="s">
        <v>65</v>
      </c>
    </row>
    <row r="3" spans="1:10" x14ac:dyDescent="0.3">
      <c r="A3" t="s">
        <v>66</v>
      </c>
      <c r="B3" t="s">
        <v>67</v>
      </c>
      <c r="C3" t="s">
        <v>68</v>
      </c>
      <c r="D3" t="s">
        <v>67</v>
      </c>
      <c r="E3" s="5">
        <f>IFERROR(DATEDIF(Launch_Dates!$B$5,IF(ISNUMBER(D3),D3,IF(LEN(TRIM(D3))=4,DATE(VALUE(TRIM(D3)),1,1),DATEVALUE(D3))),"m"),"")</f>
        <v>2</v>
      </c>
      <c r="F3" s="1">
        <v>46213</v>
      </c>
      <c r="G3" t="s">
        <v>69</v>
      </c>
      <c r="H3" t="s">
        <v>63</v>
      </c>
      <c r="I3" t="s">
        <v>64</v>
      </c>
      <c r="J3" t="s">
        <v>70</v>
      </c>
    </row>
    <row r="4" spans="1:10" x14ac:dyDescent="0.3">
      <c r="A4" t="s">
        <v>71</v>
      </c>
      <c r="B4" t="s">
        <v>72</v>
      </c>
      <c r="C4" t="s">
        <v>73</v>
      </c>
      <c r="D4" t="s">
        <v>72</v>
      </c>
      <c r="E4" s="5">
        <f>IFERROR(DATEDIF(Launch_Dates!$B$5,IF(ISNUMBER(D4),D4,IF(LEN(TRIM(D4))=4,DATE(VALUE(TRIM(D4)),1,1),DATEVALUE(D4))),"m"),"")</f>
        <v>0</v>
      </c>
      <c r="F4" s="1">
        <v>46213</v>
      </c>
      <c r="G4" t="s">
        <v>74</v>
      </c>
      <c r="H4" t="s">
        <v>75</v>
      </c>
      <c r="I4" t="s">
        <v>76</v>
      </c>
      <c r="J4" t="s">
        <v>77</v>
      </c>
    </row>
    <row r="5" spans="1:10" x14ac:dyDescent="0.3">
      <c r="A5" t="s">
        <v>78</v>
      </c>
      <c r="B5" t="s">
        <v>79</v>
      </c>
      <c r="C5" t="s">
        <v>68</v>
      </c>
      <c r="D5" t="s">
        <v>80</v>
      </c>
      <c r="E5" s="5" t="str">
        <f>IFERROR(DATEDIF(Launch_Dates!$B$5,IF(ISNUMBER(D5),D5,IF(LEN(TRIM(D5))=4,DATE(VALUE(TRIM(D5)),1,1),DATEVALUE(D5))),"m"),"")</f>
        <v/>
      </c>
      <c r="F5" s="1">
        <v>46213</v>
      </c>
      <c r="G5" t="s">
        <v>81</v>
      </c>
      <c r="H5" t="s">
        <v>75</v>
      </c>
      <c r="I5" t="s">
        <v>64</v>
      </c>
      <c r="J5" t="s">
        <v>82</v>
      </c>
    </row>
    <row r="6" spans="1:10" x14ac:dyDescent="0.3">
      <c r="A6" t="s">
        <v>83</v>
      </c>
      <c r="B6">
        <v>19300000</v>
      </c>
      <c r="C6" t="s">
        <v>84</v>
      </c>
      <c r="D6" t="s">
        <v>85</v>
      </c>
      <c r="E6" s="5" t="str">
        <f>IFERROR(DATEDIF(Launch_Dates!$B$5,IF(ISNUMBER(D6),D6,IF(LEN(TRIM(D6))=4,DATE(VALUE(TRIM(D6)),1,1),DATEVALUE(D6))),"m"),"")</f>
        <v/>
      </c>
      <c r="F6" s="1">
        <v>46213</v>
      </c>
      <c r="G6" t="s">
        <v>74</v>
      </c>
      <c r="H6" t="s">
        <v>75</v>
      </c>
      <c r="I6" t="s">
        <v>64</v>
      </c>
      <c r="J6" t="s">
        <v>86</v>
      </c>
    </row>
    <row r="7" spans="1:10" x14ac:dyDescent="0.3">
      <c r="A7" t="s">
        <v>87</v>
      </c>
      <c r="B7" t="s">
        <v>88</v>
      </c>
      <c r="C7" t="s">
        <v>89</v>
      </c>
      <c r="D7" t="s">
        <v>90</v>
      </c>
      <c r="E7" s="5" t="str">
        <f>IFERROR(DATEDIF(Launch_Dates!$B$5,IF(ISNUMBER(D7),D7,IF(LEN(TRIM(D7))=4,DATE(VALUE(TRIM(D7)),1,1),DATEVALUE(D7))),"m"),"")</f>
        <v/>
      </c>
      <c r="F7" s="1">
        <v>46213</v>
      </c>
      <c r="G7" t="s">
        <v>91</v>
      </c>
      <c r="H7" t="s">
        <v>75</v>
      </c>
      <c r="I7" t="s">
        <v>64</v>
      </c>
      <c r="J7" t="s">
        <v>92</v>
      </c>
    </row>
    <row r="8" spans="1:10" x14ac:dyDescent="0.3">
      <c r="A8" t="s">
        <v>93</v>
      </c>
      <c r="B8" t="s">
        <v>94</v>
      </c>
      <c r="C8" t="s">
        <v>95</v>
      </c>
      <c r="D8" t="s">
        <v>96</v>
      </c>
      <c r="E8" s="5" t="str">
        <f>IFERROR(DATEDIF(Launch_Dates!$B$5,IF(ISNUMBER(D8),D8,IF(LEN(TRIM(D8))=4,DATE(VALUE(TRIM(D8)),1,1),DATEVALUE(D8))),"m"),"")</f>
        <v/>
      </c>
      <c r="F8" s="1">
        <v>46213</v>
      </c>
      <c r="G8" t="s">
        <v>97</v>
      </c>
      <c r="H8" t="s">
        <v>98</v>
      </c>
      <c r="I8" t="s">
        <v>64</v>
      </c>
      <c r="J8" t="s">
        <v>99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B7D56-B125-4FB7-BF02-E12E0E056527}">
  <dimension ref="A1:J7"/>
  <sheetViews>
    <sheetView workbookViewId="0"/>
  </sheetViews>
  <sheetFormatPr defaultRowHeight="14.4" x14ac:dyDescent="0.3"/>
  <cols>
    <col min="1" max="1" width="14.88671875" bestFit="1" customWidth="1"/>
    <col min="2" max="2" width="37" bestFit="1" customWidth="1"/>
    <col min="3" max="3" width="22" bestFit="1" customWidth="1"/>
    <col min="4" max="4" width="37" bestFit="1" customWidth="1"/>
    <col min="5" max="6" width="31.21875" bestFit="1" customWidth="1"/>
    <col min="7" max="8" width="29.33203125" bestFit="1" customWidth="1"/>
    <col min="9" max="9" width="25.77734375" bestFit="1" customWidth="1"/>
    <col min="10" max="10" width="80.88671875" bestFit="1" customWidth="1"/>
  </cols>
  <sheetData>
    <row r="1" spans="1:10" x14ac:dyDescent="0.3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5</v>
      </c>
    </row>
    <row r="2" spans="1:10" x14ac:dyDescent="0.3">
      <c r="A2" t="s">
        <v>6</v>
      </c>
      <c r="B2" t="s">
        <v>35</v>
      </c>
      <c r="E2">
        <v>19900</v>
      </c>
      <c r="G2">
        <v>7105</v>
      </c>
      <c r="H2">
        <v>5921</v>
      </c>
      <c r="J2" t="s">
        <v>36</v>
      </c>
    </row>
    <row r="3" spans="1:10" x14ac:dyDescent="0.3">
      <c r="A3" t="s">
        <v>37</v>
      </c>
      <c r="B3" t="s">
        <v>38</v>
      </c>
      <c r="C3">
        <v>16701</v>
      </c>
      <c r="D3">
        <v>3985</v>
      </c>
      <c r="E3">
        <v>20686</v>
      </c>
      <c r="F3">
        <v>19790</v>
      </c>
      <c r="G3">
        <v>7317</v>
      </c>
      <c r="H3">
        <v>7219</v>
      </c>
      <c r="J3" t="s">
        <v>39</v>
      </c>
    </row>
    <row r="4" spans="1:10" x14ac:dyDescent="0.3">
      <c r="A4" t="s">
        <v>40</v>
      </c>
      <c r="B4" t="s">
        <v>41</v>
      </c>
      <c r="C4">
        <v>9667</v>
      </c>
      <c r="D4">
        <v>2595</v>
      </c>
      <c r="E4">
        <v>12262</v>
      </c>
      <c r="F4">
        <v>11439</v>
      </c>
      <c r="G4">
        <v>3295</v>
      </c>
      <c r="H4">
        <v>3457</v>
      </c>
      <c r="J4" t="s">
        <v>42</v>
      </c>
    </row>
    <row r="5" spans="1:10" x14ac:dyDescent="0.3">
      <c r="A5" t="s">
        <v>43</v>
      </c>
      <c r="B5" t="s">
        <v>44</v>
      </c>
      <c r="E5">
        <v>12000</v>
      </c>
      <c r="F5">
        <v>10900</v>
      </c>
      <c r="G5">
        <v>3107</v>
      </c>
      <c r="H5">
        <v>2905</v>
      </c>
      <c r="J5" t="s">
        <v>45</v>
      </c>
    </row>
    <row r="6" spans="1:10" x14ac:dyDescent="0.3">
      <c r="A6" t="s">
        <v>46</v>
      </c>
      <c r="B6" t="s">
        <v>47</v>
      </c>
      <c r="C6">
        <v>10484</v>
      </c>
      <c r="D6">
        <v>2941</v>
      </c>
      <c r="E6">
        <v>13425</v>
      </c>
      <c r="F6">
        <v>13033</v>
      </c>
      <c r="G6">
        <v>3425</v>
      </c>
      <c r="H6">
        <v>3777</v>
      </c>
      <c r="J6" t="s">
        <v>48</v>
      </c>
    </row>
    <row r="7" spans="1:10" x14ac:dyDescent="0.3">
      <c r="A7" t="s">
        <v>12</v>
      </c>
      <c r="B7" t="s">
        <v>49</v>
      </c>
      <c r="E7">
        <v>5551</v>
      </c>
      <c r="G7">
        <v>1111</v>
      </c>
      <c r="J7" t="s">
        <v>50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AC804-FCFB-404E-BC13-7A917E8D7BD2}">
  <dimension ref="A1:F6"/>
  <sheetViews>
    <sheetView workbookViewId="0">
      <selection activeCell="C6" sqref="C6"/>
    </sheetView>
  </sheetViews>
  <sheetFormatPr defaultRowHeight="14.4" x14ac:dyDescent="0.3"/>
  <cols>
    <col min="1" max="1" width="22.88671875" bestFit="1" customWidth="1"/>
    <col min="2" max="2" width="39.21875" bestFit="1" customWidth="1"/>
    <col min="3" max="3" width="20.77734375" bestFit="1" customWidth="1"/>
    <col min="4" max="4" width="11.88671875" bestFit="1" customWidth="1"/>
    <col min="5" max="5" width="31.21875" bestFit="1" customWidth="1"/>
    <col min="6" max="6" width="80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2425</v>
      </c>
      <c r="D2">
        <v>2294</v>
      </c>
      <c r="E2" t="s">
        <v>8</v>
      </c>
      <c r="F2" t="s">
        <v>9</v>
      </c>
    </row>
    <row r="3" spans="1:6" x14ac:dyDescent="0.3">
      <c r="A3" t="s">
        <v>6</v>
      </c>
      <c r="B3" t="s">
        <v>10</v>
      </c>
      <c r="C3">
        <v>1333</v>
      </c>
      <c r="D3">
        <v>1273</v>
      </c>
      <c r="E3" t="s">
        <v>8</v>
      </c>
      <c r="F3" t="s">
        <v>11</v>
      </c>
    </row>
    <row r="4" spans="1:6" x14ac:dyDescent="0.3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</row>
    <row r="5" spans="1:6" x14ac:dyDescent="0.3">
      <c r="A5" t="s">
        <v>12</v>
      </c>
      <c r="B5" t="s">
        <v>18</v>
      </c>
      <c r="C5" t="s">
        <v>19</v>
      </c>
      <c r="D5" t="s">
        <v>20</v>
      </c>
      <c r="E5" t="s">
        <v>16</v>
      </c>
      <c r="F5" t="s">
        <v>21</v>
      </c>
    </row>
    <row r="6" spans="1:6" x14ac:dyDescent="0.3">
      <c r="A6" t="s">
        <v>22</v>
      </c>
      <c r="B6" t="s">
        <v>23</v>
      </c>
      <c r="C6" t="s">
        <v>24</v>
      </c>
      <c r="D6" t="s">
        <v>25</v>
      </c>
      <c r="E6" t="s">
        <v>25</v>
      </c>
      <c r="F6" t="s">
        <v>26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8336D-7A8F-419C-9A33-77B852763B8B}">
  <dimension ref="A1:E6"/>
  <sheetViews>
    <sheetView workbookViewId="0">
      <selection sqref="A1:E6"/>
    </sheetView>
  </sheetViews>
  <sheetFormatPr defaultRowHeight="14.4" x14ac:dyDescent="0.3"/>
  <cols>
    <col min="1" max="1" width="10.6640625" bestFit="1" customWidth="1"/>
    <col min="2" max="2" width="47.88671875" bestFit="1" customWidth="1"/>
    <col min="3" max="3" width="13.21875" bestFit="1" customWidth="1"/>
    <col min="4" max="4" width="80.88671875" bestFit="1" customWidth="1"/>
    <col min="5" max="5" width="25.77734375" bestFit="1" customWidth="1"/>
  </cols>
  <sheetData>
    <row r="1" spans="1:5" x14ac:dyDescent="0.3">
      <c r="A1" t="s">
        <v>100</v>
      </c>
      <c r="B1" t="s">
        <v>101</v>
      </c>
      <c r="C1" t="s">
        <v>213</v>
      </c>
      <c r="D1" t="s">
        <v>214</v>
      </c>
      <c r="E1" t="s">
        <v>215</v>
      </c>
    </row>
    <row r="2" spans="1:5" x14ac:dyDescent="0.3">
      <c r="A2" t="s">
        <v>216</v>
      </c>
      <c r="B2" t="s">
        <v>217</v>
      </c>
      <c r="C2" t="s">
        <v>54</v>
      </c>
      <c r="D2" t="s">
        <v>5</v>
      </c>
      <c r="E2" t="s">
        <v>203</v>
      </c>
    </row>
    <row r="3" spans="1:5" x14ac:dyDescent="0.3">
      <c r="A3" t="s">
        <v>195</v>
      </c>
      <c r="B3" t="s">
        <v>218</v>
      </c>
      <c r="C3" t="s">
        <v>196</v>
      </c>
      <c r="D3" t="s">
        <v>219</v>
      </c>
      <c r="E3" t="s">
        <v>220</v>
      </c>
    </row>
    <row r="4" spans="1:5" x14ac:dyDescent="0.3">
      <c r="A4" t="s">
        <v>221</v>
      </c>
      <c r="B4" t="s">
        <v>222</v>
      </c>
      <c r="C4" t="s">
        <v>156</v>
      </c>
      <c r="D4" t="s">
        <v>223</v>
      </c>
      <c r="E4" t="s">
        <v>224</v>
      </c>
    </row>
    <row r="5" spans="1:5" x14ac:dyDescent="0.3">
      <c r="A5" t="s">
        <v>225</v>
      </c>
      <c r="B5" t="s">
        <v>226</v>
      </c>
      <c r="C5" t="s">
        <v>227</v>
      </c>
      <c r="D5" t="s">
        <v>228</v>
      </c>
      <c r="E5" t="s">
        <v>229</v>
      </c>
    </row>
    <row r="6" spans="1:5" x14ac:dyDescent="0.3">
      <c r="A6" t="s">
        <v>230</v>
      </c>
      <c r="B6" t="s">
        <v>231</v>
      </c>
      <c r="C6" t="s">
        <v>156</v>
      </c>
      <c r="D6" t="s">
        <v>223</v>
      </c>
      <c r="E6" t="s">
        <v>224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6F29A-301E-4099-8F40-5F00D67234D7}">
  <dimension ref="A1:N26"/>
  <sheetViews>
    <sheetView workbookViewId="0">
      <selection activeCell="F32" sqref="F32"/>
    </sheetView>
  </sheetViews>
  <sheetFormatPr defaultRowHeight="14.4" x14ac:dyDescent="0.3"/>
  <cols>
    <col min="1" max="1" width="9.21875" bestFit="1" customWidth="1"/>
    <col min="2" max="2" width="20.33203125" bestFit="1" customWidth="1"/>
    <col min="3" max="3" width="18.44140625" bestFit="1" customWidth="1"/>
    <col min="4" max="4" width="15.44140625" bestFit="1" customWidth="1"/>
    <col min="5" max="5" width="22.88671875" bestFit="1" customWidth="1"/>
    <col min="6" max="6" width="16" bestFit="1" customWidth="1"/>
    <col min="7" max="7" width="21.109375" bestFit="1" customWidth="1"/>
    <col min="8" max="8" width="16.77734375" style="2" bestFit="1" customWidth="1"/>
    <col min="9" max="9" width="16.109375" style="2" bestFit="1" customWidth="1"/>
    <col min="10" max="10" width="15.77734375" style="2" bestFit="1" customWidth="1"/>
    <col min="12" max="12" width="22" bestFit="1" customWidth="1"/>
    <col min="13" max="13" width="10.33203125" customWidth="1"/>
    <col min="14" max="14" width="83.88671875" bestFit="1" customWidth="1"/>
  </cols>
  <sheetData>
    <row r="1" spans="1:14" x14ac:dyDescent="0.3">
      <c r="A1" s="9" t="s">
        <v>232</v>
      </c>
      <c r="B1" s="9" t="s">
        <v>233</v>
      </c>
      <c r="C1" s="9" t="s">
        <v>234</v>
      </c>
      <c r="D1" s="9" t="s">
        <v>235</v>
      </c>
      <c r="E1" s="9" t="s">
        <v>236</v>
      </c>
      <c r="F1" s="9" t="s">
        <v>237</v>
      </c>
      <c r="G1" s="9" t="s">
        <v>238</v>
      </c>
      <c r="H1" s="10" t="s">
        <v>239</v>
      </c>
      <c r="I1" s="10" t="s">
        <v>240</v>
      </c>
      <c r="J1" s="10" t="s">
        <v>241</v>
      </c>
      <c r="L1" t="s">
        <v>100</v>
      </c>
      <c r="M1" s="8" t="s">
        <v>101</v>
      </c>
      <c r="N1" t="s">
        <v>213</v>
      </c>
    </row>
    <row r="2" spans="1:14" x14ac:dyDescent="0.3">
      <c r="A2" s="6">
        <f>'Raw_UK_API_Data'!A2</f>
        <v>45413</v>
      </c>
      <c r="B2" s="7">
        <f>'Raw_UK_API_Data'!C2</f>
        <v>1520925954</v>
      </c>
      <c r="C2" s="8"/>
      <c r="D2" t="s">
        <v>242</v>
      </c>
      <c r="E2">
        <f>'Raw_Canada_Baseline'!$B$2*0.05</f>
        <v>450000</v>
      </c>
      <c r="F2">
        <f>'Raw_Canada_Baseline'!$B$2*0.05</f>
        <v>450000</v>
      </c>
      <c r="G2">
        <f>'Raw_Canada_Baseline'!$B$2*0.05</f>
        <v>450000</v>
      </c>
      <c r="L2" t="s">
        <v>267</v>
      </c>
      <c r="M2" s="8">
        <f>AVERAGE(C3:C26)</f>
        <v>2.5205712114347717E-2</v>
      </c>
    </row>
    <row r="3" spans="1:14" x14ac:dyDescent="0.3">
      <c r="A3" s="6">
        <f>'Raw_UK_API_Data'!A3</f>
        <v>45444</v>
      </c>
      <c r="B3" s="7">
        <f>'Raw_UK_API_Data'!C3</f>
        <v>1494386712</v>
      </c>
      <c r="C3" s="8">
        <f t="shared" ref="C3:C26" si="0">IFERROR((B3/B2)-1,"")</f>
        <v>-1.74493978028335E-2</v>
      </c>
      <c r="D3" t="s">
        <v>243</v>
      </c>
      <c r="E3">
        <f>MIN(E2*(1+$M$3),'Raw_Canada_Baseline'!$B$2)</f>
        <v>457939.79931601952</v>
      </c>
      <c r="F3">
        <f xml:space="preserve"> MIN(F2*(1+$M$4),'Raw_Canada_Baseline'!$B$2)</f>
        <v>461342.57045145641</v>
      </c>
      <c r="G3">
        <f xml:space="preserve"> MIN(G2*(1+$M$5),'Raw_Canada_Baseline'!$B$2)</f>
        <v>464745.34158689342</v>
      </c>
      <c r="H3" s="2">
        <f xml:space="preserve"> E3/'Raw_Canada_Baseline'!$B$2</f>
        <v>5.0882199924002169E-2</v>
      </c>
      <c r="I3" s="2">
        <f xml:space="preserve"> F3/'Raw_Canada_Baseline'!$B$2</f>
        <v>5.1260285605717382E-2</v>
      </c>
      <c r="J3" s="2">
        <f xml:space="preserve"> G3/'Raw_Canada_Baseline'!$B$2</f>
        <v>5.1638371287432601E-2</v>
      </c>
      <c r="L3" t="s">
        <v>269</v>
      </c>
      <c r="M3">
        <f>M2*0.7</f>
        <v>1.7643998480043402E-2</v>
      </c>
      <c r="N3" t="s">
        <v>271</v>
      </c>
    </row>
    <row r="4" spans="1:14" x14ac:dyDescent="0.3">
      <c r="A4" s="6">
        <f>'Raw_UK_API_Data'!A4</f>
        <v>45474</v>
      </c>
      <c r="B4" s="7">
        <f>'Raw_UK_API_Data'!C4</f>
        <v>1564131601</v>
      </c>
      <c r="C4" s="8">
        <f t="shared" si="0"/>
        <v>4.6671245427937214E-2</v>
      </c>
      <c r="D4" t="s">
        <v>244</v>
      </c>
      <c r="E4">
        <f>MIN(E3*(1+$M$3),'Raw_Canada_Baseline'!$B$2)</f>
        <v>466019.68843910273</v>
      </c>
      <c r="F4">
        <f xml:space="preserve"> MIN(F3*(1+$M$4),'Raw_Canada_Baseline'!$B$2)</f>
        <v>472971.03846834897</v>
      </c>
      <c r="G4">
        <f xml:space="preserve"> MIN(G3*(1+$M$5),'Raw_Canada_Baseline'!$B$2)</f>
        <v>479973.85005937389</v>
      </c>
      <c r="H4" s="2">
        <f xml:space="preserve"> E4/'Raw_Canada_Baseline'!$B$2</f>
        <v>5.1779965382122525E-2</v>
      </c>
      <c r="I4" s="2">
        <f xml:space="preserve"> F4/'Raw_Canada_Baseline'!$B$2</f>
        <v>5.2552337607594327E-2</v>
      </c>
      <c r="J4" s="2">
        <f xml:space="preserve"> G4/'Raw_Canada_Baseline'!$B$2</f>
        <v>5.3330427784374877E-2</v>
      </c>
      <c r="L4" t="s">
        <v>268</v>
      </c>
      <c r="M4">
        <f>M2*1</f>
        <v>2.5205712114347717E-2</v>
      </c>
      <c r="N4" t="s">
        <v>270</v>
      </c>
    </row>
    <row r="5" spans="1:14" x14ac:dyDescent="0.3">
      <c r="A5" s="6">
        <f>'Raw_UK_API_Data'!A5</f>
        <v>45505</v>
      </c>
      <c r="B5" s="7">
        <f>'Raw_UK_API_Data'!C5</f>
        <v>1581848583</v>
      </c>
      <c r="C5" s="8">
        <f t="shared" si="0"/>
        <v>1.1327040505206165E-2</v>
      </c>
      <c r="D5" t="s">
        <v>245</v>
      </c>
      <c r="E5">
        <f>MIN(E4*(1+$M$3),'Raw_Canada_Baseline'!$B$2)</f>
        <v>474242.13911359257</v>
      </c>
      <c r="F5">
        <f xml:space="preserve"> MIN(F4*(1+$M$4),'Raw_Canada_Baseline'!$B$2)</f>
        <v>484892.61030240619</v>
      </c>
      <c r="G5">
        <f xml:space="preserve"> MIN(G4*(1+$M$5),'Raw_Canada_Baseline'!$B$2)</f>
        <v>495701.35755248909</v>
      </c>
      <c r="H5" s="2">
        <f xml:space="preserve"> E5/'Raw_Canada_Baseline'!$B$2</f>
        <v>5.2693571012621399E-2</v>
      </c>
      <c r="I5" s="2">
        <f xml:space="preserve"> F5/'Raw_Canada_Baseline'!$B$2</f>
        <v>5.3876956700267355E-2</v>
      </c>
      <c r="J5" s="2">
        <f xml:space="preserve"> G5/'Raw_Canada_Baseline'!$B$2</f>
        <v>5.5077928616943231E-2</v>
      </c>
      <c r="L5" t="s">
        <v>272</v>
      </c>
      <c r="M5">
        <f>M2*1.3</f>
        <v>3.2767425748652032E-2</v>
      </c>
      <c r="N5" t="s">
        <v>273</v>
      </c>
    </row>
    <row r="6" spans="1:14" x14ac:dyDescent="0.3">
      <c r="A6" s="6">
        <f>'Raw_UK_API_Data'!A6</f>
        <v>45536</v>
      </c>
      <c r="B6" s="7">
        <f>'Raw_UK_API_Data'!C6</f>
        <v>1603209493</v>
      </c>
      <c r="C6" s="8">
        <f t="shared" si="0"/>
        <v>1.3503764032514853E-2</v>
      </c>
      <c r="D6" t="s">
        <v>246</v>
      </c>
      <c r="E6">
        <f>MIN(E5*(1+$M$3),'Raw_Canada_Baseline'!$B$2)</f>
        <v>482609.6666952853</v>
      </c>
      <c r="F6">
        <f xml:space="preserve"> MIN(F5*(1+$M$4),'Raw_Canada_Baseline'!$B$2)</f>
        <v>497114.67384406319</v>
      </c>
      <c r="G6">
        <f xml:space="preserve"> MIN(G5*(1+$M$5),'Raw_Canada_Baseline'!$B$2)</f>
        <v>511944.21497959632</v>
      </c>
      <c r="H6" s="2">
        <f xml:space="preserve"> E6/'Raw_Canada_Baseline'!$B$2</f>
        <v>5.3623296299476146E-2</v>
      </c>
      <c r="I6" s="2">
        <f xml:space="preserve"> F6/'Raw_Canada_Baseline'!$B$2</f>
        <v>5.5234963760451464E-2</v>
      </c>
      <c r="J6" s="2">
        <f xml:space="preserve"> G6/'Raw_Canada_Baseline'!$B$2</f>
        <v>5.6882690553288477E-2</v>
      </c>
    </row>
    <row r="7" spans="1:14" x14ac:dyDescent="0.3">
      <c r="A7" s="6">
        <f>'Raw_UK_API_Data'!A7</f>
        <v>45566</v>
      </c>
      <c r="B7" s="7">
        <f>'Raw_UK_API_Data'!C7</f>
        <v>1747365142</v>
      </c>
      <c r="C7" s="8">
        <f t="shared" si="0"/>
        <v>8.9916913310093438E-2</v>
      </c>
      <c r="D7" t="s">
        <v>247</v>
      </c>
      <c r="E7">
        <f>MIN(E6*(1+$M$3),'Raw_Canada_Baseline'!$B$2)</f>
        <v>491124.83092091116</v>
      </c>
      <c r="F7">
        <f xml:space="preserve"> MIN(F6*(1+$M$4),'Raw_Canada_Baseline'!$B$2)</f>
        <v>509644.80320079444</v>
      </c>
      <c r="G7">
        <f xml:space="preserve"> MIN(G6*(1+$M$5),'Raw_Canada_Baseline'!$B$2)</f>
        <v>528719.30903139221</v>
      </c>
      <c r="H7" s="2">
        <f xml:space="preserve"> E7/'Raw_Canada_Baseline'!$B$2</f>
        <v>5.456942565787902E-2</v>
      </c>
      <c r="I7" s="2">
        <f xml:space="preserve"> F7/'Raw_Canada_Baseline'!$B$2</f>
        <v>5.6627200355643829E-2</v>
      </c>
      <c r="J7" s="2">
        <f xml:space="preserve"> G7/'Raw_Canada_Baseline'!$B$2</f>
        <v>5.874658989237691E-2</v>
      </c>
    </row>
    <row r="8" spans="1:14" x14ac:dyDescent="0.3">
      <c r="A8" s="6">
        <f>'Raw_UK_API_Data'!A8</f>
        <v>45597</v>
      </c>
      <c r="B8" s="7">
        <f>'Raw_UK_API_Data'!C8</f>
        <v>1747874987</v>
      </c>
      <c r="C8" s="8">
        <f t="shared" si="0"/>
        <v>2.9177931260337964E-4</v>
      </c>
      <c r="D8" t="s">
        <v>248</v>
      </c>
      <c r="E8">
        <f>MIN(E7*(1+$M$3),'Raw_Canada_Baseline'!$B$2)</f>
        <v>499790.23669119127</v>
      </c>
      <c r="F8">
        <f xml:space="preserve"> MIN(F7*(1+$M$4),'Raw_Canada_Baseline'!$B$2)</f>
        <v>522490.76339084702</v>
      </c>
      <c r="G8">
        <f xml:space="preserve"> MIN(G7*(1+$M$5),'Raw_Canada_Baseline'!$B$2)</f>
        <v>546044.07973195706</v>
      </c>
      <c r="H8" s="2">
        <f xml:space="preserve"> E8/'Raw_Canada_Baseline'!$B$2</f>
        <v>5.5532248521243471E-2</v>
      </c>
      <c r="I8" s="2">
        <f xml:space="preserve"> F8/'Raw_Canada_Baseline'!$B$2</f>
        <v>5.8054529265649669E-2</v>
      </c>
      <c r="J8" s="2">
        <f xml:space="preserve"> G8/'Raw_Canada_Baseline'!$B$2</f>
        <v>6.0671564414661892E-2</v>
      </c>
    </row>
    <row r="9" spans="1:14" x14ac:dyDescent="0.3">
      <c r="A9" s="6">
        <f>'Raw_UK_API_Data'!A9</f>
        <v>45627</v>
      </c>
      <c r="B9" s="7">
        <f>'Raw_UK_API_Data'!C9</f>
        <v>1853825146</v>
      </c>
      <c r="C9" s="8">
        <f t="shared" si="0"/>
        <v>6.0616554266189171E-2</v>
      </c>
      <c r="D9" t="s">
        <v>249</v>
      </c>
      <c r="E9">
        <f>MIN(E8*(1+$M$3),'Raw_Canada_Baseline'!$B$2)</f>
        <v>508608.53486771119</v>
      </c>
      <c r="F9">
        <f xml:space="preserve"> MIN(F8*(1+$M$4),'Raw_Canada_Baseline'!$B$2)</f>
        <v>535660.51515528245</v>
      </c>
      <c r="G9">
        <f xml:space="preserve"> MIN(G8*(1+$M$5),'Raw_Canada_Baseline'!$B$2)</f>
        <v>563936.53857006505</v>
      </c>
      <c r="H9" s="2">
        <f xml:space="preserve"> E9/'Raw_Canada_Baseline'!$B$2</f>
        <v>5.6512059429745687E-2</v>
      </c>
      <c r="I9" s="2">
        <f xml:space="preserve"> F9/'Raw_Canada_Baseline'!$B$2</f>
        <v>5.9517835017253606E-2</v>
      </c>
      <c r="J9" s="2">
        <f xml:space="preserve"> G9/'Raw_Canada_Baseline'!$B$2</f>
        <v>6.265961539667389E-2</v>
      </c>
    </row>
    <row r="10" spans="1:14" x14ac:dyDescent="0.3">
      <c r="A10" s="6">
        <f>'Raw_UK_API_Data'!A10</f>
        <v>45658</v>
      </c>
      <c r="B10" s="7">
        <f>'Raw_UK_API_Data'!C10</f>
        <v>1909058414</v>
      </c>
      <c r="C10" s="8">
        <f t="shared" si="0"/>
        <v>2.9794216633201254E-2</v>
      </c>
      <c r="D10" t="s">
        <v>250</v>
      </c>
      <c r="E10">
        <f>MIN(E9*(1+$M$3),'Raw_Canada_Baseline'!$B$2)</f>
        <v>517582.4230838542</v>
      </c>
      <c r="F10">
        <f xml:space="preserve"> MIN(F9*(1+$M$4),'Raw_Canada_Baseline'!$B$2)</f>
        <v>549162.21989130962</v>
      </c>
      <c r="G10">
        <f xml:space="preserve"> MIN(G9*(1+$M$5),'Raw_Canada_Baseline'!$B$2)</f>
        <v>582415.2872246115</v>
      </c>
      <c r="H10" s="2">
        <f xml:space="preserve"> E10/'Raw_Canada_Baseline'!$B$2</f>
        <v>5.7509158120428241E-2</v>
      </c>
      <c r="I10" s="2">
        <f xml:space="preserve"> F10/'Raw_Canada_Baseline'!$B$2</f>
        <v>6.1018024432367736E-2</v>
      </c>
      <c r="J10" s="2">
        <f xml:space="preserve"> G10/'Raw_Canada_Baseline'!$B$2</f>
        <v>6.4712809691623505E-2</v>
      </c>
    </row>
    <row r="11" spans="1:14" x14ac:dyDescent="0.3">
      <c r="A11" s="6">
        <f>'Raw_UK_API_Data'!A11</f>
        <v>45689</v>
      </c>
      <c r="B11" s="7">
        <f>'Raw_UK_API_Data'!C11</f>
        <v>1780842248</v>
      </c>
      <c r="C11" s="8">
        <f t="shared" si="0"/>
        <v>-6.7161992037400253E-2</v>
      </c>
      <c r="D11" t="s">
        <v>251</v>
      </c>
      <c r="E11">
        <f>MIN(E10*(1+$M$3),'Raw_Canada_Baseline'!$B$2)</f>
        <v>526714.64657004294</v>
      </c>
      <c r="F11">
        <f xml:space="preserve"> MIN(F10*(1+$M$4),'Raw_Canada_Baseline'!$B$2)</f>
        <v>563004.24470996601</v>
      </c>
      <c r="G11">
        <f xml:space="preserve"> MIN(G10*(1+$M$5),'Raw_Canada_Baseline'!$B$2)</f>
        <v>601499.53690362384</v>
      </c>
      <c r="H11" s="2">
        <f xml:space="preserve"> E11/'Raw_Canada_Baseline'!$B$2</f>
        <v>5.8523849618893661E-2</v>
      </c>
      <c r="I11" s="2">
        <f xml:space="preserve"> F11/'Raw_Canada_Baseline'!$B$2</f>
        <v>6.2556027189996227E-2</v>
      </c>
      <c r="J11" s="2">
        <f xml:space="preserve"> G11/'Raw_Canada_Baseline'!$B$2</f>
        <v>6.6833281878180426E-2</v>
      </c>
    </row>
    <row r="12" spans="1:14" x14ac:dyDescent="0.3">
      <c r="A12" s="6">
        <f>'Raw_UK_API_Data'!A12</f>
        <v>45717</v>
      </c>
      <c r="B12" s="7">
        <f>'Raw_UK_API_Data'!C12</f>
        <v>1990052545</v>
      </c>
      <c r="C12" s="8">
        <f t="shared" si="0"/>
        <v>0.11747828716157005</v>
      </c>
      <c r="D12" t="s">
        <v>252</v>
      </c>
      <c r="E12">
        <f>MIN(E11*(1+$M$3),'Raw_Canada_Baseline'!$B$2)</f>
        <v>536007.99899354135</v>
      </c>
      <c r="F12">
        <f xml:space="preserve"> MIN(F11*(1+$M$4),'Raw_Canada_Baseline'!$B$2)</f>
        <v>577195.16762128111</v>
      </c>
      <c r="G12">
        <f xml:space="preserve"> MIN(G11*(1+$M$5),'Raw_Canada_Baseline'!$B$2)</f>
        <v>621209.12831696193</v>
      </c>
      <c r="H12" s="2">
        <f xml:space="preserve"> E12/'Raw_Canada_Baseline'!$B$2</f>
        <v>5.9556444332615706E-2</v>
      </c>
      <c r="I12" s="2">
        <f xml:space="preserve"> F12/'Raw_Canada_Baseline'!$B$2</f>
        <v>6.4132796402364564E-2</v>
      </c>
      <c r="J12" s="2">
        <f xml:space="preserve"> G12/'Raw_Canada_Baseline'!$B$2</f>
        <v>6.9023236479662436E-2</v>
      </c>
    </row>
    <row r="13" spans="1:14" x14ac:dyDescent="0.3">
      <c r="A13" s="6">
        <f>'Raw_UK_API_Data'!A13</f>
        <v>45748</v>
      </c>
      <c r="B13" s="7">
        <f>'Raw_UK_API_Data'!C13</f>
        <v>1952040978</v>
      </c>
      <c r="C13" s="8">
        <f t="shared" si="0"/>
        <v>-1.9100785602623405E-2</v>
      </c>
      <c r="D13" t="s">
        <v>253</v>
      </c>
      <c r="E13">
        <f>MIN(E12*(1+$M$3),'Raw_Canada_Baseline'!$B$2)</f>
        <v>545465.32331307454</v>
      </c>
      <c r="F13">
        <f xml:space="preserve"> MIN(F12*(1+$M$4),'Raw_Canada_Baseline'!$B$2)</f>
        <v>591743.7828501357</v>
      </c>
      <c r="G13">
        <f xml:space="preserve"> MIN(G12*(1+$M$5),'Raw_Canada_Baseline'!$B$2)</f>
        <v>641564.55230347288</v>
      </c>
      <c r="H13" s="2">
        <f xml:space="preserve"> E13/'Raw_Canada_Baseline'!$B$2</f>
        <v>6.0607258145897173E-2</v>
      </c>
      <c r="I13" s="2">
        <f xml:space="preserve"> F13/'Raw_Canada_Baseline'!$B$2</f>
        <v>6.5749309205570636E-2</v>
      </c>
      <c r="J13" s="2">
        <f xml:space="preserve"> G13/'Raw_Canada_Baseline'!$B$2</f>
        <v>7.1284950255941434E-2</v>
      </c>
    </row>
    <row r="14" spans="1:14" x14ac:dyDescent="0.3">
      <c r="A14" s="6">
        <f>'Raw_UK_API_Data'!A14</f>
        <v>45778</v>
      </c>
      <c r="B14" s="7">
        <f>'Raw_UK_API_Data'!C14</f>
        <v>1998627582</v>
      </c>
      <c r="C14" s="8">
        <f t="shared" si="0"/>
        <v>2.386558710859199E-2</v>
      </c>
      <c r="D14" t="s">
        <v>254</v>
      </c>
      <c r="E14">
        <f>MIN(E13*(1+$M$3),'Raw_Canada_Baseline'!$B$2)</f>
        <v>555089.51264852681</v>
      </c>
      <c r="F14">
        <f xml:space="preserve"> MIN(F13*(1+$M$4),'Raw_Canada_Baseline'!$B$2)</f>
        <v>606659.10628611129</v>
      </c>
      <c r="G14">
        <f xml:space="preserve"> MIN(G13*(1+$M$5),'Raw_Canada_Baseline'!$B$2)</f>
        <v>662586.97113404411</v>
      </c>
      <c r="H14" s="2">
        <f xml:space="preserve"> E14/'Raw_Canada_Baseline'!$B$2</f>
        <v>6.1676612516502978E-2</v>
      </c>
      <c r="I14" s="2">
        <f xml:space="preserve"> F14/'Raw_Canada_Baseline'!$B$2</f>
        <v>6.7406567365123474E-2</v>
      </c>
      <c r="J14" s="2">
        <f xml:space="preserve"> G14/'Raw_Canada_Baseline'!$B$2</f>
        <v>7.362077457044934E-2</v>
      </c>
    </row>
    <row r="15" spans="1:14" x14ac:dyDescent="0.3">
      <c r="A15" s="6">
        <f>'Raw_UK_API_Data'!A15</f>
        <v>45809</v>
      </c>
      <c r="B15" s="7">
        <f>'Raw_UK_API_Data'!C15</f>
        <v>1971558351</v>
      </c>
      <c r="C15" s="8">
        <f t="shared" si="0"/>
        <v>-1.3543909452561564E-2</v>
      </c>
      <c r="D15" t="s">
        <v>255</v>
      </c>
      <c r="E15">
        <f>MIN(E14*(1+$M$3),'Raw_Canada_Baseline'!$B$2)</f>
        <v>564883.51116598549</v>
      </c>
      <c r="F15">
        <f xml:space="preserve"> MIN(F14*(1+$M$4),'Raw_Canada_Baseline'!$B$2)</f>
        <v>621950.38107070641</v>
      </c>
      <c r="G15">
        <f xml:space="preserve"> MIN(G14*(1+$M$5),'Raw_Canada_Baseline'!$B$2)</f>
        <v>684298.2405127032</v>
      </c>
      <c r="H15" s="2">
        <f xml:space="preserve"> E15/'Raw_Canada_Baseline'!$B$2</f>
        <v>6.2764834573998382E-2</v>
      </c>
      <c r="I15" s="2">
        <f xml:space="preserve"> F15/'Raw_Canada_Baseline'!$B$2</f>
        <v>6.9105597896745155E-2</v>
      </c>
      <c r="J15" s="2">
        <f xml:space="preserve"> G15/'Raw_Canada_Baseline'!$B$2</f>
        <v>7.6033137834744802E-2</v>
      </c>
    </row>
    <row r="16" spans="1:14" x14ac:dyDescent="0.3">
      <c r="A16" s="6">
        <f>'Raw_UK_API_Data'!A16</f>
        <v>45839</v>
      </c>
      <c r="B16" s="7">
        <f>'Raw_UK_API_Data'!C16</f>
        <v>2040365267</v>
      </c>
      <c r="C16" s="8">
        <f t="shared" si="0"/>
        <v>3.4899761381701033E-2</v>
      </c>
      <c r="D16" t="s">
        <v>256</v>
      </c>
      <c r="E16">
        <f>MIN(E15*(1+$M$3),'Raw_Canada_Baseline'!$B$2)</f>
        <v>574850.31497839966</v>
      </c>
      <c r="F16">
        <f xml:space="preserve"> MIN(F15*(1+$M$4),'Raw_Canada_Baseline'!$B$2)</f>
        <v>637627.08332538349</v>
      </c>
      <c r="G16">
        <f xml:space="preserve"> MIN(G15*(1+$M$5),'Raw_Canada_Baseline'!$B$2)</f>
        <v>706720.93229863653</v>
      </c>
      <c r="H16" s="2">
        <f xml:space="preserve"> E16/'Raw_Canada_Baseline'!$B$2</f>
        <v>6.387225721982219E-2</v>
      </c>
      <c r="I16" s="2">
        <f xml:space="preserve"> F16/'Raw_Canada_Baseline'!$B$2</f>
        <v>7.084745370282039E-2</v>
      </c>
      <c r="J16" s="2">
        <f xml:space="preserve"> G16/'Raw_Canada_Baseline'!$B$2</f>
        <v>7.8524548033181832E-2</v>
      </c>
    </row>
    <row r="17" spans="1:10" x14ac:dyDescent="0.3">
      <c r="A17" s="6">
        <f>'Raw_UK_API_Data'!A17</f>
        <v>45870</v>
      </c>
      <c r="B17" s="7">
        <f>'Raw_UK_API_Data'!C17</f>
        <v>2070105099</v>
      </c>
      <c r="C17" s="8">
        <f t="shared" si="0"/>
        <v>1.4575739197779658E-2</v>
      </c>
      <c r="D17" t="s">
        <v>257</v>
      </c>
      <c r="E17">
        <f>MIN(E16*(1+$M$3),'Raw_Canada_Baseline'!$B$2)</f>
        <v>584992.97306213097</v>
      </c>
      <c r="F17">
        <f xml:space="preserve"> MIN(F16*(1+$M$4),'Raw_Canada_Baseline'!$B$2)</f>
        <v>653698.9280239942</v>
      </c>
      <c r="G17">
        <f xml:space="preserve"> MIN(G16*(1+$M$5),'Raw_Canada_Baseline'!$B$2)</f>
        <v>729878.35797275032</v>
      </c>
      <c r="H17" s="2">
        <f xml:space="preserve"> E17/'Raw_Canada_Baseline'!$B$2</f>
        <v>6.499921922912566E-2</v>
      </c>
      <c r="I17" s="2">
        <f xml:space="preserve"> F17/'Raw_Canada_Baseline'!$B$2</f>
        <v>7.2633214224888248E-2</v>
      </c>
      <c r="J17" s="2">
        <f xml:space="preserve"> G17/'Raw_Canada_Baseline'!$B$2</f>
        <v>8.1097595330305597E-2</v>
      </c>
    </row>
    <row r="18" spans="1:10" x14ac:dyDescent="0.3">
      <c r="A18" s="6">
        <f>'Raw_UK_API_Data'!A18</f>
        <v>45901</v>
      </c>
      <c r="B18" s="7">
        <f>'Raw_UK_API_Data'!C18</f>
        <v>2019432214</v>
      </c>
      <c r="C18" s="8">
        <f t="shared" si="0"/>
        <v>-2.4478411760097796E-2</v>
      </c>
      <c r="D18" t="s">
        <v>258</v>
      </c>
      <c r="E18">
        <f>MIN(E17*(1+$M$3),'Raw_Canada_Baseline'!$B$2)</f>
        <v>595314.58818967524</v>
      </c>
      <c r="F18">
        <f xml:space="preserve"> MIN(F17*(1+$M$4),'Raw_Canada_Baseline'!$B$2)</f>
        <v>670175.87501322466</v>
      </c>
      <c r="G18">
        <f xml:space="preserve"> MIN(G17*(1+$M$5),'Raw_Canada_Baseline'!$B$2)</f>
        <v>753794.59287317051</v>
      </c>
      <c r="H18" s="2">
        <f xml:space="preserve"> E18/'Raw_Canada_Baseline'!$B$2</f>
        <v>6.6146065354408354E-2</v>
      </c>
      <c r="I18" s="2">
        <f xml:space="preserve"> F18/'Raw_Canada_Baseline'!$B$2</f>
        <v>7.4463986112580524E-2</v>
      </c>
      <c r="J18" s="2">
        <f xml:space="preserve"> G18/'Raw_Canada_Baseline'!$B$2</f>
        <v>8.3754954763685607E-2</v>
      </c>
    </row>
    <row r="19" spans="1:10" x14ac:dyDescent="0.3">
      <c r="A19" s="6">
        <f>'Raw_UK_API_Data'!A19</f>
        <v>45931</v>
      </c>
      <c r="B19" s="7">
        <f>'Raw_UK_API_Data'!C19</f>
        <v>2168402057</v>
      </c>
      <c r="C19" s="8">
        <f t="shared" si="0"/>
        <v>7.3768181950969014E-2</v>
      </c>
      <c r="D19" t="s">
        <v>259</v>
      </c>
      <c r="E19">
        <f>MIN(E18*(1+$M$3),'Raw_Canada_Baseline'!$B$2)</f>
        <v>605818.31787884154</v>
      </c>
      <c r="F19">
        <f xml:space="preserve"> MIN(F18*(1+$M$4),'Raw_Canada_Baseline'!$B$2)</f>
        <v>687068.13518478908</v>
      </c>
      <c r="G19">
        <f xml:space="preserve"> MIN(G18*(1+$M$5),'Raw_Canada_Baseline'!$B$2)</f>
        <v>778494.50122487755</v>
      </c>
      <c r="H19" s="2">
        <f xml:space="preserve"> E19/'Raw_Canada_Baseline'!$B$2</f>
        <v>6.7313146430982393E-2</v>
      </c>
      <c r="I19" s="2">
        <f xml:space="preserve"> F19/'Raw_Canada_Baseline'!$B$2</f>
        <v>7.6340903909421012E-2</v>
      </c>
      <c r="J19" s="2">
        <f xml:space="preserve"> G19/'Raw_Canada_Baseline'!$B$2</f>
        <v>8.6499389024986398E-2</v>
      </c>
    </row>
    <row r="20" spans="1:10" x14ac:dyDescent="0.3">
      <c r="A20" s="6">
        <f>'Raw_UK_API_Data'!A20</f>
        <v>45962</v>
      </c>
      <c r="B20" s="7">
        <f>'Raw_UK_API_Data'!C20</f>
        <v>2211669970</v>
      </c>
      <c r="C20" s="8">
        <f t="shared" si="0"/>
        <v>1.9953823996949005E-2</v>
      </c>
      <c r="D20" t="s">
        <v>260</v>
      </c>
      <c r="E20">
        <f>MIN(E19*(1+$M$3),'Raw_Canada_Baseline'!$B$2)</f>
        <v>616507.37535867828</v>
      </c>
      <c r="F20">
        <f xml:space="preserve"> MIN(F19*(1+$M$4),'Raw_Canada_Baseline'!$B$2)</f>
        <v>704386.17680319853</v>
      </c>
      <c r="G20">
        <f xml:space="preserve"> MIN(G19*(1+$M$5),'Raw_Canada_Baseline'!$B$2)</f>
        <v>804003.7619894977</v>
      </c>
      <c r="H20" s="2">
        <f xml:space="preserve"> E20/'Raw_Canada_Baseline'!$B$2</f>
        <v>6.8500819484297593E-2</v>
      </c>
      <c r="I20" s="2">
        <f xml:space="preserve"> F20/'Raw_Canada_Baseline'!$B$2</f>
        <v>7.8265130755910947E-2</v>
      </c>
      <c r="J20" s="2">
        <f xml:space="preserve"> G20/'Raw_Canada_Baseline'!$B$2</f>
        <v>8.9333751332166408E-2</v>
      </c>
    </row>
    <row r="21" spans="1:10" x14ac:dyDescent="0.3">
      <c r="A21" s="6">
        <f>'Raw_UK_API_Data'!A21</f>
        <v>45992</v>
      </c>
      <c r="B21" s="7">
        <f>'Raw_UK_API_Data'!C21</f>
        <v>2344465731</v>
      </c>
      <c r="C21" s="8">
        <f t="shared" si="0"/>
        <v>6.0043208435840878E-2</v>
      </c>
      <c r="D21" t="s">
        <v>261</v>
      </c>
      <c r="E21">
        <f>MIN(E20*(1+$M$3),'Raw_Canada_Baseline'!$B$2)</f>
        <v>627385.0305524423</v>
      </c>
      <c r="F21">
        <f xml:space="preserve"> MIN(F20*(1+$M$4),'Raw_Canada_Baseline'!$B$2)</f>
        <v>722140.73199302587</v>
      </c>
      <c r="G21">
        <f xml:space="preserve"> MIN(G20*(1+$M$5),'Raw_Canada_Baseline'!$B$2)</f>
        <v>830348.89556212549</v>
      </c>
      <c r="H21" s="2">
        <f xml:space="preserve"> E21/'Raw_Canada_Baseline'!$B$2</f>
        <v>6.9709447839160249E-2</v>
      </c>
      <c r="I21" s="2">
        <f xml:space="preserve"> F21/'Raw_Canada_Baseline'!$B$2</f>
        <v>8.0237859110336207E-2</v>
      </c>
      <c r="J21" s="2">
        <f xml:space="preserve"> G21/'Raw_Canada_Baseline'!$B$2</f>
        <v>9.2260988395791721E-2</v>
      </c>
    </row>
    <row r="22" spans="1:10" x14ac:dyDescent="0.3">
      <c r="A22" s="6">
        <f>'Raw_UK_API_Data'!A22</f>
        <v>46023</v>
      </c>
      <c r="B22" s="7">
        <f>'Raw_UK_API_Data'!C22</f>
        <v>2404347087</v>
      </c>
      <c r="C22" s="8">
        <f t="shared" si="0"/>
        <v>2.5541578709473489E-2</v>
      </c>
      <c r="D22" t="s">
        <v>262</v>
      </c>
      <c r="E22">
        <f>MIN(E21*(1+$M$3),'Raw_Canada_Baseline'!$B$2)</f>
        <v>638454.61107791157</v>
      </c>
      <c r="F22">
        <f xml:space="preserve"> MIN(F21*(1+$M$4),'Raw_Canada_Baseline'!$B$2)</f>
        <v>740342.80338968639</v>
      </c>
      <c r="G22">
        <f xml:space="preserve"> MIN(G21*(1+$M$5),'Raw_Canada_Baseline'!$B$2)</f>
        <v>857557.29134293273</v>
      </c>
      <c r="H22" s="2">
        <f xml:space="preserve"> E22/'Raw_Canada_Baseline'!$B$2</f>
        <v>7.0939401230879065E-2</v>
      </c>
      <c r="I22" s="2">
        <f xml:space="preserve"> F22/'Raw_Canada_Baseline'!$B$2</f>
        <v>8.2260311487742932E-2</v>
      </c>
      <c r="J22" s="2">
        <f xml:space="preserve"> G22/'Raw_Canada_Baseline'!$B$2</f>
        <v>9.5284143482548087E-2</v>
      </c>
    </row>
    <row r="23" spans="1:10" x14ac:dyDescent="0.3">
      <c r="A23" s="6">
        <f>'Raw_UK_API_Data'!A23</f>
        <v>46054</v>
      </c>
      <c r="B23" s="7">
        <f>'Raw_UK_API_Data'!C23</f>
        <v>2233344488</v>
      </c>
      <c r="C23" s="8">
        <f t="shared" si="0"/>
        <v>-7.11222601447975E-2</v>
      </c>
      <c r="D23" t="s">
        <v>263</v>
      </c>
      <c r="E23">
        <f>MIN(E22*(1+$M$3),'Raw_Canada_Baseline'!$B$2)</f>
        <v>649719.50326534698</v>
      </c>
      <c r="F23">
        <f xml:space="preserve"> MIN(F22*(1+$M$4),'Raw_Canada_Baseline'!$B$2)</f>
        <v>759003.67095785588</v>
      </c>
      <c r="G23">
        <f xml:space="preserve"> MIN(G22*(1+$M$5),'Raw_Canada_Baseline'!$B$2)</f>
        <v>885657.23621222749</v>
      </c>
      <c r="H23" s="2">
        <f xml:space="preserve"> E23/'Raw_Canada_Baseline'!$B$2</f>
        <v>7.2191055918371883E-2</v>
      </c>
      <c r="I23" s="2">
        <f xml:space="preserve"> F23/'Raw_Canada_Baseline'!$B$2</f>
        <v>8.4333741217539546E-2</v>
      </c>
      <c r="J23" s="2">
        <f xml:space="preserve"> G23/'Raw_Canada_Baseline'!$B$2</f>
        <v>9.840635957913639E-2</v>
      </c>
    </row>
    <row r="24" spans="1:10" x14ac:dyDescent="0.3">
      <c r="A24" s="6">
        <f>'Raw_UK_API_Data'!A24</f>
        <v>46082</v>
      </c>
      <c r="B24" s="7">
        <f>'Raw_UK_API_Data'!C24</f>
        <v>2539426430</v>
      </c>
      <c r="C24" s="8">
        <f t="shared" si="0"/>
        <v>0.13705093130263202</v>
      </c>
      <c r="D24" t="s">
        <v>264</v>
      </c>
      <c r="E24">
        <f>MIN(E23*(1+$M$3),'Raw_Canada_Baseline'!$B$2)</f>
        <v>661183.15319341526</v>
      </c>
      <c r="F24">
        <f xml:space="preserve"> MIN(F23*(1+$M$4),'Raw_Canada_Baseline'!$B$2)</f>
        <v>778134.89898175269</v>
      </c>
      <c r="G24">
        <f xml:space="preserve"> MIN(G23*(1+$M$5),'Raw_Canada_Baseline'!$B$2)</f>
        <v>914677.94393856812</v>
      </c>
      <c r="H24" s="2">
        <f xml:space="preserve"> E24/'Raw_Canada_Baseline'!$B$2</f>
        <v>7.346479479926836E-2</v>
      </c>
      <c r="I24" s="2">
        <f xml:space="preserve"> F24/'Raw_Canada_Baseline'!$B$2</f>
        <v>8.645943322019474E-2</v>
      </c>
      <c r="J24" s="2">
        <f xml:space="preserve"> G24/'Raw_Canada_Baseline'!$B$2</f>
        <v>0.1016308826598409</v>
      </c>
    </row>
    <row r="25" spans="1:10" x14ac:dyDescent="0.3">
      <c r="A25" s="6">
        <f>'Raw_UK_API_Data'!A25</f>
        <v>46113</v>
      </c>
      <c r="B25" s="7">
        <f>'Raw_UK_API_Data'!C25</f>
        <v>2510984372</v>
      </c>
      <c r="C25" s="8">
        <f t="shared" si="0"/>
        <v>-1.1200189800340099E-2</v>
      </c>
      <c r="D25" t="s">
        <v>265</v>
      </c>
      <c r="E25">
        <f>MIN(E24*(1+$M$3),'Raw_Canada_Baseline'!$B$2)</f>
        <v>672849.06774339022</v>
      </c>
      <c r="F25">
        <f xml:space="preserve"> MIN(F24*(1+$M$4),'Raw_Canada_Baseline'!$B$2)</f>
        <v>797748.34323161375</v>
      </c>
      <c r="G25">
        <f xml:space="preserve"> MIN(G24*(1+$M$5),'Raw_Canada_Baseline'!$B$2)</f>
        <v>944649.58555050497</v>
      </c>
      <c r="H25" s="2">
        <f xml:space="preserve"> E25/'Raw_Canada_Baseline'!$B$2</f>
        <v>7.4761007527043358E-2</v>
      </c>
      <c r="I25" s="2">
        <f xml:space="preserve"> F25/'Raw_Canada_Baseline'!$B$2</f>
        <v>8.8638704803512644E-2</v>
      </c>
      <c r="J25" s="2">
        <f xml:space="preserve"> G25/'Raw_Canada_Baseline'!$B$2</f>
        <v>0.10496106506116722</v>
      </c>
    </row>
    <row r="26" spans="1:10" x14ac:dyDescent="0.3">
      <c r="A26" s="6">
        <f>'Raw_UK_API_Data'!A26</f>
        <v>46143</v>
      </c>
      <c r="B26" s="7">
        <f>'Raw_UK_API_Data'!C26</f>
        <v>2685988494</v>
      </c>
      <c r="C26" s="8">
        <f t="shared" si="0"/>
        <v>6.9695424611746715E-2</v>
      </c>
      <c r="D26" t="s">
        <v>266</v>
      </c>
      <c r="E26">
        <f>MIN(E25*(1+$M$3),'Raw_Canada_Baseline'!$B$2)</f>
        <v>684720.81567195326</v>
      </c>
      <c r="F26">
        <f xml:space="preserve"> MIN(F25*(1+$M$4),'Raw_Canada_Baseline'!$B$2)</f>
        <v>817856.15831080754</v>
      </c>
      <c r="G26">
        <f xml:space="preserve"> MIN(G25*(1+$M$5),'Raw_Canada_Baseline'!$B$2)</f>
        <v>975603.32070352614</v>
      </c>
      <c r="H26" s="2">
        <f xml:space="preserve"> E26/'Raw_Canada_Baseline'!$B$2</f>
        <v>7.6080090630217034E-2</v>
      </c>
      <c r="I26" s="2">
        <f xml:space="preserve"> F26/'Raw_Canada_Baseline'!$B$2</f>
        <v>9.087290647897861E-2</v>
      </c>
      <c r="J26" s="2">
        <f xml:space="preserve"> G26/'Raw_Canada_Baseline'!$B$2</f>
        <v>0.10840036896705846</v>
      </c>
    </row>
  </sheetData>
  <phoneticPr fontId="3" type="noConversion"/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EA02A-1FAA-481D-9DCE-90855AD3ED62}">
  <dimension ref="A1:B6"/>
  <sheetViews>
    <sheetView workbookViewId="0"/>
  </sheetViews>
  <sheetFormatPr defaultRowHeight="14.4" x14ac:dyDescent="0.3"/>
  <cols>
    <col min="1" max="1" width="30.77734375" bestFit="1" customWidth="1"/>
    <col min="2" max="2" width="32.77734375" bestFit="1" customWidth="1"/>
  </cols>
  <sheetData>
    <row r="1" spans="1:2" x14ac:dyDescent="0.3">
      <c r="A1" t="s">
        <v>359</v>
      </c>
      <c r="B1" t="s">
        <v>360</v>
      </c>
    </row>
    <row r="2" spans="1:2" x14ac:dyDescent="0.3">
      <c r="A2" t="s">
        <v>361</v>
      </c>
      <c r="B2" t="s">
        <v>362</v>
      </c>
    </row>
    <row r="3" spans="1:2" x14ac:dyDescent="0.3">
      <c r="A3" t="s">
        <v>363</v>
      </c>
      <c r="B3" t="s">
        <v>364</v>
      </c>
    </row>
    <row r="4" spans="1:2" x14ac:dyDescent="0.3">
      <c r="A4" t="s">
        <v>365</v>
      </c>
      <c r="B4" t="s">
        <v>366</v>
      </c>
    </row>
    <row r="5" spans="1:2" x14ac:dyDescent="0.3">
      <c r="A5" t="s">
        <v>367</v>
      </c>
      <c r="B5" t="s">
        <v>368</v>
      </c>
    </row>
    <row r="6" spans="1:2" x14ac:dyDescent="0.3">
      <c r="A6" t="s">
        <v>369</v>
      </c>
      <c r="B6" t="s">
        <v>370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2455B-484E-4766-8C63-07B1F2700B5C}">
  <dimension ref="A1:C5"/>
  <sheetViews>
    <sheetView workbookViewId="0">
      <selection activeCell="B5" sqref="B5"/>
    </sheetView>
  </sheetViews>
  <sheetFormatPr defaultRowHeight="14.4" x14ac:dyDescent="0.3"/>
  <cols>
    <col min="1" max="1" width="9.6640625" bestFit="1" customWidth="1"/>
    <col min="2" max="2" width="13.33203125" bestFit="1" customWidth="1"/>
    <col min="3" max="3" width="37" style="22" customWidth="1"/>
  </cols>
  <sheetData>
    <row r="1" spans="1:3" x14ac:dyDescent="0.3">
      <c r="A1" s="9" t="s">
        <v>216</v>
      </c>
      <c r="B1" s="9" t="s">
        <v>371</v>
      </c>
      <c r="C1" s="21" t="s">
        <v>5</v>
      </c>
    </row>
    <row r="2" spans="1:3" x14ac:dyDescent="0.3">
      <c r="A2" t="s">
        <v>195</v>
      </c>
      <c r="B2" s="1">
        <v>43113</v>
      </c>
      <c r="C2" s="22" t="s">
        <v>372</v>
      </c>
    </row>
    <row r="3" spans="1:3" x14ac:dyDescent="0.3">
      <c r="A3" t="s">
        <v>315</v>
      </c>
      <c r="B3" s="1">
        <v>44013</v>
      </c>
      <c r="C3" s="22" t="s">
        <v>373</v>
      </c>
    </row>
    <row r="4" spans="1:3" ht="28.8" x14ac:dyDescent="0.3">
      <c r="A4" t="s">
        <v>374</v>
      </c>
      <c r="B4" s="1">
        <v>43831</v>
      </c>
      <c r="C4" s="22" t="s">
        <v>375</v>
      </c>
    </row>
    <row r="5" spans="1:3" x14ac:dyDescent="0.3">
      <c r="A5" t="s">
        <v>311</v>
      </c>
      <c r="B5" s="1">
        <v>46023</v>
      </c>
      <c r="C5" s="22" t="s">
        <v>376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51906-06B0-4EAC-93D8-62FBE8DB6241}">
  <dimension ref="A1:B8"/>
  <sheetViews>
    <sheetView workbookViewId="0"/>
  </sheetViews>
  <sheetFormatPr defaultRowHeight="14.4" x14ac:dyDescent="0.3"/>
  <cols>
    <col min="1" max="1" width="27.5546875" bestFit="1" customWidth="1"/>
    <col min="2" max="2" width="13.6640625" bestFit="1" customWidth="1"/>
  </cols>
  <sheetData>
    <row r="1" spans="1:2" x14ac:dyDescent="0.3">
      <c r="A1" t="s">
        <v>101</v>
      </c>
      <c r="B1" t="s">
        <v>213</v>
      </c>
    </row>
    <row r="2" spans="1:2" x14ac:dyDescent="0.3">
      <c r="A2" t="s">
        <v>347</v>
      </c>
      <c r="B2" t="s">
        <v>347</v>
      </c>
    </row>
    <row r="3" spans="1:2" x14ac:dyDescent="0.3">
      <c r="A3" t="s">
        <v>348</v>
      </c>
      <c r="B3" t="s">
        <v>349</v>
      </c>
    </row>
    <row r="4" spans="1:2" x14ac:dyDescent="0.3">
      <c r="A4" t="s">
        <v>350</v>
      </c>
      <c r="B4" t="s">
        <v>350</v>
      </c>
    </row>
    <row r="5" spans="1:2" x14ac:dyDescent="0.3">
      <c r="A5" t="s">
        <v>351</v>
      </c>
      <c r="B5" t="s">
        <v>352</v>
      </c>
    </row>
    <row r="6" spans="1:2" x14ac:dyDescent="0.3">
      <c r="A6" t="s">
        <v>353</v>
      </c>
      <c r="B6" t="s">
        <v>354</v>
      </c>
    </row>
    <row r="7" spans="1:2" x14ac:dyDescent="0.3">
      <c r="A7" t="s">
        <v>355</v>
      </c>
      <c r="B7" t="s">
        <v>356</v>
      </c>
    </row>
    <row r="8" spans="1:2" x14ac:dyDescent="0.3">
      <c r="A8" t="s">
        <v>357</v>
      </c>
      <c r="B8" t="s">
        <v>358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34E6D-758E-4F98-8325-91E78526D9D6}">
  <dimension ref="A1:D12"/>
  <sheetViews>
    <sheetView tabSelected="1" workbookViewId="0"/>
  </sheetViews>
  <sheetFormatPr defaultRowHeight="14.4" x14ac:dyDescent="0.3"/>
  <cols>
    <col min="1" max="1" width="35.6640625" bestFit="1" customWidth="1"/>
    <col min="2" max="3" width="10.6640625" bestFit="1" customWidth="1"/>
    <col min="4" max="4" width="20.6640625" bestFit="1" customWidth="1"/>
  </cols>
  <sheetData>
    <row r="1" spans="1:4" x14ac:dyDescent="0.3">
      <c r="A1" t="s">
        <v>100</v>
      </c>
      <c r="B1" t="s">
        <v>101</v>
      </c>
      <c r="C1" t="s">
        <v>213</v>
      </c>
      <c r="D1" t="s">
        <v>377</v>
      </c>
    </row>
    <row r="2" spans="1:4" x14ac:dyDescent="0.3">
      <c r="A2" t="s">
        <v>329</v>
      </c>
      <c r="D2" s="5" t="str">
        <f>IFERROR(DATEDIF(Launch_Dates!$B$4,IF(ISNUMBER(C2),DATE(C2,1,1),IF(LEN(TRIM(C2))=4,DATE(VALUE(TRIM(C2)),1,1),DATEVALUE("1 "&amp;C2))),"m"),"")</f>
        <v/>
      </c>
    </row>
    <row r="3" spans="1:4" x14ac:dyDescent="0.3">
      <c r="D3" s="5" t="str">
        <f>IFERROR(DATEDIF(Launch_Dates!$B$4,IF(ISNUMBER(C3),DATE(C3,1,1),IF(LEN(TRIM(C3))=4,DATE(VALUE(TRIM(C3)),1,1),DATEVALUE("1 "&amp;C3))),"m"),"")</f>
        <v/>
      </c>
    </row>
    <row r="4" spans="1:4" x14ac:dyDescent="0.3">
      <c r="A4" t="s">
        <v>330</v>
      </c>
      <c r="B4" t="s">
        <v>52</v>
      </c>
      <c r="C4" t="s">
        <v>331</v>
      </c>
      <c r="D4" s="5" t="str">
        <f>IFERROR(DATEDIF(Launch_Dates!$B$4,IF(ISNUMBER(C4),DATE(C4,1,1),IF(LEN(TRIM(C4))=4,DATE(VALUE(TRIM(C4)),1,1),DATEVALUE("1 "&amp;C4))),"m"),"")</f>
        <v/>
      </c>
    </row>
    <row r="5" spans="1:4" x14ac:dyDescent="0.3">
      <c r="A5" t="s">
        <v>332</v>
      </c>
      <c r="B5" t="s">
        <v>333</v>
      </c>
      <c r="C5" t="s">
        <v>156</v>
      </c>
      <c r="D5" s="5">
        <f>IFERROR(DATEDIF(Launch_Dates!$B$4,IF(ISNUMBER(C5),DATE(C5,1,1),IF(LEN(TRIM(C5))=4,DATE(VALUE(TRIM(C5)),1,1),DATEVALUE("1 "&amp;C5))),"m"),"")</f>
        <v>60</v>
      </c>
    </row>
    <row r="6" spans="1:4" x14ac:dyDescent="0.3">
      <c r="A6" t="s">
        <v>334</v>
      </c>
      <c r="B6" t="s">
        <v>335</v>
      </c>
      <c r="C6" t="s">
        <v>336</v>
      </c>
      <c r="D6" s="5">
        <f>IFERROR(DATEDIF(Launch_Dates!$B$4,IF(ISNUMBER(C6),DATE(C6,1,1),IF(LEN(TRIM(C6))=4,DATE(VALUE(TRIM(C6)),1,1),DATEVALUE("1 "&amp;C6))),"m"),"")</f>
        <v>63</v>
      </c>
    </row>
    <row r="7" spans="1:4" x14ac:dyDescent="0.3">
      <c r="A7" t="s">
        <v>337</v>
      </c>
      <c r="B7" t="s">
        <v>338</v>
      </c>
      <c r="C7" t="s">
        <v>339</v>
      </c>
      <c r="D7" s="5">
        <f>IFERROR(DATEDIF(Launch_Dates!$B$4,IF(ISNUMBER(C7),DATE(C7,1,1),IF(LEN(TRIM(C7))=4,DATE(VALUE(TRIM(C7)),1,1),DATEVALUE("1 "&amp;C7))),"m"),"")</f>
        <v>51</v>
      </c>
    </row>
    <row r="8" spans="1:4" x14ac:dyDescent="0.3">
      <c r="A8" t="s">
        <v>340</v>
      </c>
      <c r="B8" t="s">
        <v>341</v>
      </c>
      <c r="C8" t="s">
        <v>156</v>
      </c>
      <c r="D8" s="5">
        <f>IFERROR(DATEDIF(Launch_Dates!$B$4,IF(ISNUMBER(C8),DATE(C8,1,1),IF(LEN(TRIM(C8))=4,DATE(VALUE(TRIM(C8)),1,1),DATEVALUE("1 "&amp;C8))),"m"),"")</f>
        <v>60</v>
      </c>
    </row>
    <row r="9" spans="1:4" x14ac:dyDescent="0.3">
      <c r="A9" t="s">
        <v>342</v>
      </c>
      <c r="B9" t="s">
        <v>343</v>
      </c>
      <c r="C9" t="s">
        <v>156</v>
      </c>
      <c r="D9" s="5">
        <f>IFERROR(DATEDIF(Launch_Dates!$B$4,IF(ISNUMBER(C9),DATE(C9,1,1),IF(LEN(TRIM(C9))=4,DATE(VALUE(TRIM(C9)),1,1),DATEVALUE("1 "&amp;C9))),"m"),"")</f>
        <v>60</v>
      </c>
    </row>
    <row r="10" spans="1:4" x14ac:dyDescent="0.3">
      <c r="A10" t="s">
        <v>344</v>
      </c>
      <c r="B10" t="s">
        <v>345</v>
      </c>
      <c r="C10" t="s">
        <v>156</v>
      </c>
      <c r="D10" s="5">
        <f>IFERROR(DATEDIF(Launch_Dates!$B$4,IF(ISNUMBER(C10),DATE(C10,1,1),IF(LEN(TRIM(C10))=4,DATE(VALUE(TRIM(C10)),1,1),DATEVALUE("1 "&amp;C10))),"m"),"")</f>
        <v>60</v>
      </c>
    </row>
    <row r="11" spans="1:4" x14ac:dyDescent="0.3">
      <c r="D11" s="5" t="str">
        <f>IFERROR(DATEDIF(Launch_Dates!$B$4,IF(ISNUMBER(C11),DATE(C11,1,1),IF(LEN(TRIM(C11))=4,DATE(VALUE(TRIM(C11)),1,1),DATEVALUE("1 "&amp;C11))),"m"),"")</f>
        <v/>
      </c>
    </row>
    <row r="12" spans="1:4" x14ac:dyDescent="0.3">
      <c r="A12" t="s">
        <v>346</v>
      </c>
      <c r="D12" s="5" t="str">
        <f>IFERROR(DATEDIF(Launch_Dates!$B$4,IF(ISNUMBER(C12),DATE(C12,1,1),IF(LEN(TRIM(C12))=4,DATE(VALUE(TRIM(C12)),1,1),DATEVALUE("1 "&amp;C12))),"m"),"")</f>
        <v/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E3A04-4C98-48D3-8130-E465C954B82E}">
  <dimension ref="A1:D14"/>
  <sheetViews>
    <sheetView workbookViewId="0"/>
  </sheetViews>
  <sheetFormatPr defaultRowHeight="14.4" x14ac:dyDescent="0.3"/>
  <cols>
    <col min="1" max="1" width="68" bestFit="1" customWidth="1"/>
    <col min="2" max="2" width="22.109375" bestFit="1" customWidth="1"/>
    <col min="3" max="3" width="22.88671875" bestFit="1" customWidth="1"/>
    <col min="4" max="4" width="14.21875" bestFit="1" customWidth="1"/>
  </cols>
  <sheetData>
    <row r="1" spans="1:4" x14ac:dyDescent="0.3">
      <c r="A1" t="s">
        <v>100</v>
      </c>
      <c r="B1" t="s">
        <v>101</v>
      </c>
      <c r="C1" t="s">
        <v>213</v>
      </c>
      <c r="D1" t="s">
        <v>214</v>
      </c>
    </row>
    <row r="2" spans="1:4" x14ac:dyDescent="0.3">
      <c r="A2" t="s">
        <v>295</v>
      </c>
    </row>
    <row r="4" spans="1:4" x14ac:dyDescent="0.3">
      <c r="A4" t="s">
        <v>296</v>
      </c>
      <c r="B4" t="s">
        <v>297</v>
      </c>
      <c r="C4" t="s">
        <v>298</v>
      </c>
      <c r="D4" t="s">
        <v>299</v>
      </c>
    </row>
    <row r="5" spans="1:4" x14ac:dyDescent="0.3">
      <c r="A5" t="s">
        <v>300</v>
      </c>
      <c r="B5" t="s">
        <v>301</v>
      </c>
      <c r="C5" t="s">
        <v>302</v>
      </c>
      <c r="D5" t="s">
        <v>303</v>
      </c>
    </row>
    <row r="6" spans="1:4" x14ac:dyDescent="0.3">
      <c r="A6" t="s">
        <v>304</v>
      </c>
      <c r="B6" t="s">
        <v>305</v>
      </c>
      <c r="C6" t="s">
        <v>306</v>
      </c>
      <c r="D6" t="s">
        <v>303</v>
      </c>
    </row>
    <row r="7" spans="1:4" x14ac:dyDescent="0.3">
      <c r="A7" t="s">
        <v>307</v>
      </c>
      <c r="B7" t="s">
        <v>308</v>
      </c>
      <c r="C7" t="s">
        <v>309</v>
      </c>
      <c r="D7" t="s">
        <v>310</v>
      </c>
    </row>
    <row r="8" spans="1:4" x14ac:dyDescent="0.3">
      <c r="A8" t="s">
        <v>311</v>
      </c>
      <c r="B8" t="s">
        <v>312</v>
      </c>
      <c r="C8" t="s">
        <v>313</v>
      </c>
      <c r="D8" t="s">
        <v>314</v>
      </c>
    </row>
    <row r="9" spans="1:4" x14ac:dyDescent="0.3">
      <c r="A9" t="s">
        <v>315</v>
      </c>
      <c r="B9" t="s">
        <v>316</v>
      </c>
      <c r="C9" t="s">
        <v>317</v>
      </c>
      <c r="D9" t="s">
        <v>303</v>
      </c>
    </row>
    <row r="10" spans="1:4" x14ac:dyDescent="0.3">
      <c r="A10" t="s">
        <v>318</v>
      </c>
      <c r="B10" t="s">
        <v>319</v>
      </c>
      <c r="C10" t="s">
        <v>320</v>
      </c>
      <c r="D10" t="s">
        <v>303</v>
      </c>
    </row>
    <row r="11" spans="1:4" x14ac:dyDescent="0.3">
      <c r="A11" t="s">
        <v>321</v>
      </c>
      <c r="B11" t="s">
        <v>322</v>
      </c>
      <c r="C11" t="s">
        <v>323</v>
      </c>
      <c r="D11" t="s">
        <v>324</v>
      </c>
    </row>
    <row r="12" spans="1:4" x14ac:dyDescent="0.3">
      <c r="A12" t="s">
        <v>325</v>
      </c>
      <c r="B12" t="s">
        <v>326</v>
      </c>
      <c r="C12" t="s">
        <v>327</v>
      </c>
      <c r="D12" t="s">
        <v>303</v>
      </c>
    </row>
    <row r="14" spans="1:4" x14ac:dyDescent="0.3">
      <c r="A14" t="s">
        <v>328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450D6-7E9D-4CC1-BCF3-763A89B9D389}">
  <dimension ref="A1:C20"/>
  <sheetViews>
    <sheetView workbookViewId="0">
      <selection activeCell="C1" sqref="C1"/>
    </sheetView>
  </sheetViews>
  <sheetFormatPr defaultRowHeight="14.4" x14ac:dyDescent="0.3"/>
  <cols>
    <col min="1" max="1" width="20" bestFit="1" customWidth="1"/>
    <col min="2" max="2" width="21.88671875" bestFit="1" customWidth="1"/>
    <col min="3" max="3" width="20.6640625" bestFit="1" customWidth="1"/>
  </cols>
  <sheetData>
    <row r="1" spans="1:3" x14ac:dyDescent="0.3">
      <c r="A1" t="s">
        <v>293</v>
      </c>
      <c r="B1" t="s">
        <v>294</v>
      </c>
      <c r="C1" t="s">
        <v>377</v>
      </c>
    </row>
    <row r="2" spans="1:3" x14ac:dyDescent="0.3">
      <c r="A2">
        <v>0.97260000000000002</v>
      </c>
      <c r="B2" s="1">
        <v>45658</v>
      </c>
      <c r="C2" s="5">
        <f>IFERROR(DATEDIF(Launch_Dates!$B$3,B2,"m"),"")</f>
        <v>54</v>
      </c>
    </row>
    <row r="3" spans="1:3" x14ac:dyDescent="0.3">
      <c r="A3">
        <v>0.97270000000000001</v>
      </c>
      <c r="B3" s="1">
        <v>45689</v>
      </c>
      <c r="C3" s="5">
        <f>IFERROR(DATEDIF(Launch_Dates!$B$3,B3,"m"),"")</f>
        <v>55</v>
      </c>
    </row>
    <row r="4" spans="1:3" x14ac:dyDescent="0.3">
      <c r="A4">
        <v>0.97150000000000003</v>
      </c>
      <c r="B4" s="1">
        <v>45717</v>
      </c>
      <c r="C4" s="5">
        <f>IFERROR(DATEDIF(Launch_Dates!$B$3,B4,"m"),"")</f>
        <v>56</v>
      </c>
    </row>
    <row r="5" spans="1:3" x14ac:dyDescent="0.3">
      <c r="A5">
        <v>0.96509999999999996</v>
      </c>
      <c r="B5" s="1">
        <v>45748</v>
      </c>
      <c r="C5" s="5">
        <f>IFERROR(DATEDIF(Launch_Dates!$B$3,B5,"m"),"")</f>
        <v>57</v>
      </c>
    </row>
    <row r="6" spans="1:3" x14ac:dyDescent="0.3">
      <c r="A6">
        <v>0.96479999999999999</v>
      </c>
      <c r="B6" s="1">
        <v>45778</v>
      </c>
      <c r="C6" s="5">
        <f>IFERROR(DATEDIF(Launch_Dates!$B$3,B6,"m"),"")</f>
        <v>58</v>
      </c>
    </row>
    <row r="7" spans="1:3" x14ac:dyDescent="0.3">
      <c r="A7">
        <v>0.96499999999999997</v>
      </c>
      <c r="B7" s="1">
        <v>45809</v>
      </c>
      <c r="C7" s="5">
        <f>IFERROR(DATEDIF(Launch_Dates!$B$3,B7,"m"),"")</f>
        <v>59</v>
      </c>
    </row>
    <row r="8" spans="1:3" x14ac:dyDescent="0.3">
      <c r="A8">
        <v>0.97030000000000005</v>
      </c>
      <c r="B8" s="1">
        <v>45839</v>
      </c>
      <c r="C8" s="5">
        <f>IFERROR(DATEDIF(Launch_Dates!$B$3,B8,"m"),"")</f>
        <v>60</v>
      </c>
    </row>
    <row r="9" spans="1:3" x14ac:dyDescent="0.3">
      <c r="A9">
        <v>0.97599999999999998</v>
      </c>
      <c r="B9" s="1">
        <v>45870</v>
      </c>
      <c r="C9" s="5">
        <f>IFERROR(DATEDIF(Launch_Dates!$B$3,B9,"m"),"")</f>
        <v>61</v>
      </c>
    </row>
    <row r="10" spans="1:3" x14ac:dyDescent="0.3">
      <c r="A10">
        <v>0.98019999999999996</v>
      </c>
      <c r="B10" s="1">
        <v>45901</v>
      </c>
      <c r="C10" s="5">
        <f>IFERROR(DATEDIF(Launch_Dates!$B$3,B10,"m"),"")</f>
        <v>62</v>
      </c>
    </row>
    <row r="11" spans="1:3" x14ac:dyDescent="0.3">
      <c r="A11">
        <v>0.98760000000000003</v>
      </c>
      <c r="B11" s="1">
        <v>45931</v>
      </c>
      <c r="C11" s="5">
        <f>IFERROR(DATEDIF(Launch_Dates!$B$3,B11,"m"),"")</f>
        <v>63</v>
      </c>
    </row>
    <row r="12" spans="1:3" x14ac:dyDescent="0.3">
      <c r="A12">
        <v>0.98850000000000005</v>
      </c>
      <c r="B12" s="1">
        <v>45962</v>
      </c>
      <c r="C12" s="5">
        <f>IFERROR(DATEDIF(Launch_Dates!$B$3,B12,"m"),"")</f>
        <v>64</v>
      </c>
    </row>
    <row r="13" spans="1:3" x14ac:dyDescent="0.3">
      <c r="A13">
        <v>0.95230000000000004</v>
      </c>
      <c r="B13" s="1">
        <v>45992</v>
      </c>
      <c r="C13" s="5">
        <f>IFERROR(DATEDIF(Launch_Dates!$B$3,B13,"m"),"")</f>
        <v>65</v>
      </c>
    </row>
    <row r="14" spans="1:3" x14ac:dyDescent="0.3">
      <c r="A14">
        <v>0.95569999999999999</v>
      </c>
      <c r="B14" s="1">
        <v>46023</v>
      </c>
      <c r="C14" s="5">
        <f>IFERROR(DATEDIF(Launch_Dates!$B$3,B14,"m"),"")</f>
        <v>66</v>
      </c>
    </row>
    <row r="15" spans="1:3" x14ac:dyDescent="0.3">
      <c r="A15">
        <v>0.94640000000000002</v>
      </c>
      <c r="B15" s="1">
        <v>46054</v>
      </c>
      <c r="C15" s="5">
        <f>IFERROR(DATEDIF(Launch_Dates!$B$3,B15,"m"),"")</f>
        <v>67</v>
      </c>
    </row>
    <row r="16" spans="1:3" x14ac:dyDescent="0.3">
      <c r="A16">
        <v>0.92900000000000005</v>
      </c>
      <c r="B16" s="1">
        <v>46082</v>
      </c>
      <c r="C16" s="5">
        <f>IFERROR(DATEDIF(Launch_Dates!$B$3,B16,"m"),"")</f>
        <v>68</v>
      </c>
    </row>
    <row r="17" spans="1:3" x14ac:dyDescent="0.3">
      <c r="A17">
        <v>0.93920000000000003</v>
      </c>
      <c r="B17" s="1">
        <v>46113</v>
      </c>
      <c r="C17" s="5">
        <f>IFERROR(DATEDIF(Launch_Dates!$B$3,B17,"m"),"")</f>
        <v>69</v>
      </c>
    </row>
    <row r="18" spans="1:3" x14ac:dyDescent="0.3">
      <c r="A18">
        <v>0.95389999999999997</v>
      </c>
      <c r="B18" s="1">
        <v>46143</v>
      </c>
      <c r="C18" s="5">
        <f>IFERROR(DATEDIF(Launch_Dates!$B$3,B18,"m"),"")</f>
        <v>70</v>
      </c>
    </row>
    <row r="19" spans="1:3" x14ac:dyDescent="0.3">
      <c r="A19">
        <v>0.96689999999999998</v>
      </c>
      <c r="B19" s="1">
        <v>46174</v>
      </c>
      <c r="C19" s="5">
        <f>IFERROR(DATEDIF(Launch_Dates!$B$3,B19,"m"),"")</f>
        <v>71</v>
      </c>
    </row>
    <row r="20" spans="1:3" x14ac:dyDescent="0.3">
      <c r="A20">
        <v>0.98740000000000006</v>
      </c>
      <c r="B20" s="1">
        <v>46204</v>
      </c>
      <c r="C20" s="5">
        <f>IFERROR(DATEDIF(Launch_Dates!$B$3,B20,"m"),"")</f>
        <v>72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A425A-7624-44A8-A426-C00D5AD112A1}">
  <dimension ref="A1:C560"/>
  <sheetViews>
    <sheetView workbookViewId="0">
      <selection activeCell="K14" sqref="K14"/>
    </sheetView>
  </sheetViews>
  <sheetFormatPr defaultRowHeight="14.4" x14ac:dyDescent="0.3"/>
  <cols>
    <col min="1" max="1" width="14.33203125" bestFit="1" customWidth="1"/>
    <col min="2" max="2" width="20.6640625" bestFit="1" customWidth="1"/>
    <col min="3" max="3" width="16" bestFit="1" customWidth="1"/>
  </cols>
  <sheetData>
    <row r="1" spans="1:3" x14ac:dyDescent="0.3">
      <c r="A1" t="s">
        <v>290</v>
      </c>
      <c r="B1" t="s">
        <v>377</v>
      </c>
      <c r="C1" t="s">
        <v>292</v>
      </c>
    </row>
    <row r="2" spans="1:3" x14ac:dyDescent="0.3">
      <c r="A2" s="20">
        <v>45658</v>
      </c>
      <c r="B2" s="5">
        <f>IFERROR(DATEDIF(Launch_Dates!$B$3,A2,"m"),"")</f>
        <v>54</v>
      </c>
      <c r="C2">
        <v>5806118</v>
      </c>
    </row>
    <row r="3" spans="1:3" x14ac:dyDescent="0.3">
      <c r="A3" s="20">
        <v>45659</v>
      </c>
      <c r="B3" s="5">
        <f>IFERROR(DATEDIF(Launch_Dates!$B$3,A3,"m"),"")</f>
        <v>54</v>
      </c>
      <c r="C3">
        <v>5905738</v>
      </c>
    </row>
    <row r="4" spans="1:3" x14ac:dyDescent="0.3">
      <c r="A4" s="20">
        <v>45660</v>
      </c>
      <c r="B4" s="5">
        <f>IFERROR(DATEDIF(Launch_Dates!$B$3,A4,"m"),"")</f>
        <v>54</v>
      </c>
      <c r="C4">
        <v>5894974</v>
      </c>
    </row>
    <row r="5" spans="1:3" x14ac:dyDescent="0.3">
      <c r="A5" s="20">
        <v>45661</v>
      </c>
      <c r="B5" s="5">
        <f>IFERROR(DATEDIF(Launch_Dates!$B$3,A5,"m"),"")</f>
        <v>54</v>
      </c>
      <c r="C5">
        <v>5721069</v>
      </c>
    </row>
    <row r="6" spans="1:3" x14ac:dyDescent="0.3">
      <c r="A6" s="20">
        <v>45662</v>
      </c>
      <c r="B6" s="5">
        <f>IFERROR(DATEDIF(Launch_Dates!$B$3,A6,"m"),"")</f>
        <v>54</v>
      </c>
      <c r="C6">
        <v>5968843</v>
      </c>
    </row>
    <row r="7" spans="1:3" x14ac:dyDescent="0.3">
      <c r="A7" s="20">
        <v>45663</v>
      </c>
      <c r="B7" s="5">
        <f>IFERROR(DATEDIF(Launch_Dates!$B$3,A7,"m"),"")</f>
        <v>54</v>
      </c>
      <c r="C7">
        <v>6036058</v>
      </c>
    </row>
    <row r="8" spans="1:3" x14ac:dyDescent="0.3">
      <c r="A8" s="20">
        <v>45664</v>
      </c>
      <c r="B8" s="5">
        <f>IFERROR(DATEDIF(Launch_Dates!$B$3,A8,"m"),"")</f>
        <v>54</v>
      </c>
      <c r="C8">
        <v>6043566</v>
      </c>
    </row>
    <row r="9" spans="1:3" x14ac:dyDescent="0.3">
      <c r="A9" s="20">
        <v>45665</v>
      </c>
      <c r="B9" s="5">
        <f>IFERROR(DATEDIF(Launch_Dates!$B$3,A9,"m"),"")</f>
        <v>54</v>
      </c>
      <c r="C9">
        <v>6085984</v>
      </c>
    </row>
    <row r="10" spans="1:3" x14ac:dyDescent="0.3">
      <c r="A10" s="20">
        <v>45666</v>
      </c>
      <c r="B10" s="5">
        <f>IFERROR(DATEDIF(Launch_Dates!$B$3,A10,"m"),"")</f>
        <v>54</v>
      </c>
      <c r="C10">
        <v>6122979</v>
      </c>
    </row>
    <row r="11" spans="1:3" x14ac:dyDescent="0.3">
      <c r="A11" s="20">
        <v>45667</v>
      </c>
      <c r="B11" s="5">
        <f>IFERROR(DATEDIF(Launch_Dates!$B$3,A11,"m"),"")</f>
        <v>54</v>
      </c>
      <c r="C11">
        <v>6118739</v>
      </c>
    </row>
    <row r="12" spans="1:3" x14ac:dyDescent="0.3">
      <c r="A12" s="20">
        <v>45668</v>
      </c>
      <c r="B12" s="5">
        <f>IFERROR(DATEDIF(Launch_Dates!$B$3,A12,"m"),"")</f>
        <v>54</v>
      </c>
      <c r="C12">
        <v>5871858</v>
      </c>
    </row>
    <row r="13" spans="1:3" x14ac:dyDescent="0.3">
      <c r="A13" s="20">
        <v>45669</v>
      </c>
      <c r="B13" s="5">
        <f>IFERROR(DATEDIF(Launch_Dates!$B$3,A13,"m"),"")</f>
        <v>54</v>
      </c>
      <c r="C13">
        <v>6081275</v>
      </c>
    </row>
    <row r="14" spans="1:3" x14ac:dyDescent="0.3">
      <c r="A14" s="20">
        <v>45670</v>
      </c>
      <c r="B14" s="5">
        <f>IFERROR(DATEDIF(Launch_Dates!$B$3,A14,"m"),"")</f>
        <v>54</v>
      </c>
      <c r="C14">
        <v>6235024</v>
      </c>
    </row>
    <row r="15" spans="1:3" x14ac:dyDescent="0.3">
      <c r="A15" s="20">
        <v>45671</v>
      </c>
      <c r="B15" s="5">
        <f>IFERROR(DATEDIF(Launch_Dates!$B$3,A15,"m"),"")</f>
        <v>54</v>
      </c>
      <c r="C15">
        <v>6294261</v>
      </c>
    </row>
    <row r="16" spans="1:3" x14ac:dyDescent="0.3">
      <c r="A16" s="20">
        <v>45672</v>
      </c>
      <c r="B16" s="5">
        <f>IFERROR(DATEDIF(Launch_Dates!$B$3,A16,"m"),"")</f>
        <v>54</v>
      </c>
      <c r="C16">
        <v>6236404</v>
      </c>
    </row>
    <row r="17" spans="1:3" x14ac:dyDescent="0.3">
      <c r="A17" s="20">
        <v>45673</v>
      </c>
      <c r="B17" s="5">
        <f>IFERROR(DATEDIF(Launch_Dates!$B$3,A17,"m"),"")</f>
        <v>54</v>
      </c>
      <c r="C17">
        <v>6263808</v>
      </c>
    </row>
    <row r="18" spans="1:3" x14ac:dyDescent="0.3">
      <c r="A18" s="20">
        <v>45674</v>
      </c>
      <c r="B18" s="5">
        <f>IFERROR(DATEDIF(Launch_Dates!$B$3,A18,"m"),"")</f>
        <v>54</v>
      </c>
      <c r="C18">
        <v>7298021</v>
      </c>
    </row>
    <row r="19" spans="1:3" x14ac:dyDescent="0.3">
      <c r="A19" s="20">
        <v>45675</v>
      </c>
      <c r="B19" s="5">
        <f>IFERROR(DATEDIF(Launch_Dates!$B$3,A19,"m"),"")</f>
        <v>54</v>
      </c>
      <c r="C19">
        <v>7377550</v>
      </c>
    </row>
    <row r="20" spans="1:3" x14ac:dyDescent="0.3">
      <c r="A20" s="20">
        <v>45676</v>
      </c>
      <c r="B20" s="5">
        <f>IFERROR(DATEDIF(Launch_Dates!$B$3,A20,"m"),"")</f>
        <v>54</v>
      </c>
      <c r="C20">
        <v>7254362</v>
      </c>
    </row>
    <row r="21" spans="1:3" x14ac:dyDescent="0.3">
      <c r="A21" s="20">
        <v>45677</v>
      </c>
      <c r="B21" s="5">
        <f>IFERROR(DATEDIF(Launch_Dates!$B$3,A21,"m"),"")</f>
        <v>54</v>
      </c>
      <c r="C21">
        <v>7203183</v>
      </c>
    </row>
    <row r="22" spans="1:3" x14ac:dyDescent="0.3">
      <c r="A22" s="20">
        <v>45678</v>
      </c>
      <c r="B22" s="5">
        <f>IFERROR(DATEDIF(Launch_Dates!$B$3,A22,"m"),"")</f>
        <v>54</v>
      </c>
      <c r="C22">
        <v>7571482</v>
      </c>
    </row>
    <row r="23" spans="1:3" x14ac:dyDescent="0.3">
      <c r="A23" s="20">
        <v>45679</v>
      </c>
      <c r="B23" s="5">
        <f>IFERROR(DATEDIF(Launch_Dates!$B$3,A23,"m"),"")</f>
        <v>54</v>
      </c>
      <c r="C23">
        <v>7249238</v>
      </c>
    </row>
    <row r="24" spans="1:3" x14ac:dyDescent="0.3">
      <c r="A24" s="20">
        <v>45680</v>
      </c>
      <c r="B24" s="5">
        <f>IFERROR(DATEDIF(Launch_Dates!$B$3,A24,"m"),"")</f>
        <v>54</v>
      </c>
      <c r="C24">
        <v>6940276</v>
      </c>
    </row>
    <row r="25" spans="1:3" x14ac:dyDescent="0.3">
      <c r="A25" s="20">
        <v>45681</v>
      </c>
      <c r="B25" s="5">
        <f>IFERROR(DATEDIF(Launch_Dates!$B$3,A25,"m"),"")</f>
        <v>54</v>
      </c>
      <c r="C25">
        <v>6828160</v>
      </c>
    </row>
    <row r="26" spans="1:3" x14ac:dyDescent="0.3">
      <c r="A26" s="20">
        <v>45682</v>
      </c>
      <c r="B26" s="5">
        <f>IFERROR(DATEDIF(Launch_Dates!$B$3,A26,"m"),"")</f>
        <v>54</v>
      </c>
      <c r="C26">
        <v>6661122</v>
      </c>
    </row>
    <row r="27" spans="1:3" x14ac:dyDescent="0.3">
      <c r="A27" s="20">
        <v>45683</v>
      </c>
      <c r="B27" s="5">
        <f>IFERROR(DATEDIF(Launch_Dates!$B$3,A27,"m"),"")</f>
        <v>54</v>
      </c>
      <c r="C27">
        <v>6746641</v>
      </c>
    </row>
    <row r="28" spans="1:3" x14ac:dyDescent="0.3">
      <c r="A28" s="20">
        <v>45684</v>
      </c>
      <c r="B28" s="5">
        <f>IFERROR(DATEDIF(Launch_Dates!$B$3,A28,"m"),"")</f>
        <v>54</v>
      </c>
      <c r="C28">
        <v>6845293</v>
      </c>
    </row>
    <row r="29" spans="1:3" x14ac:dyDescent="0.3">
      <c r="A29" s="20">
        <v>45685</v>
      </c>
      <c r="B29" s="5">
        <f>IFERROR(DATEDIF(Launch_Dates!$B$3,A29,"m"),"")</f>
        <v>54</v>
      </c>
      <c r="C29">
        <v>6879682</v>
      </c>
    </row>
    <row r="30" spans="1:3" x14ac:dyDescent="0.3">
      <c r="A30" s="20">
        <v>45686</v>
      </c>
      <c r="B30" s="5">
        <f>IFERROR(DATEDIF(Launch_Dates!$B$3,A30,"m"),"")</f>
        <v>54</v>
      </c>
      <c r="C30">
        <v>7287186</v>
      </c>
    </row>
    <row r="31" spans="1:3" x14ac:dyDescent="0.3">
      <c r="A31" s="20">
        <v>45687</v>
      </c>
      <c r="B31" s="5">
        <f>IFERROR(DATEDIF(Launch_Dates!$B$3,A31,"m"),"")</f>
        <v>54</v>
      </c>
      <c r="C31">
        <v>7033013</v>
      </c>
    </row>
    <row r="32" spans="1:3" x14ac:dyDescent="0.3">
      <c r="A32" s="20">
        <v>45688</v>
      </c>
      <c r="B32" s="5">
        <f>IFERROR(DATEDIF(Launch_Dates!$B$3,A32,"m"),"")</f>
        <v>54</v>
      </c>
      <c r="C32">
        <v>8102153</v>
      </c>
    </row>
    <row r="33" spans="1:3" x14ac:dyDescent="0.3">
      <c r="A33" s="20">
        <v>45689</v>
      </c>
      <c r="B33" s="5">
        <f>IFERROR(DATEDIF(Launch_Dates!$B$3,A33,"m"),"")</f>
        <v>55</v>
      </c>
      <c r="C33">
        <v>5284526</v>
      </c>
    </row>
    <row r="34" spans="1:3" x14ac:dyDescent="0.3">
      <c r="A34" s="20">
        <v>45690</v>
      </c>
      <c r="B34" s="5">
        <f>IFERROR(DATEDIF(Launch_Dates!$B$3,A34,"m"),"")</f>
        <v>55</v>
      </c>
      <c r="C34">
        <v>5144697</v>
      </c>
    </row>
    <row r="35" spans="1:3" x14ac:dyDescent="0.3">
      <c r="A35" s="20">
        <v>45691</v>
      </c>
      <c r="B35" s="5">
        <f>IFERROR(DATEDIF(Launch_Dates!$B$3,A35,"m"),"")</f>
        <v>55</v>
      </c>
      <c r="C35">
        <v>5401839</v>
      </c>
    </row>
    <row r="36" spans="1:3" x14ac:dyDescent="0.3">
      <c r="A36" s="20">
        <v>45692</v>
      </c>
      <c r="B36" s="5">
        <f>IFERROR(DATEDIF(Launch_Dates!$B$3,A36,"m"),"")</f>
        <v>55</v>
      </c>
      <c r="C36">
        <v>5118145</v>
      </c>
    </row>
    <row r="37" spans="1:3" x14ac:dyDescent="0.3">
      <c r="A37" s="20">
        <v>45693</v>
      </c>
      <c r="B37" s="5">
        <f>IFERROR(DATEDIF(Launch_Dates!$B$3,A37,"m"),"")</f>
        <v>55</v>
      </c>
      <c r="C37">
        <v>4907219</v>
      </c>
    </row>
    <row r="38" spans="1:3" x14ac:dyDescent="0.3">
      <c r="A38" s="20">
        <v>45694</v>
      </c>
      <c r="B38" s="5">
        <f>IFERROR(DATEDIF(Launch_Dates!$B$3,A38,"m"),"")</f>
        <v>55</v>
      </c>
      <c r="C38">
        <v>5241425</v>
      </c>
    </row>
    <row r="39" spans="1:3" x14ac:dyDescent="0.3">
      <c r="A39" s="20">
        <v>45695</v>
      </c>
      <c r="B39" s="5">
        <f>IFERROR(DATEDIF(Launch_Dates!$B$3,A39,"m"),"")</f>
        <v>55</v>
      </c>
      <c r="C39">
        <v>5203696</v>
      </c>
    </row>
    <row r="40" spans="1:3" x14ac:dyDescent="0.3">
      <c r="A40" s="20">
        <v>45696</v>
      </c>
      <c r="B40" s="5">
        <f>IFERROR(DATEDIF(Launch_Dates!$B$3,A40,"m"),"")</f>
        <v>55</v>
      </c>
      <c r="C40">
        <v>5212669</v>
      </c>
    </row>
    <row r="41" spans="1:3" x14ac:dyDescent="0.3">
      <c r="A41" s="20">
        <v>45697</v>
      </c>
      <c r="B41" s="5">
        <f>IFERROR(DATEDIF(Launch_Dates!$B$3,A41,"m"),"")</f>
        <v>55</v>
      </c>
      <c r="C41">
        <v>5542791</v>
      </c>
    </row>
    <row r="42" spans="1:3" x14ac:dyDescent="0.3">
      <c r="A42" s="20">
        <v>45698</v>
      </c>
      <c r="B42" s="5">
        <f>IFERROR(DATEDIF(Launch_Dates!$B$3,A42,"m"),"")</f>
        <v>55</v>
      </c>
      <c r="C42">
        <v>5554648</v>
      </c>
    </row>
    <row r="43" spans="1:3" x14ac:dyDescent="0.3">
      <c r="A43" s="20">
        <v>45699</v>
      </c>
      <c r="B43" s="5">
        <f>IFERROR(DATEDIF(Launch_Dates!$B$3,A43,"m"),"")</f>
        <v>55</v>
      </c>
      <c r="C43">
        <v>5517146</v>
      </c>
    </row>
    <row r="44" spans="1:3" x14ac:dyDescent="0.3">
      <c r="A44" s="20">
        <v>45700</v>
      </c>
      <c r="B44" s="5">
        <f>IFERROR(DATEDIF(Launch_Dates!$B$3,A44,"m"),"")</f>
        <v>55</v>
      </c>
      <c r="C44">
        <v>5517969</v>
      </c>
    </row>
    <row r="45" spans="1:3" x14ac:dyDescent="0.3">
      <c r="A45" s="20">
        <v>45701</v>
      </c>
      <c r="B45" s="5">
        <f>IFERROR(DATEDIF(Launch_Dates!$B$3,A45,"m"),"")</f>
        <v>55</v>
      </c>
      <c r="C45">
        <v>5960722</v>
      </c>
    </row>
    <row r="46" spans="1:3" x14ac:dyDescent="0.3">
      <c r="A46" s="20">
        <v>45702</v>
      </c>
      <c r="B46" s="5">
        <f>IFERROR(DATEDIF(Launch_Dates!$B$3,A46,"m"),"")</f>
        <v>55</v>
      </c>
      <c r="C46">
        <v>5879722</v>
      </c>
    </row>
    <row r="47" spans="1:3" x14ac:dyDescent="0.3">
      <c r="A47" s="20">
        <v>45703</v>
      </c>
      <c r="B47" s="5">
        <f>IFERROR(DATEDIF(Launch_Dates!$B$3,A47,"m"),"")</f>
        <v>55</v>
      </c>
      <c r="C47">
        <v>5618859</v>
      </c>
    </row>
    <row r="48" spans="1:3" x14ac:dyDescent="0.3">
      <c r="A48" s="20">
        <v>45704</v>
      </c>
      <c r="B48" s="5">
        <f>IFERROR(DATEDIF(Launch_Dates!$B$3,A48,"m"),"")</f>
        <v>55</v>
      </c>
      <c r="C48">
        <v>5953877</v>
      </c>
    </row>
    <row r="49" spans="1:3" x14ac:dyDescent="0.3">
      <c r="A49" s="20">
        <v>45705</v>
      </c>
      <c r="B49" s="5">
        <f>IFERROR(DATEDIF(Launch_Dates!$B$3,A49,"m"),"")</f>
        <v>55</v>
      </c>
      <c r="C49">
        <v>5777749</v>
      </c>
    </row>
    <row r="50" spans="1:3" x14ac:dyDescent="0.3">
      <c r="A50" s="20">
        <v>45706</v>
      </c>
      <c r="B50" s="5">
        <f>IFERROR(DATEDIF(Launch_Dates!$B$3,A50,"m"),"")</f>
        <v>55</v>
      </c>
      <c r="C50">
        <v>5706570</v>
      </c>
    </row>
    <row r="51" spans="1:3" x14ac:dyDescent="0.3">
      <c r="A51" s="20">
        <v>45707</v>
      </c>
      <c r="B51" s="5">
        <f>IFERROR(DATEDIF(Launch_Dates!$B$3,A51,"m"),"")</f>
        <v>55</v>
      </c>
      <c r="C51">
        <v>5850137</v>
      </c>
    </row>
    <row r="52" spans="1:3" x14ac:dyDescent="0.3">
      <c r="A52" s="20">
        <v>45708</v>
      </c>
      <c r="B52" s="5">
        <f>IFERROR(DATEDIF(Launch_Dates!$B$3,A52,"m"),"")</f>
        <v>55</v>
      </c>
      <c r="C52">
        <v>6187124</v>
      </c>
    </row>
    <row r="53" spans="1:3" x14ac:dyDescent="0.3">
      <c r="A53" s="20">
        <v>45709</v>
      </c>
      <c r="B53" s="5">
        <f>IFERROR(DATEDIF(Launch_Dates!$B$3,A53,"m"),"")</f>
        <v>55</v>
      </c>
      <c r="C53">
        <v>5658508</v>
      </c>
    </row>
    <row r="54" spans="1:3" x14ac:dyDescent="0.3">
      <c r="A54" s="20">
        <v>45710</v>
      </c>
      <c r="B54" s="5">
        <f>IFERROR(DATEDIF(Launch_Dates!$B$3,A54,"m"),"")</f>
        <v>55</v>
      </c>
      <c r="C54">
        <v>5162491</v>
      </c>
    </row>
    <row r="55" spans="1:3" x14ac:dyDescent="0.3">
      <c r="A55" s="20">
        <v>45711</v>
      </c>
      <c r="B55" s="5">
        <f>IFERROR(DATEDIF(Launch_Dates!$B$3,A55,"m"),"")</f>
        <v>55</v>
      </c>
      <c r="C55">
        <v>5444663</v>
      </c>
    </row>
    <row r="56" spans="1:3" x14ac:dyDescent="0.3">
      <c r="A56" s="20">
        <v>45712</v>
      </c>
      <c r="B56" s="5">
        <f>IFERROR(DATEDIF(Launch_Dates!$B$3,A56,"m"),"")</f>
        <v>55</v>
      </c>
      <c r="C56">
        <v>5422863</v>
      </c>
    </row>
    <row r="57" spans="1:3" x14ac:dyDescent="0.3">
      <c r="A57" s="20">
        <v>45713</v>
      </c>
      <c r="B57" s="5">
        <f>IFERROR(DATEDIF(Launch_Dates!$B$3,A57,"m"),"")</f>
        <v>55</v>
      </c>
      <c r="C57">
        <v>5508048</v>
      </c>
    </row>
    <row r="58" spans="1:3" x14ac:dyDescent="0.3">
      <c r="A58" s="20">
        <v>45714</v>
      </c>
      <c r="B58" s="5">
        <f>IFERROR(DATEDIF(Launch_Dates!$B$3,A58,"m"),"")</f>
        <v>55</v>
      </c>
      <c r="C58">
        <v>6396191</v>
      </c>
    </row>
    <row r="59" spans="1:3" x14ac:dyDescent="0.3">
      <c r="A59" s="20">
        <v>45715</v>
      </c>
      <c r="B59" s="5">
        <f>IFERROR(DATEDIF(Launch_Dates!$B$3,A59,"m"),"")</f>
        <v>55</v>
      </c>
      <c r="C59">
        <v>6121399</v>
      </c>
    </row>
    <row r="60" spans="1:3" x14ac:dyDescent="0.3">
      <c r="A60" s="20">
        <v>45716</v>
      </c>
      <c r="B60" s="5">
        <f>IFERROR(DATEDIF(Launch_Dates!$B$3,A60,"m"),"")</f>
        <v>55</v>
      </c>
      <c r="C60">
        <v>6191744</v>
      </c>
    </row>
    <row r="61" spans="1:3" x14ac:dyDescent="0.3">
      <c r="A61" s="20">
        <v>45717</v>
      </c>
      <c r="B61" s="5">
        <f>IFERROR(DATEDIF(Launch_Dates!$B$3,A61,"m"),"")</f>
        <v>56</v>
      </c>
      <c r="C61">
        <v>6105410</v>
      </c>
    </row>
    <row r="62" spans="1:3" x14ac:dyDescent="0.3">
      <c r="A62" s="20">
        <v>45718</v>
      </c>
      <c r="B62" s="5">
        <f>IFERROR(DATEDIF(Launch_Dates!$B$3,A62,"m"),"")</f>
        <v>56</v>
      </c>
      <c r="C62">
        <v>6321990</v>
      </c>
    </row>
    <row r="63" spans="1:3" x14ac:dyDescent="0.3">
      <c r="A63" s="20">
        <v>45719</v>
      </c>
      <c r="B63" s="5">
        <f>IFERROR(DATEDIF(Launch_Dates!$B$3,A63,"m"),"")</f>
        <v>56</v>
      </c>
      <c r="C63">
        <v>6301329</v>
      </c>
    </row>
    <row r="64" spans="1:3" x14ac:dyDescent="0.3">
      <c r="A64" s="20">
        <v>45720</v>
      </c>
      <c r="B64" s="5">
        <f>IFERROR(DATEDIF(Launch_Dates!$B$3,A64,"m"),"")</f>
        <v>56</v>
      </c>
      <c r="C64">
        <v>5723055</v>
      </c>
    </row>
    <row r="65" spans="1:3" x14ac:dyDescent="0.3">
      <c r="A65" s="20">
        <v>45721</v>
      </c>
      <c r="B65" s="5">
        <f>IFERROR(DATEDIF(Launch_Dates!$B$3,A65,"m"),"")</f>
        <v>56</v>
      </c>
      <c r="C65">
        <v>5981632</v>
      </c>
    </row>
    <row r="66" spans="1:3" x14ac:dyDescent="0.3">
      <c r="A66" s="20">
        <v>45722</v>
      </c>
      <c r="B66" s="5">
        <f>IFERROR(DATEDIF(Launch_Dates!$B$3,A66,"m"),"")</f>
        <v>56</v>
      </c>
      <c r="C66">
        <v>5928214</v>
      </c>
    </row>
    <row r="67" spans="1:3" x14ac:dyDescent="0.3">
      <c r="A67" s="20">
        <v>45723</v>
      </c>
      <c r="B67" s="5">
        <f>IFERROR(DATEDIF(Launch_Dates!$B$3,A67,"m"),"")</f>
        <v>56</v>
      </c>
      <c r="C67">
        <v>6184427</v>
      </c>
    </row>
    <row r="68" spans="1:3" x14ac:dyDescent="0.3">
      <c r="A68" s="20">
        <v>45724</v>
      </c>
      <c r="B68" s="5">
        <f>IFERROR(DATEDIF(Launch_Dates!$B$3,A68,"m"),"")</f>
        <v>56</v>
      </c>
      <c r="C68">
        <v>5944047</v>
      </c>
    </row>
    <row r="69" spans="1:3" x14ac:dyDescent="0.3">
      <c r="A69" s="20">
        <v>45725</v>
      </c>
      <c r="B69" s="5">
        <f>IFERROR(DATEDIF(Launch_Dates!$B$3,A69,"m"),"")</f>
        <v>56</v>
      </c>
      <c r="C69">
        <v>6236064</v>
      </c>
    </row>
    <row r="70" spans="1:3" x14ac:dyDescent="0.3">
      <c r="A70" s="20">
        <v>45726</v>
      </c>
      <c r="B70" s="5">
        <f>IFERROR(DATEDIF(Launch_Dates!$B$3,A70,"m"),"")</f>
        <v>56</v>
      </c>
      <c r="C70">
        <v>6261671</v>
      </c>
    </row>
    <row r="71" spans="1:3" x14ac:dyDescent="0.3">
      <c r="A71" s="20">
        <v>45727</v>
      </c>
      <c r="B71" s="5">
        <f>IFERROR(DATEDIF(Launch_Dates!$B$3,A71,"m"),"")</f>
        <v>56</v>
      </c>
      <c r="C71">
        <v>6008308</v>
      </c>
    </row>
    <row r="72" spans="1:3" x14ac:dyDescent="0.3">
      <c r="A72" s="20">
        <v>45728</v>
      </c>
      <c r="B72" s="5">
        <f>IFERROR(DATEDIF(Launch_Dates!$B$3,A72,"m"),"")</f>
        <v>56</v>
      </c>
      <c r="C72">
        <v>6067951</v>
      </c>
    </row>
    <row r="73" spans="1:3" x14ac:dyDescent="0.3">
      <c r="A73" s="20">
        <v>45729</v>
      </c>
      <c r="B73" s="5">
        <f>IFERROR(DATEDIF(Launch_Dates!$B$3,A73,"m"),"")</f>
        <v>56</v>
      </c>
      <c r="C73">
        <v>6330902</v>
      </c>
    </row>
    <row r="74" spans="1:3" x14ac:dyDescent="0.3">
      <c r="A74" s="20">
        <v>45730</v>
      </c>
      <c r="B74" s="5">
        <f>IFERROR(DATEDIF(Launch_Dates!$B$3,A74,"m"),"")</f>
        <v>56</v>
      </c>
      <c r="C74">
        <v>6325984</v>
      </c>
    </row>
    <row r="75" spans="1:3" x14ac:dyDescent="0.3">
      <c r="A75" s="20">
        <v>45731</v>
      </c>
      <c r="B75" s="5">
        <f>IFERROR(DATEDIF(Launch_Dates!$B$3,A75,"m"),"")</f>
        <v>56</v>
      </c>
      <c r="C75">
        <v>5706285</v>
      </c>
    </row>
    <row r="76" spans="1:3" x14ac:dyDescent="0.3">
      <c r="A76" s="20">
        <v>45732</v>
      </c>
      <c r="B76" s="5">
        <f>IFERROR(DATEDIF(Launch_Dates!$B$3,A76,"m"),"")</f>
        <v>56</v>
      </c>
      <c r="C76">
        <v>5443146</v>
      </c>
    </row>
    <row r="77" spans="1:3" x14ac:dyDescent="0.3">
      <c r="A77" s="20">
        <v>45733</v>
      </c>
      <c r="B77" s="5">
        <f>IFERROR(DATEDIF(Launch_Dates!$B$3,A77,"m"),"")</f>
        <v>56</v>
      </c>
      <c r="C77">
        <v>5859943</v>
      </c>
    </row>
    <row r="78" spans="1:3" x14ac:dyDescent="0.3">
      <c r="A78" s="20">
        <v>45734</v>
      </c>
      <c r="B78" s="5">
        <f>IFERROR(DATEDIF(Launch_Dates!$B$3,A78,"m"),"")</f>
        <v>56</v>
      </c>
      <c r="C78">
        <v>5711790</v>
      </c>
    </row>
    <row r="79" spans="1:3" x14ac:dyDescent="0.3">
      <c r="A79" s="20">
        <v>45735</v>
      </c>
      <c r="B79" s="5">
        <f>IFERROR(DATEDIF(Launch_Dates!$B$3,A79,"m"),"")</f>
        <v>56</v>
      </c>
      <c r="C79">
        <v>5755815</v>
      </c>
    </row>
    <row r="80" spans="1:3" x14ac:dyDescent="0.3">
      <c r="A80" s="20">
        <v>45736</v>
      </c>
      <c r="B80" s="5">
        <f>IFERROR(DATEDIF(Launch_Dates!$B$3,A80,"m"),"")</f>
        <v>56</v>
      </c>
      <c r="C80">
        <v>5726416</v>
      </c>
    </row>
    <row r="81" spans="1:3" x14ac:dyDescent="0.3">
      <c r="A81" s="20">
        <v>45737</v>
      </c>
      <c r="B81" s="5">
        <f>IFERROR(DATEDIF(Launch_Dates!$B$3,A81,"m"),"")</f>
        <v>56</v>
      </c>
      <c r="C81">
        <v>5847748</v>
      </c>
    </row>
    <row r="82" spans="1:3" x14ac:dyDescent="0.3">
      <c r="A82" s="20">
        <v>45738</v>
      </c>
      <c r="B82" s="5">
        <f>IFERROR(DATEDIF(Launch_Dates!$B$3,A82,"m"),"")</f>
        <v>56</v>
      </c>
      <c r="C82">
        <v>5608204</v>
      </c>
    </row>
    <row r="83" spans="1:3" x14ac:dyDescent="0.3">
      <c r="A83" s="20">
        <v>45739</v>
      </c>
      <c r="B83" s="5">
        <f>IFERROR(DATEDIF(Launch_Dates!$B$3,A83,"m"),"")</f>
        <v>56</v>
      </c>
      <c r="C83">
        <v>6193450</v>
      </c>
    </row>
    <row r="84" spans="1:3" x14ac:dyDescent="0.3">
      <c r="A84" s="20">
        <v>45740</v>
      </c>
      <c r="B84" s="5">
        <f>IFERROR(DATEDIF(Launch_Dates!$B$3,A84,"m"),"")</f>
        <v>56</v>
      </c>
      <c r="C84">
        <v>6002037</v>
      </c>
    </row>
    <row r="85" spans="1:3" x14ac:dyDescent="0.3">
      <c r="A85" s="20">
        <v>45741</v>
      </c>
      <c r="B85" s="5">
        <f>IFERROR(DATEDIF(Launch_Dates!$B$3,A85,"m"),"")</f>
        <v>56</v>
      </c>
      <c r="C85">
        <v>5912226</v>
      </c>
    </row>
    <row r="86" spans="1:3" x14ac:dyDescent="0.3">
      <c r="A86" s="20">
        <v>45742</v>
      </c>
      <c r="B86" s="5">
        <f>IFERROR(DATEDIF(Launch_Dates!$B$3,A86,"m"),"")</f>
        <v>56</v>
      </c>
      <c r="C86">
        <v>5884290</v>
      </c>
    </row>
    <row r="87" spans="1:3" x14ac:dyDescent="0.3">
      <c r="A87" s="20">
        <v>45743</v>
      </c>
      <c r="B87" s="5">
        <f>IFERROR(DATEDIF(Launch_Dates!$B$3,A87,"m"),"")</f>
        <v>56</v>
      </c>
      <c r="C87">
        <v>6156801</v>
      </c>
    </row>
    <row r="88" spans="1:3" x14ac:dyDescent="0.3">
      <c r="A88" s="20">
        <v>45744</v>
      </c>
      <c r="B88" s="5">
        <f>IFERROR(DATEDIF(Launch_Dates!$B$3,A88,"m"),"")</f>
        <v>56</v>
      </c>
      <c r="C88">
        <v>6103216</v>
      </c>
    </row>
    <row r="89" spans="1:3" x14ac:dyDescent="0.3">
      <c r="A89" s="20">
        <v>45745</v>
      </c>
      <c r="B89" s="5">
        <f>IFERROR(DATEDIF(Launch_Dates!$B$3,A89,"m"),"")</f>
        <v>56</v>
      </c>
      <c r="C89">
        <v>6031617</v>
      </c>
    </row>
    <row r="90" spans="1:3" x14ac:dyDescent="0.3">
      <c r="A90" s="20">
        <v>45746</v>
      </c>
      <c r="B90" s="5">
        <f>IFERROR(DATEDIF(Launch_Dates!$B$3,A90,"m"),"")</f>
        <v>56</v>
      </c>
      <c r="C90">
        <v>6459900</v>
      </c>
    </row>
    <row r="91" spans="1:3" x14ac:dyDescent="0.3">
      <c r="A91" s="20">
        <v>45747</v>
      </c>
      <c r="B91" s="5">
        <f>IFERROR(DATEDIF(Launch_Dates!$B$3,A91,"m"),"")</f>
        <v>56</v>
      </c>
      <c r="C91">
        <v>6544460</v>
      </c>
    </row>
    <row r="92" spans="1:3" x14ac:dyDescent="0.3">
      <c r="A92" s="20">
        <v>45748</v>
      </c>
      <c r="B92" s="5">
        <f>IFERROR(DATEDIF(Launch_Dates!$B$3,A92,"m"),"")</f>
        <v>57</v>
      </c>
      <c r="C92">
        <v>6493063</v>
      </c>
    </row>
    <row r="93" spans="1:3" x14ac:dyDescent="0.3">
      <c r="A93" s="20">
        <v>45749</v>
      </c>
      <c r="B93" s="5">
        <f>IFERROR(DATEDIF(Launch_Dates!$B$3,A93,"m"),"")</f>
        <v>57</v>
      </c>
      <c r="C93">
        <v>6377867</v>
      </c>
    </row>
    <row r="94" spans="1:3" x14ac:dyDescent="0.3">
      <c r="A94" s="20">
        <v>45750</v>
      </c>
      <c r="B94" s="5">
        <f>IFERROR(DATEDIF(Launch_Dates!$B$3,A94,"m"),"")</f>
        <v>57</v>
      </c>
      <c r="C94">
        <v>6258643</v>
      </c>
    </row>
    <row r="95" spans="1:3" x14ac:dyDescent="0.3">
      <c r="A95" s="20">
        <v>45751</v>
      </c>
      <c r="B95" s="5">
        <f>IFERROR(DATEDIF(Launch_Dates!$B$3,A95,"m"),"")</f>
        <v>57</v>
      </c>
      <c r="C95">
        <v>7130585</v>
      </c>
    </row>
    <row r="96" spans="1:3" x14ac:dyDescent="0.3">
      <c r="A96" s="20">
        <v>45752</v>
      </c>
      <c r="B96" s="5">
        <f>IFERROR(DATEDIF(Launch_Dates!$B$3,A96,"m"),"")</f>
        <v>57</v>
      </c>
      <c r="C96">
        <v>6628792</v>
      </c>
    </row>
    <row r="97" spans="1:3" x14ac:dyDescent="0.3">
      <c r="A97" s="20">
        <v>45753</v>
      </c>
      <c r="B97" s="5">
        <f>IFERROR(DATEDIF(Launch_Dates!$B$3,A97,"m"),"")</f>
        <v>57</v>
      </c>
      <c r="C97">
        <v>6989912</v>
      </c>
    </row>
    <row r="98" spans="1:3" x14ac:dyDescent="0.3">
      <c r="A98" s="20">
        <v>45754</v>
      </c>
      <c r="B98" s="5">
        <f>IFERROR(DATEDIF(Launch_Dates!$B$3,A98,"m"),"")</f>
        <v>57</v>
      </c>
      <c r="C98">
        <v>6931283</v>
      </c>
    </row>
    <row r="99" spans="1:3" x14ac:dyDescent="0.3">
      <c r="A99" s="20">
        <v>45755</v>
      </c>
      <c r="B99" s="5">
        <f>IFERROR(DATEDIF(Launch_Dates!$B$3,A99,"m"),"")</f>
        <v>57</v>
      </c>
      <c r="C99">
        <v>7364671</v>
      </c>
    </row>
    <row r="100" spans="1:3" x14ac:dyDescent="0.3">
      <c r="A100" s="20">
        <v>45756</v>
      </c>
      <c r="B100" s="5">
        <f>IFERROR(DATEDIF(Launch_Dates!$B$3,A100,"m"),"")</f>
        <v>57</v>
      </c>
      <c r="C100">
        <v>7057198</v>
      </c>
    </row>
    <row r="101" spans="1:3" x14ac:dyDescent="0.3">
      <c r="A101" s="20">
        <v>45757</v>
      </c>
      <c r="B101" s="5">
        <f>IFERROR(DATEDIF(Launch_Dates!$B$3,A101,"m"),"")</f>
        <v>57</v>
      </c>
      <c r="C101">
        <v>7184460</v>
      </c>
    </row>
    <row r="102" spans="1:3" x14ac:dyDescent="0.3">
      <c r="A102" s="20">
        <v>45758</v>
      </c>
      <c r="B102" s="5">
        <f>IFERROR(DATEDIF(Launch_Dates!$B$3,A102,"m"),"")</f>
        <v>57</v>
      </c>
      <c r="C102">
        <v>7076088</v>
      </c>
    </row>
    <row r="103" spans="1:3" x14ac:dyDescent="0.3">
      <c r="A103" s="20">
        <v>45759</v>
      </c>
      <c r="B103" s="5">
        <f>IFERROR(DATEDIF(Launch_Dates!$B$3,A103,"m"),"")</f>
        <v>57</v>
      </c>
      <c r="C103">
        <v>6335676</v>
      </c>
    </row>
    <row r="104" spans="1:3" x14ac:dyDescent="0.3">
      <c r="A104" s="20">
        <v>45760</v>
      </c>
      <c r="B104" s="5">
        <f>IFERROR(DATEDIF(Launch_Dates!$B$3,A104,"m"),"")</f>
        <v>57</v>
      </c>
      <c r="C104">
        <v>7363808</v>
      </c>
    </row>
    <row r="105" spans="1:3" x14ac:dyDescent="0.3">
      <c r="A105" s="20">
        <v>45761</v>
      </c>
      <c r="B105" s="5">
        <f>IFERROR(DATEDIF(Launch_Dates!$B$3,A105,"m"),"")</f>
        <v>57</v>
      </c>
      <c r="C105">
        <v>6958646</v>
      </c>
    </row>
    <row r="106" spans="1:3" x14ac:dyDescent="0.3">
      <c r="A106" s="20">
        <v>45762</v>
      </c>
      <c r="B106" s="5">
        <f>IFERROR(DATEDIF(Launch_Dates!$B$3,A106,"m"),"")</f>
        <v>57</v>
      </c>
      <c r="C106">
        <v>6871024</v>
      </c>
    </row>
    <row r="107" spans="1:3" x14ac:dyDescent="0.3">
      <c r="A107" s="20">
        <v>45763</v>
      </c>
      <c r="B107" s="5">
        <f>IFERROR(DATEDIF(Launch_Dates!$B$3,A107,"m"),"")</f>
        <v>57</v>
      </c>
      <c r="C107">
        <v>6484218</v>
      </c>
    </row>
    <row r="108" spans="1:3" x14ac:dyDescent="0.3">
      <c r="A108" s="20">
        <v>45764</v>
      </c>
      <c r="B108" s="5">
        <f>IFERROR(DATEDIF(Launch_Dates!$B$3,A108,"m"),"")</f>
        <v>57</v>
      </c>
      <c r="C108">
        <v>6787514</v>
      </c>
    </row>
    <row r="109" spans="1:3" x14ac:dyDescent="0.3">
      <c r="A109" s="20">
        <v>45765</v>
      </c>
      <c r="B109" s="5">
        <f>IFERROR(DATEDIF(Launch_Dates!$B$3,A109,"m"),"")</f>
        <v>57</v>
      </c>
      <c r="C109">
        <v>6452615</v>
      </c>
    </row>
    <row r="110" spans="1:3" x14ac:dyDescent="0.3">
      <c r="A110" s="20">
        <v>45766</v>
      </c>
      <c r="B110" s="5">
        <f>IFERROR(DATEDIF(Launch_Dates!$B$3,A110,"m"),"")</f>
        <v>57</v>
      </c>
      <c r="C110">
        <v>6259888</v>
      </c>
    </row>
    <row r="111" spans="1:3" x14ac:dyDescent="0.3">
      <c r="A111" s="20">
        <v>45767</v>
      </c>
      <c r="B111" s="5">
        <f>IFERROR(DATEDIF(Launch_Dates!$B$3,A111,"m"),"")</f>
        <v>57</v>
      </c>
      <c r="C111">
        <v>6550232</v>
      </c>
    </row>
    <row r="112" spans="1:3" x14ac:dyDescent="0.3">
      <c r="A112" s="20">
        <v>45768</v>
      </c>
      <c r="B112" s="5">
        <f>IFERROR(DATEDIF(Launch_Dates!$B$3,A112,"m"),"")</f>
        <v>57</v>
      </c>
      <c r="C112">
        <v>6573528</v>
      </c>
    </row>
    <row r="113" spans="1:3" x14ac:dyDescent="0.3">
      <c r="A113" s="20">
        <v>45769</v>
      </c>
      <c r="B113" s="5">
        <f>IFERROR(DATEDIF(Launch_Dates!$B$3,A113,"m"),"")</f>
        <v>57</v>
      </c>
      <c r="C113">
        <v>6689163</v>
      </c>
    </row>
    <row r="114" spans="1:3" x14ac:dyDescent="0.3">
      <c r="A114" s="20">
        <v>45770</v>
      </c>
      <c r="B114" s="5">
        <f>IFERROR(DATEDIF(Launch_Dates!$B$3,A114,"m"),"")</f>
        <v>57</v>
      </c>
      <c r="C114">
        <v>6948794</v>
      </c>
    </row>
    <row r="115" spans="1:3" x14ac:dyDescent="0.3">
      <c r="A115" s="20">
        <v>45771</v>
      </c>
      <c r="B115" s="5">
        <f>IFERROR(DATEDIF(Launch_Dates!$B$3,A115,"m"),"")</f>
        <v>57</v>
      </c>
      <c r="C115">
        <v>6909846</v>
      </c>
    </row>
    <row r="116" spans="1:3" x14ac:dyDescent="0.3">
      <c r="A116" s="20">
        <v>45772</v>
      </c>
      <c r="B116" s="5">
        <f>IFERROR(DATEDIF(Launch_Dates!$B$3,A116,"m"),"")</f>
        <v>57</v>
      </c>
      <c r="C116">
        <v>6737671</v>
      </c>
    </row>
    <row r="117" spans="1:3" x14ac:dyDescent="0.3">
      <c r="A117" s="20">
        <v>45773</v>
      </c>
      <c r="B117" s="5">
        <f>IFERROR(DATEDIF(Launch_Dates!$B$3,A117,"m"),"")</f>
        <v>57</v>
      </c>
      <c r="C117">
        <v>6567882</v>
      </c>
    </row>
    <row r="118" spans="1:3" x14ac:dyDescent="0.3">
      <c r="A118" s="20">
        <v>45774</v>
      </c>
      <c r="B118" s="5">
        <f>IFERROR(DATEDIF(Launch_Dates!$B$3,A118,"m"),"")</f>
        <v>57</v>
      </c>
      <c r="C118">
        <v>6697368</v>
      </c>
    </row>
    <row r="119" spans="1:3" x14ac:dyDescent="0.3">
      <c r="A119" s="20">
        <v>45775</v>
      </c>
      <c r="B119" s="5">
        <f>IFERROR(DATEDIF(Launch_Dates!$B$3,A119,"m"),"")</f>
        <v>57</v>
      </c>
      <c r="C119">
        <v>6350587</v>
      </c>
    </row>
    <row r="120" spans="1:3" x14ac:dyDescent="0.3">
      <c r="A120" s="20">
        <v>45776</v>
      </c>
      <c r="B120" s="5">
        <f>IFERROR(DATEDIF(Launch_Dates!$B$3,A120,"m"),"")</f>
        <v>57</v>
      </c>
      <c r="C120">
        <v>6464605</v>
      </c>
    </row>
    <row r="121" spans="1:3" x14ac:dyDescent="0.3">
      <c r="A121" s="20">
        <v>45777</v>
      </c>
      <c r="B121" s="5">
        <f>IFERROR(DATEDIF(Launch_Dates!$B$3,A121,"m"),"")</f>
        <v>57</v>
      </c>
      <c r="C121">
        <v>6422004</v>
      </c>
    </row>
    <row r="122" spans="1:3" x14ac:dyDescent="0.3">
      <c r="A122" s="20">
        <v>45778</v>
      </c>
      <c r="B122" s="5">
        <f>IFERROR(DATEDIF(Launch_Dates!$B$3,A122,"m"),"")</f>
        <v>58</v>
      </c>
      <c r="C122">
        <v>6340162</v>
      </c>
    </row>
    <row r="123" spans="1:3" x14ac:dyDescent="0.3">
      <c r="A123" s="20">
        <v>45779</v>
      </c>
      <c r="B123" s="5">
        <f>IFERROR(DATEDIF(Launch_Dates!$B$3,A123,"m"),"")</f>
        <v>58</v>
      </c>
      <c r="C123">
        <v>6796111</v>
      </c>
    </row>
    <row r="124" spans="1:3" x14ac:dyDescent="0.3">
      <c r="A124" s="20">
        <v>45780</v>
      </c>
      <c r="B124" s="5">
        <f>IFERROR(DATEDIF(Launch_Dates!$B$3,A124,"m"),"")</f>
        <v>58</v>
      </c>
      <c r="C124">
        <v>6505340</v>
      </c>
    </row>
    <row r="125" spans="1:3" x14ac:dyDescent="0.3">
      <c r="A125" s="20">
        <v>45781</v>
      </c>
      <c r="B125" s="5">
        <f>IFERROR(DATEDIF(Launch_Dates!$B$3,A125,"m"),"")</f>
        <v>58</v>
      </c>
      <c r="C125">
        <v>6603590</v>
      </c>
    </row>
    <row r="126" spans="1:3" x14ac:dyDescent="0.3">
      <c r="A126" s="20">
        <v>45782</v>
      </c>
      <c r="B126" s="5">
        <f>IFERROR(DATEDIF(Launch_Dates!$B$3,A126,"m"),"")</f>
        <v>58</v>
      </c>
      <c r="C126">
        <v>6772957</v>
      </c>
    </row>
    <row r="127" spans="1:3" x14ac:dyDescent="0.3">
      <c r="A127" s="20">
        <v>45783</v>
      </c>
      <c r="B127" s="5">
        <f>IFERROR(DATEDIF(Launch_Dates!$B$3,A127,"m"),"")</f>
        <v>58</v>
      </c>
      <c r="C127">
        <v>6997213</v>
      </c>
    </row>
    <row r="128" spans="1:3" x14ac:dyDescent="0.3">
      <c r="A128" s="20">
        <v>45784</v>
      </c>
      <c r="B128" s="5">
        <f>IFERROR(DATEDIF(Launch_Dates!$B$3,A128,"m"),"")</f>
        <v>58</v>
      </c>
      <c r="C128">
        <v>6881108</v>
      </c>
    </row>
    <row r="129" spans="1:3" x14ac:dyDescent="0.3">
      <c r="A129" s="20">
        <v>45785</v>
      </c>
      <c r="B129" s="5">
        <f>IFERROR(DATEDIF(Launch_Dates!$B$3,A129,"m"),"")</f>
        <v>58</v>
      </c>
      <c r="C129">
        <v>6934798</v>
      </c>
    </row>
    <row r="130" spans="1:3" x14ac:dyDescent="0.3">
      <c r="A130" s="20">
        <v>45786</v>
      </c>
      <c r="B130" s="5">
        <f>IFERROR(DATEDIF(Launch_Dates!$B$3,A130,"m"),"")</f>
        <v>58</v>
      </c>
      <c r="C130">
        <v>6840445</v>
      </c>
    </row>
    <row r="131" spans="1:3" x14ac:dyDescent="0.3">
      <c r="A131" s="20">
        <v>45787</v>
      </c>
      <c r="B131" s="5">
        <f>IFERROR(DATEDIF(Launch_Dates!$B$3,A131,"m"),"")</f>
        <v>58</v>
      </c>
      <c r="C131">
        <v>6855669</v>
      </c>
    </row>
    <row r="132" spans="1:3" x14ac:dyDescent="0.3">
      <c r="A132" s="20">
        <v>45788</v>
      </c>
      <c r="B132" s="5">
        <f>IFERROR(DATEDIF(Launch_Dates!$B$3,A132,"m"),"")</f>
        <v>58</v>
      </c>
      <c r="C132">
        <v>6960097</v>
      </c>
    </row>
    <row r="133" spans="1:3" x14ac:dyDescent="0.3">
      <c r="A133" s="20">
        <v>45789</v>
      </c>
      <c r="B133" s="5">
        <f>IFERROR(DATEDIF(Launch_Dates!$B$3,A133,"m"),"")</f>
        <v>58</v>
      </c>
      <c r="C133">
        <v>6699744</v>
      </c>
    </row>
    <row r="134" spans="1:3" x14ac:dyDescent="0.3">
      <c r="A134" s="20">
        <v>45790</v>
      </c>
      <c r="B134" s="5">
        <f>IFERROR(DATEDIF(Launch_Dates!$B$3,A134,"m"),"")</f>
        <v>58</v>
      </c>
      <c r="C134">
        <v>6693759</v>
      </c>
    </row>
    <row r="135" spans="1:3" x14ac:dyDescent="0.3">
      <c r="A135" s="20">
        <v>45791</v>
      </c>
      <c r="B135" s="5">
        <f>IFERROR(DATEDIF(Launch_Dates!$B$3,A135,"m"),"")</f>
        <v>58</v>
      </c>
      <c r="C135">
        <v>6734333</v>
      </c>
    </row>
    <row r="136" spans="1:3" x14ac:dyDescent="0.3">
      <c r="A136" s="20">
        <v>45792</v>
      </c>
      <c r="B136" s="5">
        <f>IFERROR(DATEDIF(Launch_Dates!$B$3,A136,"m"),"")</f>
        <v>58</v>
      </c>
      <c r="C136">
        <v>8559925</v>
      </c>
    </row>
    <row r="137" spans="1:3" x14ac:dyDescent="0.3">
      <c r="A137" s="20">
        <v>45793</v>
      </c>
      <c r="B137" s="5">
        <f>IFERROR(DATEDIF(Launch_Dates!$B$3,A137,"m"),"")</f>
        <v>58</v>
      </c>
      <c r="C137">
        <v>8284112</v>
      </c>
    </row>
    <row r="138" spans="1:3" x14ac:dyDescent="0.3">
      <c r="A138" s="20">
        <v>45794</v>
      </c>
      <c r="B138" s="5">
        <f>IFERROR(DATEDIF(Launch_Dates!$B$3,A138,"m"),"")</f>
        <v>58</v>
      </c>
      <c r="C138">
        <v>8731814</v>
      </c>
    </row>
    <row r="139" spans="1:3" x14ac:dyDescent="0.3">
      <c r="A139" s="20">
        <v>45795</v>
      </c>
      <c r="B139" s="5">
        <f>IFERROR(DATEDIF(Launch_Dates!$B$3,A139,"m"),"")</f>
        <v>58</v>
      </c>
      <c r="C139">
        <v>7775914</v>
      </c>
    </row>
    <row r="140" spans="1:3" x14ac:dyDescent="0.3">
      <c r="A140" s="20">
        <v>45796</v>
      </c>
      <c r="B140" s="5">
        <f>IFERROR(DATEDIF(Launch_Dates!$B$3,A140,"m"),"")</f>
        <v>58</v>
      </c>
      <c r="C140">
        <v>7363190</v>
      </c>
    </row>
    <row r="141" spans="1:3" x14ac:dyDescent="0.3">
      <c r="A141" s="20">
        <v>45797</v>
      </c>
      <c r="B141" s="5">
        <f>IFERROR(DATEDIF(Launch_Dates!$B$3,A141,"m"),"")</f>
        <v>58</v>
      </c>
      <c r="C141">
        <v>7115304</v>
      </c>
    </row>
    <row r="142" spans="1:3" x14ac:dyDescent="0.3">
      <c r="A142" s="20">
        <v>45798</v>
      </c>
      <c r="B142" s="5">
        <f>IFERROR(DATEDIF(Launch_Dates!$B$3,A142,"m"),"")</f>
        <v>58</v>
      </c>
      <c r="C142">
        <v>10412236</v>
      </c>
    </row>
    <row r="143" spans="1:3" x14ac:dyDescent="0.3">
      <c r="A143" s="20">
        <v>45799</v>
      </c>
      <c r="B143" s="5">
        <f>IFERROR(DATEDIF(Launch_Dates!$B$3,A143,"m"),"")</f>
        <v>58</v>
      </c>
      <c r="C143">
        <v>7819467</v>
      </c>
    </row>
    <row r="144" spans="1:3" x14ac:dyDescent="0.3">
      <c r="A144" s="20">
        <v>45800</v>
      </c>
      <c r="B144" s="5">
        <f>IFERROR(DATEDIF(Launch_Dates!$B$3,A144,"m"),"")</f>
        <v>58</v>
      </c>
      <c r="C144">
        <v>7067256</v>
      </c>
    </row>
    <row r="145" spans="1:3" x14ac:dyDescent="0.3">
      <c r="A145" s="20">
        <v>45801</v>
      </c>
      <c r="B145" s="5">
        <f>IFERROR(DATEDIF(Launch_Dates!$B$3,A145,"m"),"")</f>
        <v>58</v>
      </c>
      <c r="C145">
        <v>6820420</v>
      </c>
    </row>
    <row r="146" spans="1:3" x14ac:dyDescent="0.3">
      <c r="A146" s="20">
        <v>45802</v>
      </c>
      <c r="B146" s="5">
        <f>IFERROR(DATEDIF(Launch_Dates!$B$3,A146,"m"),"")</f>
        <v>58</v>
      </c>
      <c r="C146">
        <v>6988883</v>
      </c>
    </row>
    <row r="147" spans="1:3" x14ac:dyDescent="0.3">
      <c r="A147" s="20">
        <v>45803</v>
      </c>
      <c r="B147" s="5">
        <f>IFERROR(DATEDIF(Launch_Dates!$B$3,A147,"m"),"")</f>
        <v>58</v>
      </c>
      <c r="C147">
        <v>7058185</v>
      </c>
    </row>
    <row r="148" spans="1:3" x14ac:dyDescent="0.3">
      <c r="A148" s="20">
        <v>45804</v>
      </c>
      <c r="B148" s="5">
        <f>IFERROR(DATEDIF(Launch_Dates!$B$3,A148,"m"),"")</f>
        <v>58</v>
      </c>
      <c r="C148">
        <v>7086061</v>
      </c>
    </row>
    <row r="149" spans="1:3" x14ac:dyDescent="0.3">
      <c r="A149" s="20">
        <v>45805</v>
      </c>
      <c r="B149" s="5">
        <f>IFERROR(DATEDIF(Launch_Dates!$B$3,A149,"m"),"")</f>
        <v>58</v>
      </c>
      <c r="C149">
        <v>7210635</v>
      </c>
    </row>
    <row r="150" spans="1:3" x14ac:dyDescent="0.3">
      <c r="A150" s="20">
        <v>45806</v>
      </c>
      <c r="B150" s="5">
        <f>IFERROR(DATEDIF(Launch_Dates!$B$3,A150,"m"),"")</f>
        <v>58</v>
      </c>
      <c r="C150">
        <v>6971533</v>
      </c>
    </row>
    <row r="151" spans="1:3" x14ac:dyDescent="0.3">
      <c r="A151" s="20">
        <v>45807</v>
      </c>
      <c r="B151" s="5">
        <f>IFERROR(DATEDIF(Launch_Dates!$B$3,A151,"m"),"")</f>
        <v>58</v>
      </c>
      <c r="C151">
        <v>7018868</v>
      </c>
    </row>
    <row r="152" spans="1:3" x14ac:dyDescent="0.3">
      <c r="A152" s="20">
        <v>45808</v>
      </c>
      <c r="B152" s="5">
        <f>IFERROR(DATEDIF(Launch_Dates!$B$3,A152,"m"),"")</f>
        <v>58</v>
      </c>
      <c r="C152">
        <v>7015771</v>
      </c>
    </row>
    <row r="153" spans="1:3" x14ac:dyDescent="0.3">
      <c r="A153" s="20">
        <v>45809</v>
      </c>
      <c r="B153" s="5">
        <f>IFERROR(DATEDIF(Launch_Dates!$B$3,A153,"m"),"")</f>
        <v>59</v>
      </c>
      <c r="C153">
        <v>7077167</v>
      </c>
    </row>
    <row r="154" spans="1:3" x14ac:dyDescent="0.3">
      <c r="A154" s="20">
        <v>45810</v>
      </c>
      <c r="B154" s="5">
        <f>IFERROR(DATEDIF(Launch_Dates!$B$3,A154,"m"),"")</f>
        <v>59</v>
      </c>
      <c r="C154">
        <v>7288638</v>
      </c>
    </row>
    <row r="155" spans="1:3" x14ac:dyDescent="0.3">
      <c r="A155" s="20">
        <v>45811</v>
      </c>
      <c r="B155" s="5">
        <f>IFERROR(DATEDIF(Launch_Dates!$B$3,A155,"m"),"")</f>
        <v>59</v>
      </c>
      <c r="C155">
        <v>7193190</v>
      </c>
    </row>
    <row r="156" spans="1:3" x14ac:dyDescent="0.3">
      <c r="A156" s="20">
        <v>45812</v>
      </c>
      <c r="B156" s="5">
        <f>IFERROR(DATEDIF(Launch_Dates!$B$3,A156,"m"),"")</f>
        <v>59</v>
      </c>
      <c r="C156">
        <v>7154640</v>
      </c>
    </row>
    <row r="157" spans="1:3" x14ac:dyDescent="0.3">
      <c r="A157" s="20">
        <v>45813</v>
      </c>
      <c r="B157" s="5">
        <f>IFERROR(DATEDIF(Launch_Dates!$B$3,A157,"m"),"")</f>
        <v>59</v>
      </c>
      <c r="C157">
        <v>7066670</v>
      </c>
    </row>
    <row r="158" spans="1:3" x14ac:dyDescent="0.3">
      <c r="A158" s="20">
        <v>45814</v>
      </c>
      <c r="B158" s="5">
        <f>IFERROR(DATEDIF(Launch_Dates!$B$3,A158,"m"),"")</f>
        <v>59</v>
      </c>
      <c r="C158">
        <v>7061317</v>
      </c>
    </row>
    <row r="159" spans="1:3" x14ac:dyDescent="0.3">
      <c r="A159" s="20">
        <v>45815</v>
      </c>
      <c r="B159" s="5">
        <f>IFERROR(DATEDIF(Launch_Dates!$B$3,A159,"m"),"")</f>
        <v>59</v>
      </c>
      <c r="C159">
        <v>6830861</v>
      </c>
    </row>
    <row r="160" spans="1:3" x14ac:dyDescent="0.3">
      <c r="A160" s="20">
        <v>45816</v>
      </c>
      <c r="B160" s="5">
        <f>IFERROR(DATEDIF(Launch_Dates!$B$3,A160,"m"),"")</f>
        <v>59</v>
      </c>
      <c r="C160">
        <v>6907887</v>
      </c>
    </row>
    <row r="161" spans="1:3" x14ac:dyDescent="0.3">
      <c r="A161" s="20">
        <v>45817</v>
      </c>
      <c r="B161" s="5">
        <f>IFERROR(DATEDIF(Launch_Dates!$B$3,A161,"m"),"")</f>
        <v>59</v>
      </c>
      <c r="C161">
        <v>7046015</v>
      </c>
    </row>
    <row r="162" spans="1:3" x14ac:dyDescent="0.3">
      <c r="A162" s="20">
        <v>45818</v>
      </c>
      <c r="B162" s="5">
        <f>IFERROR(DATEDIF(Launch_Dates!$B$3,A162,"m"),"")</f>
        <v>59</v>
      </c>
      <c r="C162">
        <v>7233323</v>
      </c>
    </row>
    <row r="163" spans="1:3" x14ac:dyDescent="0.3">
      <c r="A163" s="20">
        <v>45819</v>
      </c>
      <c r="B163" s="5">
        <f>IFERROR(DATEDIF(Launch_Dates!$B$3,A163,"m"),"")</f>
        <v>59</v>
      </c>
      <c r="C163">
        <v>7090398</v>
      </c>
    </row>
    <row r="164" spans="1:3" x14ac:dyDescent="0.3">
      <c r="A164" s="20">
        <v>45820</v>
      </c>
      <c r="B164" s="5">
        <f>IFERROR(DATEDIF(Launch_Dates!$B$3,A164,"m"),"")</f>
        <v>59</v>
      </c>
      <c r="C164">
        <v>7017331</v>
      </c>
    </row>
    <row r="165" spans="1:3" x14ac:dyDescent="0.3">
      <c r="A165" s="20">
        <v>45821</v>
      </c>
      <c r="B165" s="5">
        <f>IFERROR(DATEDIF(Launch_Dates!$B$3,A165,"m"),"")</f>
        <v>59</v>
      </c>
      <c r="C165">
        <v>7068800</v>
      </c>
    </row>
    <row r="166" spans="1:3" x14ac:dyDescent="0.3">
      <c r="A166" s="20">
        <v>45822</v>
      </c>
      <c r="B166" s="5">
        <f>IFERROR(DATEDIF(Launch_Dates!$B$3,A166,"m"),"")</f>
        <v>59</v>
      </c>
      <c r="C166">
        <v>6856670</v>
      </c>
    </row>
    <row r="167" spans="1:3" x14ac:dyDescent="0.3">
      <c r="A167" s="20">
        <v>45823</v>
      </c>
      <c r="B167" s="5">
        <f>IFERROR(DATEDIF(Launch_Dates!$B$3,A167,"m"),"")</f>
        <v>59</v>
      </c>
      <c r="C167">
        <v>7369221</v>
      </c>
    </row>
    <row r="168" spans="1:3" x14ac:dyDescent="0.3">
      <c r="A168" s="20">
        <v>45824</v>
      </c>
      <c r="B168" s="5">
        <f>IFERROR(DATEDIF(Launch_Dates!$B$3,A168,"m"),"")</f>
        <v>59</v>
      </c>
      <c r="C168">
        <v>7384716</v>
      </c>
    </row>
    <row r="169" spans="1:3" x14ac:dyDescent="0.3">
      <c r="A169" s="20">
        <v>45825</v>
      </c>
      <c r="B169" s="5">
        <f>IFERROR(DATEDIF(Launch_Dates!$B$3,A169,"m"),"")</f>
        <v>59</v>
      </c>
      <c r="C169">
        <v>7396123</v>
      </c>
    </row>
    <row r="170" spans="1:3" x14ac:dyDescent="0.3">
      <c r="A170" s="20">
        <v>45826</v>
      </c>
      <c r="B170" s="5">
        <f>IFERROR(DATEDIF(Launch_Dates!$B$3,A170,"m"),"")</f>
        <v>59</v>
      </c>
      <c r="C170">
        <v>7323809</v>
      </c>
    </row>
    <row r="171" spans="1:3" x14ac:dyDescent="0.3">
      <c r="A171" s="20">
        <v>45827</v>
      </c>
      <c r="B171" s="5">
        <f>IFERROR(DATEDIF(Launch_Dates!$B$3,A171,"m"),"")</f>
        <v>59</v>
      </c>
      <c r="C171">
        <v>7404670</v>
      </c>
    </row>
    <row r="172" spans="1:3" x14ac:dyDescent="0.3">
      <c r="A172" s="20">
        <v>45828</v>
      </c>
      <c r="B172" s="5">
        <f>IFERROR(DATEDIF(Launch_Dates!$B$3,A172,"m"),"")</f>
        <v>59</v>
      </c>
      <c r="C172">
        <v>7500450</v>
      </c>
    </row>
    <row r="173" spans="1:3" x14ac:dyDescent="0.3">
      <c r="A173" s="20">
        <v>45829</v>
      </c>
      <c r="B173" s="5">
        <f>IFERROR(DATEDIF(Launch_Dates!$B$3,A173,"m"),"")</f>
        <v>59</v>
      </c>
      <c r="C173">
        <v>7163801</v>
      </c>
    </row>
    <row r="174" spans="1:3" x14ac:dyDescent="0.3">
      <c r="A174" s="20">
        <v>45830</v>
      </c>
      <c r="B174" s="5">
        <f>IFERROR(DATEDIF(Launch_Dates!$B$3,A174,"m"),"")</f>
        <v>59</v>
      </c>
      <c r="C174">
        <v>7328561</v>
      </c>
    </row>
    <row r="175" spans="1:3" x14ac:dyDescent="0.3">
      <c r="A175" s="20">
        <v>45831</v>
      </c>
      <c r="B175" s="5">
        <f>IFERROR(DATEDIF(Launch_Dates!$B$3,A175,"m"),"")</f>
        <v>59</v>
      </c>
      <c r="C175">
        <v>7448168</v>
      </c>
    </row>
    <row r="176" spans="1:3" x14ac:dyDescent="0.3">
      <c r="A176" s="20">
        <v>45832</v>
      </c>
      <c r="B176" s="5">
        <f>IFERROR(DATEDIF(Launch_Dates!$B$3,A176,"m"),"")</f>
        <v>59</v>
      </c>
      <c r="C176">
        <v>7435005</v>
      </c>
    </row>
    <row r="177" spans="1:3" x14ac:dyDescent="0.3">
      <c r="A177" s="20">
        <v>45833</v>
      </c>
      <c r="B177" s="5">
        <f>IFERROR(DATEDIF(Launch_Dates!$B$3,A177,"m"),"")</f>
        <v>59</v>
      </c>
      <c r="C177">
        <v>7517076</v>
      </c>
    </row>
    <row r="178" spans="1:3" x14ac:dyDescent="0.3">
      <c r="A178" s="20">
        <v>45834</v>
      </c>
      <c r="B178" s="5">
        <f>IFERROR(DATEDIF(Launch_Dates!$B$3,A178,"m"),"")</f>
        <v>59</v>
      </c>
      <c r="C178">
        <v>7518416</v>
      </c>
    </row>
    <row r="179" spans="1:3" x14ac:dyDescent="0.3">
      <c r="A179" s="20">
        <v>45835</v>
      </c>
      <c r="B179" s="5">
        <f>IFERROR(DATEDIF(Launch_Dates!$B$3,A179,"m"),"")</f>
        <v>59</v>
      </c>
      <c r="C179">
        <v>7422399</v>
      </c>
    </row>
    <row r="180" spans="1:3" x14ac:dyDescent="0.3">
      <c r="A180" s="20">
        <v>45836</v>
      </c>
      <c r="B180" s="5">
        <f>IFERROR(DATEDIF(Launch_Dates!$B$3,A180,"m"),"")</f>
        <v>59</v>
      </c>
      <c r="C180">
        <v>7252024</v>
      </c>
    </row>
    <row r="181" spans="1:3" x14ac:dyDescent="0.3">
      <c r="A181" s="20">
        <v>45837</v>
      </c>
      <c r="B181" s="5">
        <f>IFERROR(DATEDIF(Launch_Dates!$B$3,A181,"m"),"")</f>
        <v>59</v>
      </c>
      <c r="C181">
        <v>7506237</v>
      </c>
    </row>
    <row r="182" spans="1:3" x14ac:dyDescent="0.3">
      <c r="A182" s="20">
        <v>45838</v>
      </c>
      <c r="B182" s="5">
        <f>IFERROR(DATEDIF(Launch_Dates!$B$3,A182,"m"),"")</f>
        <v>59</v>
      </c>
      <c r="C182">
        <v>7546496</v>
      </c>
    </row>
    <row r="183" spans="1:3" x14ac:dyDescent="0.3">
      <c r="A183" s="20">
        <v>45839</v>
      </c>
      <c r="B183" s="5">
        <f>IFERROR(DATEDIF(Launch_Dates!$B$3,A183,"m"),"")</f>
        <v>60</v>
      </c>
      <c r="C183">
        <v>7546316</v>
      </c>
    </row>
    <row r="184" spans="1:3" x14ac:dyDescent="0.3">
      <c r="A184" s="20">
        <v>45840</v>
      </c>
      <c r="B184" s="5">
        <f>IFERROR(DATEDIF(Launch_Dates!$B$3,A184,"m"),"")</f>
        <v>60</v>
      </c>
      <c r="C184">
        <v>7538059</v>
      </c>
    </row>
    <row r="185" spans="1:3" x14ac:dyDescent="0.3">
      <c r="A185" s="20">
        <v>45841</v>
      </c>
      <c r="B185" s="5">
        <f>IFERROR(DATEDIF(Launch_Dates!$B$3,A185,"m"),"")</f>
        <v>60</v>
      </c>
      <c r="C185">
        <v>7525962</v>
      </c>
    </row>
    <row r="186" spans="1:3" x14ac:dyDescent="0.3">
      <c r="A186" s="20">
        <v>45842</v>
      </c>
      <c r="B186" s="5">
        <f>IFERROR(DATEDIF(Launch_Dates!$B$3,A186,"m"),"")</f>
        <v>60</v>
      </c>
      <c r="C186">
        <v>7527010</v>
      </c>
    </row>
    <row r="187" spans="1:3" x14ac:dyDescent="0.3">
      <c r="A187" s="20">
        <v>45843</v>
      </c>
      <c r="B187" s="5">
        <f>IFERROR(DATEDIF(Launch_Dates!$B$3,A187,"m"),"")</f>
        <v>60</v>
      </c>
      <c r="C187">
        <v>7281032</v>
      </c>
    </row>
    <row r="188" spans="1:3" x14ac:dyDescent="0.3">
      <c r="A188" s="20">
        <v>45844</v>
      </c>
      <c r="B188" s="5">
        <f>IFERROR(DATEDIF(Launch_Dates!$B$3,A188,"m"),"")</f>
        <v>60</v>
      </c>
      <c r="C188">
        <v>7465208</v>
      </c>
    </row>
    <row r="189" spans="1:3" x14ac:dyDescent="0.3">
      <c r="A189" s="20">
        <v>45845</v>
      </c>
      <c r="B189" s="5">
        <f>IFERROR(DATEDIF(Launch_Dates!$B$3,A189,"m"),"")</f>
        <v>60</v>
      </c>
      <c r="C189">
        <v>7491951</v>
      </c>
    </row>
    <row r="190" spans="1:3" x14ac:dyDescent="0.3">
      <c r="A190" s="20">
        <v>45846</v>
      </c>
      <c r="B190" s="5">
        <f>IFERROR(DATEDIF(Launch_Dates!$B$3,A190,"m"),"")</f>
        <v>60</v>
      </c>
      <c r="C190">
        <v>7362898</v>
      </c>
    </row>
    <row r="191" spans="1:3" x14ac:dyDescent="0.3">
      <c r="A191" s="20">
        <v>45847</v>
      </c>
      <c r="B191" s="5">
        <f>IFERROR(DATEDIF(Launch_Dates!$B$3,A191,"m"),"")</f>
        <v>60</v>
      </c>
      <c r="C191">
        <v>7444305</v>
      </c>
    </row>
    <row r="192" spans="1:3" x14ac:dyDescent="0.3">
      <c r="A192" s="20">
        <v>45848</v>
      </c>
      <c r="B192" s="5">
        <f>IFERROR(DATEDIF(Launch_Dates!$B$3,A192,"m"),"")</f>
        <v>60</v>
      </c>
      <c r="C192">
        <v>7688475</v>
      </c>
    </row>
    <row r="193" spans="1:3" x14ac:dyDescent="0.3">
      <c r="A193" s="20">
        <v>45849</v>
      </c>
      <c r="B193" s="5">
        <f>IFERROR(DATEDIF(Launch_Dates!$B$3,A193,"m"),"")</f>
        <v>60</v>
      </c>
      <c r="C193">
        <v>7732121</v>
      </c>
    </row>
    <row r="194" spans="1:3" x14ac:dyDescent="0.3">
      <c r="A194" s="20">
        <v>45850</v>
      </c>
      <c r="B194" s="5">
        <f>IFERROR(DATEDIF(Launch_Dates!$B$3,A194,"m"),"")</f>
        <v>60</v>
      </c>
      <c r="C194">
        <v>7343061</v>
      </c>
    </row>
    <row r="195" spans="1:3" x14ac:dyDescent="0.3">
      <c r="A195" s="20">
        <v>45851</v>
      </c>
      <c r="B195" s="5">
        <f>IFERROR(DATEDIF(Launch_Dates!$B$3,A195,"m"),"")</f>
        <v>60</v>
      </c>
      <c r="C195">
        <v>7482901</v>
      </c>
    </row>
    <row r="196" spans="1:3" x14ac:dyDescent="0.3">
      <c r="A196" s="20">
        <v>45852</v>
      </c>
      <c r="B196" s="5">
        <f>IFERROR(DATEDIF(Launch_Dates!$B$3,A196,"m"),"")</f>
        <v>60</v>
      </c>
      <c r="C196">
        <v>7743611</v>
      </c>
    </row>
    <row r="197" spans="1:3" x14ac:dyDescent="0.3">
      <c r="A197" s="20">
        <v>45853</v>
      </c>
      <c r="B197" s="5">
        <f>IFERROR(DATEDIF(Launch_Dates!$B$3,A197,"m"),"")</f>
        <v>60</v>
      </c>
      <c r="C197">
        <v>7650710</v>
      </c>
    </row>
    <row r="198" spans="1:3" x14ac:dyDescent="0.3">
      <c r="A198" s="20">
        <v>45854</v>
      </c>
      <c r="B198" s="5">
        <f>IFERROR(DATEDIF(Launch_Dates!$B$3,A198,"m"),"")</f>
        <v>60</v>
      </c>
      <c r="C198">
        <v>7606295</v>
      </c>
    </row>
    <row r="199" spans="1:3" x14ac:dyDescent="0.3">
      <c r="A199" s="20">
        <v>45855</v>
      </c>
      <c r="B199" s="5">
        <f>IFERROR(DATEDIF(Launch_Dates!$B$3,A199,"m"),"")</f>
        <v>60</v>
      </c>
      <c r="C199">
        <v>7701062</v>
      </c>
    </row>
    <row r="200" spans="1:3" x14ac:dyDescent="0.3">
      <c r="A200" s="20">
        <v>45856</v>
      </c>
      <c r="B200" s="5">
        <f>IFERROR(DATEDIF(Launch_Dates!$B$3,A200,"m"),"")</f>
        <v>60</v>
      </c>
      <c r="C200">
        <v>7707628</v>
      </c>
    </row>
    <row r="201" spans="1:3" x14ac:dyDescent="0.3">
      <c r="A201" s="20">
        <v>45857</v>
      </c>
      <c r="B201" s="5">
        <f>IFERROR(DATEDIF(Launch_Dates!$B$3,A201,"m"),"")</f>
        <v>60</v>
      </c>
      <c r="C201">
        <v>8369573</v>
      </c>
    </row>
    <row r="202" spans="1:3" x14ac:dyDescent="0.3">
      <c r="A202" s="20">
        <v>45858</v>
      </c>
      <c r="B202" s="5">
        <f>IFERROR(DATEDIF(Launch_Dates!$B$3,A202,"m"),"")</f>
        <v>60</v>
      </c>
      <c r="C202">
        <v>7923240</v>
      </c>
    </row>
    <row r="203" spans="1:3" x14ac:dyDescent="0.3">
      <c r="A203" s="20">
        <v>45859</v>
      </c>
      <c r="B203" s="5">
        <f>IFERROR(DATEDIF(Launch_Dates!$B$3,A203,"m"),"")</f>
        <v>60</v>
      </c>
      <c r="C203">
        <v>7648837</v>
      </c>
    </row>
    <row r="204" spans="1:3" x14ac:dyDescent="0.3">
      <c r="A204" s="20">
        <v>45860</v>
      </c>
      <c r="B204" s="5">
        <f>IFERROR(DATEDIF(Launch_Dates!$B$3,A204,"m"),"")</f>
        <v>60</v>
      </c>
      <c r="C204">
        <v>7742723</v>
      </c>
    </row>
    <row r="205" spans="1:3" x14ac:dyDescent="0.3">
      <c r="A205" s="20">
        <v>45861</v>
      </c>
      <c r="B205" s="5">
        <f>IFERROR(DATEDIF(Launch_Dates!$B$3,A205,"m"),"")</f>
        <v>60</v>
      </c>
      <c r="C205">
        <v>7718756</v>
      </c>
    </row>
    <row r="206" spans="1:3" x14ac:dyDescent="0.3">
      <c r="A206" s="20">
        <v>45862</v>
      </c>
      <c r="B206" s="5">
        <f>IFERROR(DATEDIF(Launch_Dates!$B$3,A206,"m"),"")</f>
        <v>60</v>
      </c>
      <c r="C206">
        <v>7804653</v>
      </c>
    </row>
    <row r="207" spans="1:3" x14ac:dyDescent="0.3">
      <c r="A207" s="20">
        <v>45863</v>
      </c>
      <c r="B207" s="5">
        <f>IFERROR(DATEDIF(Launch_Dates!$B$3,A207,"m"),"")</f>
        <v>60</v>
      </c>
      <c r="C207">
        <v>7702332</v>
      </c>
    </row>
    <row r="208" spans="1:3" x14ac:dyDescent="0.3">
      <c r="A208" s="20">
        <v>45864</v>
      </c>
      <c r="B208" s="5">
        <f>IFERROR(DATEDIF(Launch_Dates!$B$3,A208,"m"),"")</f>
        <v>60</v>
      </c>
      <c r="C208">
        <v>7425915</v>
      </c>
    </row>
    <row r="209" spans="1:3" x14ac:dyDescent="0.3">
      <c r="A209" s="20">
        <v>45865</v>
      </c>
      <c r="B209" s="5">
        <f>IFERROR(DATEDIF(Launch_Dates!$B$3,A209,"m"),"")</f>
        <v>60</v>
      </c>
      <c r="C209">
        <v>7626420</v>
      </c>
    </row>
    <row r="210" spans="1:3" x14ac:dyDescent="0.3">
      <c r="A210" s="20">
        <v>45866</v>
      </c>
      <c r="B210" s="5">
        <f>IFERROR(DATEDIF(Launch_Dates!$B$3,A210,"m"),"")</f>
        <v>60</v>
      </c>
      <c r="C210">
        <v>7755748</v>
      </c>
    </row>
    <row r="211" spans="1:3" x14ac:dyDescent="0.3">
      <c r="A211" s="20">
        <v>45867</v>
      </c>
      <c r="B211" s="5">
        <f>IFERROR(DATEDIF(Launch_Dates!$B$3,A211,"m"),"")</f>
        <v>60</v>
      </c>
      <c r="C211">
        <v>7744510</v>
      </c>
    </row>
    <row r="212" spans="1:3" x14ac:dyDescent="0.3">
      <c r="A212" s="20">
        <v>45868</v>
      </c>
      <c r="B212" s="5">
        <f>IFERROR(DATEDIF(Launch_Dates!$B$3,A212,"m"),"")</f>
        <v>60</v>
      </c>
      <c r="C212">
        <v>7699460</v>
      </c>
    </row>
    <row r="213" spans="1:3" x14ac:dyDescent="0.3">
      <c r="A213" s="20">
        <v>45869</v>
      </c>
      <c r="B213" s="5">
        <f>IFERROR(DATEDIF(Launch_Dates!$B$3,A213,"m"),"")</f>
        <v>60</v>
      </c>
      <c r="C213">
        <v>7797104</v>
      </c>
    </row>
    <row r="214" spans="1:3" x14ac:dyDescent="0.3">
      <c r="A214" s="20">
        <v>45870</v>
      </c>
      <c r="B214" s="5">
        <f>IFERROR(DATEDIF(Launch_Dates!$B$3,A214,"m"),"")</f>
        <v>61</v>
      </c>
      <c r="C214">
        <v>7713497</v>
      </c>
    </row>
    <row r="215" spans="1:3" x14ac:dyDescent="0.3">
      <c r="A215" s="20">
        <v>45871</v>
      </c>
      <c r="B215" s="5">
        <f>IFERROR(DATEDIF(Launch_Dates!$B$3,A215,"m"),"")</f>
        <v>61</v>
      </c>
      <c r="C215">
        <v>7370642</v>
      </c>
    </row>
    <row r="216" spans="1:3" x14ac:dyDescent="0.3">
      <c r="A216" s="20">
        <v>45872</v>
      </c>
      <c r="B216" s="5">
        <f>IFERROR(DATEDIF(Launch_Dates!$B$3,A216,"m"),"")</f>
        <v>61</v>
      </c>
      <c r="C216">
        <v>7543293</v>
      </c>
    </row>
    <row r="217" spans="1:3" x14ac:dyDescent="0.3">
      <c r="A217" s="20">
        <v>45873</v>
      </c>
      <c r="B217" s="5">
        <f>IFERROR(DATEDIF(Launch_Dates!$B$3,A217,"m"),"")</f>
        <v>61</v>
      </c>
      <c r="C217">
        <v>7749978</v>
      </c>
    </row>
    <row r="218" spans="1:3" x14ac:dyDescent="0.3">
      <c r="A218" s="20">
        <v>45874</v>
      </c>
      <c r="B218" s="5">
        <f>IFERROR(DATEDIF(Launch_Dates!$B$3,A218,"m"),"")</f>
        <v>61</v>
      </c>
      <c r="C218">
        <v>7906838</v>
      </c>
    </row>
    <row r="219" spans="1:3" x14ac:dyDescent="0.3">
      <c r="A219" s="20">
        <v>45875</v>
      </c>
      <c r="B219" s="5">
        <f>IFERROR(DATEDIF(Launch_Dates!$B$3,A219,"m"),"")</f>
        <v>61</v>
      </c>
      <c r="C219">
        <v>8085746</v>
      </c>
    </row>
    <row r="220" spans="1:3" x14ac:dyDescent="0.3">
      <c r="A220" s="20">
        <v>45876</v>
      </c>
      <c r="B220" s="5">
        <f>IFERROR(DATEDIF(Launch_Dates!$B$3,A220,"m"),"")</f>
        <v>61</v>
      </c>
      <c r="C220">
        <v>7941472</v>
      </c>
    </row>
    <row r="221" spans="1:3" x14ac:dyDescent="0.3">
      <c r="A221" s="20">
        <v>45877</v>
      </c>
      <c r="B221" s="5">
        <f>IFERROR(DATEDIF(Launch_Dates!$B$3,A221,"m"),"")</f>
        <v>61</v>
      </c>
      <c r="C221">
        <v>7971679</v>
      </c>
    </row>
    <row r="222" spans="1:3" x14ac:dyDescent="0.3">
      <c r="A222" s="20">
        <v>45878</v>
      </c>
      <c r="B222" s="5">
        <f>IFERROR(DATEDIF(Launch_Dates!$B$3,A222,"m"),"")</f>
        <v>61</v>
      </c>
      <c r="C222">
        <v>7696059</v>
      </c>
    </row>
    <row r="223" spans="1:3" x14ac:dyDescent="0.3">
      <c r="A223" s="20">
        <v>45879</v>
      </c>
      <c r="B223" s="5">
        <f>IFERROR(DATEDIF(Launch_Dates!$B$3,A223,"m"),"")</f>
        <v>61</v>
      </c>
      <c r="C223">
        <v>7840838</v>
      </c>
    </row>
    <row r="224" spans="1:3" x14ac:dyDescent="0.3">
      <c r="A224" s="20">
        <v>45880</v>
      </c>
      <c r="B224" s="5">
        <f>IFERROR(DATEDIF(Launch_Dates!$B$3,A224,"m"),"")</f>
        <v>61</v>
      </c>
      <c r="C224">
        <v>8318713</v>
      </c>
    </row>
    <row r="225" spans="1:3" x14ac:dyDescent="0.3">
      <c r="A225" s="20">
        <v>45881</v>
      </c>
      <c r="B225" s="5">
        <f>IFERROR(DATEDIF(Launch_Dates!$B$3,A225,"m"),"")</f>
        <v>61</v>
      </c>
      <c r="C225">
        <v>8182427</v>
      </c>
    </row>
    <row r="226" spans="1:3" x14ac:dyDescent="0.3">
      <c r="A226" s="20">
        <v>45882</v>
      </c>
      <c r="B226" s="5">
        <f>IFERROR(DATEDIF(Launch_Dates!$B$3,A226,"m"),"")</f>
        <v>61</v>
      </c>
      <c r="C226">
        <v>7943716</v>
      </c>
    </row>
    <row r="227" spans="1:3" x14ac:dyDescent="0.3">
      <c r="A227" s="20">
        <v>45883</v>
      </c>
      <c r="B227" s="5">
        <f>IFERROR(DATEDIF(Launch_Dates!$B$3,A227,"m"),"")</f>
        <v>61</v>
      </c>
      <c r="C227">
        <v>7957554</v>
      </c>
    </row>
    <row r="228" spans="1:3" x14ac:dyDescent="0.3">
      <c r="A228" s="20">
        <v>45884</v>
      </c>
      <c r="B228" s="5">
        <f>IFERROR(DATEDIF(Launch_Dates!$B$3,A228,"m"),"")</f>
        <v>61</v>
      </c>
      <c r="C228">
        <v>7654840</v>
      </c>
    </row>
    <row r="229" spans="1:3" x14ac:dyDescent="0.3">
      <c r="A229" s="20">
        <v>45885</v>
      </c>
      <c r="B229" s="5">
        <f>IFERROR(DATEDIF(Launch_Dates!$B$3,A229,"m"),"")</f>
        <v>61</v>
      </c>
      <c r="C229">
        <v>7068795</v>
      </c>
    </row>
    <row r="230" spans="1:3" x14ac:dyDescent="0.3">
      <c r="A230" s="20">
        <v>45886</v>
      </c>
      <c r="B230" s="5">
        <f>IFERROR(DATEDIF(Launch_Dates!$B$3,A230,"m"),"")</f>
        <v>61</v>
      </c>
      <c r="C230">
        <v>7314726</v>
      </c>
    </row>
    <row r="231" spans="1:3" x14ac:dyDescent="0.3">
      <c r="A231" s="20">
        <v>45887</v>
      </c>
      <c r="B231" s="5">
        <f>IFERROR(DATEDIF(Launch_Dates!$B$3,A231,"m"),"")</f>
        <v>61</v>
      </c>
      <c r="C231">
        <v>7332225</v>
      </c>
    </row>
    <row r="232" spans="1:3" x14ac:dyDescent="0.3">
      <c r="A232" s="20">
        <v>45888</v>
      </c>
      <c r="B232" s="5">
        <f>IFERROR(DATEDIF(Launch_Dates!$B$3,A232,"m"),"")</f>
        <v>61</v>
      </c>
      <c r="C232">
        <v>7408299</v>
      </c>
    </row>
    <row r="233" spans="1:3" x14ac:dyDescent="0.3">
      <c r="A233" s="20">
        <v>45889</v>
      </c>
      <c r="B233" s="5">
        <f>IFERROR(DATEDIF(Launch_Dates!$B$3,A233,"m"),"")</f>
        <v>61</v>
      </c>
      <c r="C233">
        <v>7536768</v>
      </c>
    </row>
    <row r="234" spans="1:3" x14ac:dyDescent="0.3">
      <c r="A234" s="20">
        <v>45890</v>
      </c>
      <c r="B234" s="5">
        <f>IFERROR(DATEDIF(Launch_Dates!$B$3,A234,"m"),"")</f>
        <v>61</v>
      </c>
      <c r="C234">
        <v>7506108</v>
      </c>
    </row>
    <row r="235" spans="1:3" x14ac:dyDescent="0.3">
      <c r="A235" s="20">
        <v>45891</v>
      </c>
      <c r="B235" s="5">
        <f>IFERROR(DATEDIF(Launch_Dates!$B$3,A235,"m"),"")</f>
        <v>61</v>
      </c>
      <c r="C235">
        <v>7942412</v>
      </c>
    </row>
    <row r="236" spans="1:3" x14ac:dyDescent="0.3">
      <c r="A236" s="20">
        <v>45892</v>
      </c>
      <c r="B236" s="5">
        <f>IFERROR(DATEDIF(Launch_Dates!$B$3,A236,"m"),"")</f>
        <v>61</v>
      </c>
      <c r="C236">
        <v>7608913</v>
      </c>
    </row>
    <row r="237" spans="1:3" x14ac:dyDescent="0.3">
      <c r="A237" s="20">
        <v>45893</v>
      </c>
      <c r="B237" s="5">
        <f>IFERROR(DATEDIF(Launch_Dates!$B$3,A237,"m"),"")</f>
        <v>61</v>
      </c>
      <c r="C237">
        <v>7973912</v>
      </c>
    </row>
    <row r="238" spans="1:3" x14ac:dyDescent="0.3">
      <c r="A238" s="20">
        <v>45894</v>
      </c>
      <c r="B238" s="5">
        <f>IFERROR(DATEDIF(Launch_Dates!$B$3,A238,"m"),"")</f>
        <v>61</v>
      </c>
      <c r="C238">
        <v>7917781</v>
      </c>
    </row>
    <row r="239" spans="1:3" x14ac:dyDescent="0.3">
      <c r="A239" s="20">
        <v>45895</v>
      </c>
      <c r="B239" s="5">
        <f>IFERROR(DATEDIF(Launch_Dates!$B$3,A239,"m"),"")</f>
        <v>61</v>
      </c>
      <c r="C239">
        <v>7842003</v>
      </c>
    </row>
    <row r="240" spans="1:3" x14ac:dyDescent="0.3">
      <c r="A240" s="20">
        <v>45896</v>
      </c>
      <c r="B240" s="5">
        <f>IFERROR(DATEDIF(Launch_Dates!$B$3,A240,"m"),"")</f>
        <v>61</v>
      </c>
      <c r="C240">
        <v>7803113</v>
      </c>
    </row>
    <row r="241" spans="1:3" x14ac:dyDescent="0.3">
      <c r="A241" s="20">
        <v>45897</v>
      </c>
      <c r="B241" s="5">
        <f>IFERROR(DATEDIF(Launch_Dates!$B$3,A241,"m"),"")</f>
        <v>61</v>
      </c>
      <c r="C241">
        <v>7888639</v>
      </c>
    </row>
    <row r="242" spans="1:3" x14ac:dyDescent="0.3">
      <c r="A242" s="20">
        <v>45898</v>
      </c>
      <c r="B242" s="5">
        <f>IFERROR(DATEDIF(Launch_Dates!$B$3,A242,"m"),"")</f>
        <v>61</v>
      </c>
      <c r="C242">
        <v>7861996</v>
      </c>
    </row>
    <row r="243" spans="1:3" x14ac:dyDescent="0.3">
      <c r="A243" s="20">
        <v>45899</v>
      </c>
      <c r="B243" s="5">
        <f>IFERROR(DATEDIF(Launch_Dates!$B$3,A243,"m"),"")</f>
        <v>61</v>
      </c>
      <c r="C243">
        <v>7768846</v>
      </c>
    </row>
    <row r="244" spans="1:3" x14ac:dyDescent="0.3">
      <c r="A244" s="20">
        <v>45900</v>
      </c>
      <c r="B244" s="5">
        <f>IFERROR(DATEDIF(Launch_Dates!$B$3,A244,"m"),"")</f>
        <v>61</v>
      </c>
      <c r="C244">
        <v>7678277</v>
      </c>
    </row>
    <row r="245" spans="1:3" x14ac:dyDescent="0.3">
      <c r="A245" s="20">
        <v>45901</v>
      </c>
      <c r="B245" s="5">
        <f>IFERROR(DATEDIF(Launch_Dates!$B$3,A245,"m"),"")</f>
        <v>62</v>
      </c>
      <c r="C245">
        <v>7385052</v>
      </c>
    </row>
    <row r="246" spans="1:3" x14ac:dyDescent="0.3">
      <c r="A246" s="20">
        <v>45902</v>
      </c>
      <c r="B246" s="5">
        <f>IFERROR(DATEDIF(Launch_Dates!$B$3,A246,"m"),"")</f>
        <v>62</v>
      </c>
      <c r="C246">
        <v>7402399</v>
      </c>
    </row>
    <row r="247" spans="1:3" x14ac:dyDescent="0.3">
      <c r="A247" s="20">
        <v>45903</v>
      </c>
      <c r="B247" s="5">
        <f>IFERROR(DATEDIF(Launch_Dates!$B$3,A247,"m"),"")</f>
        <v>62</v>
      </c>
      <c r="C247">
        <v>7568468</v>
      </c>
    </row>
    <row r="248" spans="1:3" x14ac:dyDescent="0.3">
      <c r="A248" s="20">
        <v>45904</v>
      </c>
      <c r="B248" s="5">
        <f>IFERROR(DATEDIF(Launch_Dates!$B$3,A248,"m"),"")</f>
        <v>62</v>
      </c>
      <c r="C248">
        <v>7737577</v>
      </c>
    </row>
    <row r="249" spans="1:3" x14ac:dyDescent="0.3">
      <c r="A249" s="20">
        <v>45905</v>
      </c>
      <c r="B249" s="5">
        <f>IFERROR(DATEDIF(Launch_Dates!$B$3,A249,"m"),"")</f>
        <v>62</v>
      </c>
      <c r="C249">
        <v>7531099</v>
      </c>
    </row>
    <row r="250" spans="1:3" x14ac:dyDescent="0.3">
      <c r="A250" s="20">
        <v>45906</v>
      </c>
      <c r="B250" s="5">
        <f>IFERROR(DATEDIF(Launch_Dates!$B$3,A250,"m"),"")</f>
        <v>62</v>
      </c>
      <c r="C250">
        <v>7370255</v>
      </c>
    </row>
    <row r="251" spans="1:3" x14ac:dyDescent="0.3">
      <c r="A251" s="20">
        <v>45907</v>
      </c>
      <c r="B251" s="5">
        <f>IFERROR(DATEDIF(Launch_Dates!$B$3,A251,"m"),"")</f>
        <v>62</v>
      </c>
      <c r="C251">
        <v>7965669</v>
      </c>
    </row>
    <row r="252" spans="1:3" x14ac:dyDescent="0.3">
      <c r="A252" s="20">
        <v>45908</v>
      </c>
      <c r="B252" s="5">
        <f>IFERROR(DATEDIF(Launch_Dates!$B$3,A252,"m"),"")</f>
        <v>62</v>
      </c>
      <c r="C252">
        <v>7937760</v>
      </c>
    </row>
    <row r="253" spans="1:3" x14ac:dyDescent="0.3">
      <c r="A253" s="20">
        <v>45909</v>
      </c>
      <c r="B253" s="5">
        <f>IFERROR(DATEDIF(Launch_Dates!$B$3,A253,"m"),"")</f>
        <v>62</v>
      </c>
      <c r="C253">
        <v>8001275</v>
      </c>
    </row>
    <row r="254" spans="1:3" x14ac:dyDescent="0.3">
      <c r="A254" s="20">
        <v>45910</v>
      </c>
      <c r="B254" s="5">
        <f>IFERROR(DATEDIF(Launch_Dates!$B$3,A254,"m"),"")</f>
        <v>62</v>
      </c>
      <c r="C254">
        <v>8155510</v>
      </c>
    </row>
    <row r="255" spans="1:3" x14ac:dyDescent="0.3">
      <c r="A255" s="20">
        <v>45911</v>
      </c>
      <c r="B255" s="5">
        <f>IFERROR(DATEDIF(Launch_Dates!$B$3,A255,"m"),"")</f>
        <v>62</v>
      </c>
      <c r="C255">
        <v>8096023</v>
      </c>
    </row>
    <row r="256" spans="1:3" x14ac:dyDescent="0.3">
      <c r="A256" s="20">
        <v>45912</v>
      </c>
      <c r="B256" s="5">
        <f>IFERROR(DATEDIF(Launch_Dates!$B$3,A256,"m"),"")</f>
        <v>62</v>
      </c>
      <c r="C256">
        <v>8120899</v>
      </c>
    </row>
    <row r="257" spans="1:3" x14ac:dyDescent="0.3">
      <c r="A257" s="20">
        <v>45913</v>
      </c>
      <c r="B257" s="5">
        <f>IFERROR(DATEDIF(Launch_Dates!$B$3,A257,"m"),"")</f>
        <v>62</v>
      </c>
      <c r="C257">
        <v>7856710</v>
      </c>
    </row>
    <row r="258" spans="1:3" x14ac:dyDescent="0.3">
      <c r="A258" s="20">
        <v>45914</v>
      </c>
      <c r="B258" s="5">
        <f>IFERROR(DATEDIF(Launch_Dates!$B$3,A258,"m"),"")</f>
        <v>62</v>
      </c>
      <c r="C258">
        <v>8132612</v>
      </c>
    </row>
    <row r="259" spans="1:3" x14ac:dyDescent="0.3">
      <c r="A259" s="20">
        <v>45915</v>
      </c>
      <c r="B259" s="5">
        <f>IFERROR(DATEDIF(Launch_Dates!$B$3,A259,"m"),"")</f>
        <v>62</v>
      </c>
      <c r="C259">
        <v>8113718</v>
      </c>
    </row>
    <row r="260" spans="1:3" x14ac:dyDescent="0.3">
      <c r="A260" s="20">
        <v>45916</v>
      </c>
      <c r="B260" s="5">
        <f>IFERROR(DATEDIF(Launch_Dates!$B$3,A260,"m"),"")</f>
        <v>62</v>
      </c>
      <c r="C260">
        <v>8139663</v>
      </c>
    </row>
    <row r="261" spans="1:3" x14ac:dyDescent="0.3">
      <c r="A261" s="20">
        <v>45917</v>
      </c>
      <c r="B261" s="5">
        <f>IFERROR(DATEDIF(Launch_Dates!$B$3,A261,"m"),"")</f>
        <v>62</v>
      </c>
      <c r="C261">
        <v>8138317</v>
      </c>
    </row>
    <row r="262" spans="1:3" x14ac:dyDescent="0.3">
      <c r="A262" s="20">
        <v>45918</v>
      </c>
      <c r="B262" s="5">
        <f>IFERROR(DATEDIF(Launch_Dates!$B$3,A262,"m"),"")</f>
        <v>62</v>
      </c>
      <c r="C262">
        <v>8072801</v>
      </c>
    </row>
    <row r="263" spans="1:3" x14ac:dyDescent="0.3">
      <c r="A263" s="20">
        <v>45919</v>
      </c>
      <c r="B263" s="5">
        <f>IFERROR(DATEDIF(Launch_Dates!$B$3,A263,"m"),"")</f>
        <v>62</v>
      </c>
      <c r="C263">
        <v>8072078</v>
      </c>
    </row>
    <row r="264" spans="1:3" x14ac:dyDescent="0.3">
      <c r="A264" s="20">
        <v>45920</v>
      </c>
      <c r="B264" s="5">
        <f>IFERROR(DATEDIF(Launch_Dates!$B$3,A264,"m"),"")</f>
        <v>62</v>
      </c>
      <c r="C264">
        <v>9044356</v>
      </c>
    </row>
    <row r="265" spans="1:3" x14ac:dyDescent="0.3">
      <c r="A265" s="20">
        <v>45921</v>
      </c>
      <c r="B265" s="5">
        <f>IFERROR(DATEDIF(Launch_Dates!$B$3,A265,"m"),"")</f>
        <v>62</v>
      </c>
      <c r="C265">
        <v>8587161</v>
      </c>
    </row>
    <row r="266" spans="1:3" x14ac:dyDescent="0.3">
      <c r="A266" s="20">
        <v>45922</v>
      </c>
      <c r="B266" s="5">
        <f>IFERROR(DATEDIF(Launch_Dates!$B$3,A266,"m"),"")</f>
        <v>62</v>
      </c>
      <c r="C266">
        <v>7604580</v>
      </c>
    </row>
    <row r="267" spans="1:3" x14ac:dyDescent="0.3">
      <c r="A267" s="20">
        <v>45923</v>
      </c>
      <c r="B267" s="5">
        <f>IFERROR(DATEDIF(Launch_Dates!$B$3,A267,"m"),"")</f>
        <v>62</v>
      </c>
      <c r="C267">
        <v>8145886</v>
      </c>
    </row>
    <row r="268" spans="1:3" x14ac:dyDescent="0.3">
      <c r="A268" s="20">
        <v>45924</v>
      </c>
      <c r="B268" s="5">
        <f>IFERROR(DATEDIF(Launch_Dates!$B$3,A268,"m"),"")</f>
        <v>62</v>
      </c>
      <c r="C268">
        <v>8104484</v>
      </c>
    </row>
    <row r="269" spans="1:3" x14ac:dyDescent="0.3">
      <c r="A269" s="20">
        <v>45925</v>
      </c>
      <c r="B269" s="5">
        <f>IFERROR(DATEDIF(Launch_Dates!$B$3,A269,"m"),"")</f>
        <v>62</v>
      </c>
      <c r="C269">
        <v>8132239</v>
      </c>
    </row>
    <row r="270" spans="1:3" x14ac:dyDescent="0.3">
      <c r="A270" s="20">
        <v>45926</v>
      </c>
      <c r="B270" s="5">
        <f>IFERROR(DATEDIF(Launch_Dates!$B$3,A270,"m"),"")</f>
        <v>62</v>
      </c>
      <c r="C270">
        <v>8198044</v>
      </c>
    </row>
    <row r="271" spans="1:3" x14ac:dyDescent="0.3">
      <c r="A271" s="20">
        <v>45927</v>
      </c>
      <c r="B271" s="5">
        <f>IFERROR(DATEDIF(Launch_Dates!$B$3,A271,"m"),"")</f>
        <v>62</v>
      </c>
      <c r="C271">
        <v>7567338</v>
      </c>
    </row>
    <row r="272" spans="1:3" x14ac:dyDescent="0.3">
      <c r="A272" s="20">
        <v>45928</v>
      </c>
      <c r="B272" s="5">
        <f>IFERROR(DATEDIF(Launch_Dates!$B$3,A272,"m"),"")</f>
        <v>62</v>
      </c>
      <c r="C272">
        <v>8136918</v>
      </c>
    </row>
    <row r="273" spans="1:3" x14ac:dyDescent="0.3">
      <c r="A273" s="20">
        <v>45929</v>
      </c>
      <c r="B273" s="5">
        <f>IFERROR(DATEDIF(Launch_Dates!$B$3,A273,"m"),"")</f>
        <v>62</v>
      </c>
      <c r="C273">
        <v>8190877</v>
      </c>
    </row>
    <row r="274" spans="1:3" x14ac:dyDescent="0.3">
      <c r="A274" s="20">
        <v>45930</v>
      </c>
      <c r="B274" s="5">
        <f>IFERROR(DATEDIF(Launch_Dates!$B$3,A274,"m"),"")</f>
        <v>62</v>
      </c>
      <c r="C274">
        <v>8376768</v>
      </c>
    </row>
    <row r="275" spans="1:3" x14ac:dyDescent="0.3">
      <c r="A275" s="20">
        <v>45931</v>
      </c>
      <c r="B275" s="5">
        <f>IFERROR(DATEDIF(Launch_Dates!$B$3,A275,"m"),"")</f>
        <v>63</v>
      </c>
      <c r="C275">
        <v>8435784</v>
      </c>
    </row>
    <row r="276" spans="1:3" x14ac:dyDescent="0.3">
      <c r="A276" s="20">
        <v>45932</v>
      </c>
      <c r="B276" s="5">
        <f>IFERROR(DATEDIF(Launch_Dates!$B$3,A276,"m"),"")</f>
        <v>63</v>
      </c>
      <c r="C276">
        <v>8331593</v>
      </c>
    </row>
    <row r="277" spans="1:3" x14ac:dyDescent="0.3">
      <c r="A277" s="20">
        <v>45933</v>
      </c>
      <c r="B277" s="5">
        <f>IFERROR(DATEDIF(Launch_Dates!$B$3,A277,"m"),"")</f>
        <v>63</v>
      </c>
      <c r="C277">
        <v>8469258</v>
      </c>
    </row>
    <row r="278" spans="1:3" x14ac:dyDescent="0.3">
      <c r="A278" s="20">
        <v>45934</v>
      </c>
      <c r="B278" s="5">
        <f>IFERROR(DATEDIF(Launch_Dates!$B$3,A278,"m"),"")</f>
        <v>63</v>
      </c>
      <c r="C278">
        <v>8136805</v>
      </c>
    </row>
    <row r="279" spans="1:3" x14ac:dyDescent="0.3">
      <c r="A279" s="20">
        <v>45935</v>
      </c>
      <c r="B279" s="5">
        <f>IFERROR(DATEDIF(Launch_Dates!$B$3,A279,"m"),"")</f>
        <v>63</v>
      </c>
      <c r="C279">
        <v>8304552</v>
      </c>
    </row>
    <row r="280" spans="1:3" x14ac:dyDescent="0.3">
      <c r="A280" s="20">
        <v>45936</v>
      </c>
      <c r="B280" s="5">
        <f>IFERROR(DATEDIF(Launch_Dates!$B$3,A280,"m"),"")</f>
        <v>63</v>
      </c>
      <c r="C280">
        <v>8289454</v>
      </c>
    </row>
    <row r="281" spans="1:3" x14ac:dyDescent="0.3">
      <c r="A281" s="20">
        <v>45937</v>
      </c>
      <c r="B281" s="5">
        <f>IFERROR(DATEDIF(Launch_Dates!$B$3,A281,"m"),"")</f>
        <v>63</v>
      </c>
      <c r="C281">
        <v>8307754</v>
      </c>
    </row>
    <row r="282" spans="1:3" x14ac:dyDescent="0.3">
      <c r="A282" s="20">
        <v>45938</v>
      </c>
      <c r="B282" s="5">
        <f>IFERROR(DATEDIF(Launch_Dates!$B$3,A282,"m"),"")</f>
        <v>63</v>
      </c>
      <c r="C282">
        <v>8561730</v>
      </c>
    </row>
    <row r="283" spans="1:3" x14ac:dyDescent="0.3">
      <c r="A283" s="20">
        <v>45939</v>
      </c>
      <c r="B283" s="5">
        <f>IFERROR(DATEDIF(Launch_Dates!$B$3,A283,"m"),"")</f>
        <v>63</v>
      </c>
      <c r="C283">
        <v>8308113</v>
      </c>
    </row>
    <row r="284" spans="1:3" x14ac:dyDescent="0.3">
      <c r="A284" s="20">
        <v>45940</v>
      </c>
      <c r="B284" s="5">
        <f>IFERROR(DATEDIF(Launch_Dates!$B$3,A284,"m"),"")</f>
        <v>63</v>
      </c>
      <c r="C284">
        <v>8600387</v>
      </c>
    </row>
    <row r="285" spans="1:3" x14ac:dyDescent="0.3">
      <c r="A285" s="20">
        <v>45941</v>
      </c>
      <c r="B285" s="5">
        <f>IFERROR(DATEDIF(Launch_Dates!$B$3,A285,"m"),"")</f>
        <v>63</v>
      </c>
      <c r="C285">
        <v>8256151</v>
      </c>
    </row>
    <row r="286" spans="1:3" x14ac:dyDescent="0.3">
      <c r="A286" s="20">
        <v>45942</v>
      </c>
      <c r="B286" s="5">
        <f>IFERROR(DATEDIF(Launch_Dates!$B$3,A286,"m"),"")</f>
        <v>63</v>
      </c>
      <c r="C286">
        <v>8526375</v>
      </c>
    </row>
    <row r="287" spans="1:3" x14ac:dyDescent="0.3">
      <c r="A287" s="20">
        <v>45943</v>
      </c>
      <c r="B287" s="5">
        <f>IFERROR(DATEDIF(Launch_Dates!$B$3,A287,"m"),"")</f>
        <v>63</v>
      </c>
      <c r="C287">
        <v>8524270</v>
      </c>
    </row>
    <row r="288" spans="1:3" x14ac:dyDescent="0.3">
      <c r="A288" s="20">
        <v>45944</v>
      </c>
      <c r="B288" s="5">
        <f>IFERROR(DATEDIF(Launch_Dates!$B$3,A288,"m"),"")</f>
        <v>63</v>
      </c>
      <c r="C288">
        <v>8743375</v>
      </c>
    </row>
    <row r="289" spans="1:3" x14ac:dyDescent="0.3">
      <c r="A289" s="20">
        <v>45945</v>
      </c>
      <c r="B289" s="5">
        <f>IFERROR(DATEDIF(Launch_Dates!$B$3,A289,"m"),"")</f>
        <v>63</v>
      </c>
      <c r="C289">
        <v>9364249</v>
      </c>
    </row>
    <row r="290" spans="1:3" x14ac:dyDescent="0.3">
      <c r="A290" s="20">
        <v>45946</v>
      </c>
      <c r="B290" s="5">
        <f>IFERROR(DATEDIF(Launch_Dates!$B$3,A290,"m"),"")</f>
        <v>63</v>
      </c>
      <c r="C290">
        <v>9608368</v>
      </c>
    </row>
    <row r="291" spans="1:3" x14ac:dyDescent="0.3">
      <c r="A291" s="20">
        <v>45947</v>
      </c>
      <c r="B291" s="5">
        <f>IFERROR(DATEDIF(Launch_Dates!$B$3,A291,"m"),"")</f>
        <v>63</v>
      </c>
      <c r="C291">
        <v>9963172</v>
      </c>
    </row>
    <row r="292" spans="1:3" x14ac:dyDescent="0.3">
      <c r="A292" s="20">
        <v>45948</v>
      </c>
      <c r="B292" s="5">
        <f>IFERROR(DATEDIF(Launch_Dates!$B$3,A292,"m"),"")</f>
        <v>63</v>
      </c>
      <c r="C292">
        <v>9948992</v>
      </c>
    </row>
    <row r="293" spans="1:3" x14ac:dyDescent="0.3">
      <c r="A293" s="20">
        <v>45949</v>
      </c>
      <c r="B293" s="5">
        <f>IFERROR(DATEDIF(Launch_Dates!$B$3,A293,"m"),"")</f>
        <v>63</v>
      </c>
      <c r="C293">
        <v>10408088</v>
      </c>
    </row>
    <row r="294" spans="1:3" x14ac:dyDescent="0.3">
      <c r="A294" s="20">
        <v>45950</v>
      </c>
      <c r="B294" s="5">
        <f>IFERROR(DATEDIF(Launch_Dates!$B$3,A294,"m"),"")</f>
        <v>63</v>
      </c>
      <c r="C294">
        <v>10590435</v>
      </c>
    </row>
    <row r="295" spans="1:3" x14ac:dyDescent="0.3">
      <c r="A295" s="20">
        <v>45951</v>
      </c>
      <c r="B295" s="5">
        <f>IFERROR(DATEDIF(Launch_Dates!$B$3,A295,"m"),"")</f>
        <v>63</v>
      </c>
      <c r="C295">
        <v>11274196</v>
      </c>
    </row>
    <row r="296" spans="1:3" x14ac:dyDescent="0.3">
      <c r="A296" s="20">
        <v>45952</v>
      </c>
      <c r="B296" s="5">
        <f>IFERROR(DATEDIF(Launch_Dates!$B$3,A296,"m"),"")</f>
        <v>63</v>
      </c>
      <c r="C296">
        <v>12194231</v>
      </c>
    </row>
    <row r="297" spans="1:3" x14ac:dyDescent="0.3">
      <c r="A297" s="20">
        <v>45953</v>
      </c>
      <c r="B297" s="5">
        <f>IFERROR(DATEDIF(Launch_Dates!$B$3,A297,"m"),"")</f>
        <v>63</v>
      </c>
      <c r="C297">
        <v>12310630</v>
      </c>
    </row>
    <row r="298" spans="1:3" x14ac:dyDescent="0.3">
      <c r="A298" s="20">
        <v>45954</v>
      </c>
      <c r="B298" s="5">
        <f>IFERROR(DATEDIF(Launch_Dates!$B$3,A298,"m"),"")</f>
        <v>63</v>
      </c>
      <c r="C298">
        <v>11465584</v>
      </c>
    </row>
    <row r="299" spans="1:3" x14ac:dyDescent="0.3">
      <c r="A299" s="20">
        <v>45955</v>
      </c>
      <c r="B299" s="5">
        <f>IFERROR(DATEDIF(Launch_Dates!$B$3,A299,"m"),"")</f>
        <v>63</v>
      </c>
      <c r="C299">
        <v>11169278</v>
      </c>
    </row>
    <row r="300" spans="1:3" x14ac:dyDescent="0.3">
      <c r="A300" s="20">
        <v>45956</v>
      </c>
      <c r="B300" s="5">
        <f>IFERROR(DATEDIF(Launch_Dates!$B$3,A300,"m"),"")</f>
        <v>63</v>
      </c>
      <c r="C300">
        <v>11604362</v>
      </c>
    </row>
    <row r="301" spans="1:3" x14ac:dyDescent="0.3">
      <c r="A301" s="20">
        <v>45957</v>
      </c>
      <c r="B301" s="5">
        <f>IFERROR(DATEDIF(Launch_Dates!$B$3,A301,"m"),"")</f>
        <v>63</v>
      </c>
      <c r="C301">
        <v>11609879</v>
      </c>
    </row>
    <row r="302" spans="1:3" x14ac:dyDescent="0.3">
      <c r="A302" s="20">
        <v>45958</v>
      </c>
      <c r="B302" s="5">
        <f>IFERROR(DATEDIF(Launch_Dates!$B$3,A302,"m"),"")</f>
        <v>63</v>
      </c>
      <c r="C302">
        <v>11373334</v>
      </c>
    </row>
    <row r="303" spans="1:3" x14ac:dyDescent="0.3">
      <c r="A303" s="20">
        <v>45959</v>
      </c>
      <c r="B303" s="5">
        <f>IFERROR(DATEDIF(Launch_Dates!$B$3,A303,"m"),"")</f>
        <v>63</v>
      </c>
      <c r="C303">
        <v>11886781</v>
      </c>
    </row>
    <row r="304" spans="1:3" x14ac:dyDescent="0.3">
      <c r="A304" s="20">
        <v>45960</v>
      </c>
      <c r="B304" s="5">
        <f>IFERROR(DATEDIF(Launch_Dates!$B$3,A304,"m"),"")</f>
        <v>63</v>
      </c>
      <c r="C304">
        <v>12636724</v>
      </c>
    </row>
    <row r="305" spans="1:3" x14ac:dyDescent="0.3">
      <c r="A305" s="20">
        <v>45961</v>
      </c>
      <c r="B305" s="5">
        <f>IFERROR(DATEDIF(Launch_Dates!$B$3,A305,"m"),"")</f>
        <v>63</v>
      </c>
      <c r="C305">
        <v>13002024</v>
      </c>
    </row>
    <row r="306" spans="1:3" x14ac:dyDescent="0.3">
      <c r="A306" s="20">
        <v>45962</v>
      </c>
      <c r="B306" s="5">
        <f>IFERROR(DATEDIF(Launch_Dates!$B$3,A306,"m"),"")</f>
        <v>64</v>
      </c>
      <c r="C306">
        <v>13099012</v>
      </c>
    </row>
    <row r="307" spans="1:3" x14ac:dyDescent="0.3">
      <c r="A307" s="20">
        <v>45963</v>
      </c>
      <c r="B307" s="5">
        <f>IFERROR(DATEDIF(Launch_Dates!$B$3,A307,"m"),"")</f>
        <v>64</v>
      </c>
      <c r="C307">
        <v>13343655</v>
      </c>
    </row>
    <row r="308" spans="1:3" x14ac:dyDescent="0.3">
      <c r="A308" s="20">
        <v>45964</v>
      </c>
      <c r="B308" s="5">
        <f>IFERROR(DATEDIF(Launch_Dates!$B$3,A308,"m"),"")</f>
        <v>64</v>
      </c>
      <c r="C308">
        <v>13207961</v>
      </c>
    </row>
    <row r="309" spans="1:3" x14ac:dyDescent="0.3">
      <c r="A309" s="20">
        <v>45965</v>
      </c>
      <c r="B309" s="5">
        <f>IFERROR(DATEDIF(Launch_Dates!$B$3,A309,"m"),"")</f>
        <v>64</v>
      </c>
      <c r="C309">
        <v>13186783</v>
      </c>
    </row>
    <row r="310" spans="1:3" x14ac:dyDescent="0.3">
      <c r="A310" s="20">
        <v>45966</v>
      </c>
      <c r="B310" s="5">
        <f>IFERROR(DATEDIF(Launch_Dates!$B$3,A310,"m"),"")</f>
        <v>64</v>
      </c>
      <c r="C310">
        <v>14187092</v>
      </c>
    </row>
    <row r="311" spans="1:3" x14ac:dyDescent="0.3">
      <c r="A311" s="20">
        <v>45967</v>
      </c>
      <c r="B311" s="5">
        <f>IFERROR(DATEDIF(Launch_Dates!$B$3,A311,"m"),"")</f>
        <v>64</v>
      </c>
      <c r="C311">
        <v>14659882</v>
      </c>
    </row>
    <row r="312" spans="1:3" x14ac:dyDescent="0.3">
      <c r="A312" s="20">
        <v>45968</v>
      </c>
      <c r="B312" s="5">
        <f>IFERROR(DATEDIF(Launch_Dates!$B$3,A312,"m"),"")</f>
        <v>64</v>
      </c>
      <c r="C312">
        <v>14255587</v>
      </c>
    </row>
    <row r="313" spans="1:3" x14ac:dyDescent="0.3">
      <c r="A313" s="20">
        <v>45969</v>
      </c>
      <c r="B313" s="5">
        <f>IFERROR(DATEDIF(Launch_Dates!$B$3,A313,"m"),"")</f>
        <v>64</v>
      </c>
      <c r="C313">
        <v>16869977</v>
      </c>
    </row>
    <row r="314" spans="1:3" x14ac:dyDescent="0.3">
      <c r="A314" s="20">
        <v>45970</v>
      </c>
      <c r="B314" s="5">
        <f>IFERROR(DATEDIF(Launch_Dates!$B$3,A314,"m"),"")</f>
        <v>64</v>
      </c>
      <c r="C314">
        <v>17019724</v>
      </c>
    </row>
    <row r="315" spans="1:3" x14ac:dyDescent="0.3">
      <c r="A315" s="20">
        <v>45971</v>
      </c>
      <c r="B315" s="5">
        <f>IFERROR(DATEDIF(Launch_Dates!$B$3,A315,"m"),"")</f>
        <v>64</v>
      </c>
      <c r="C315">
        <v>15692652</v>
      </c>
    </row>
    <row r="316" spans="1:3" x14ac:dyDescent="0.3">
      <c r="A316" s="20">
        <v>45972</v>
      </c>
      <c r="B316" s="5">
        <f>IFERROR(DATEDIF(Launch_Dates!$B$3,A316,"m"),"")</f>
        <v>64</v>
      </c>
      <c r="C316">
        <v>16812231</v>
      </c>
    </row>
    <row r="317" spans="1:3" x14ac:dyDescent="0.3">
      <c r="A317" s="20">
        <v>45973</v>
      </c>
      <c r="B317" s="5">
        <f>IFERROR(DATEDIF(Launch_Dates!$B$3,A317,"m"),"")</f>
        <v>64</v>
      </c>
      <c r="C317">
        <v>16746893</v>
      </c>
    </row>
    <row r="318" spans="1:3" x14ac:dyDescent="0.3">
      <c r="A318" s="20">
        <v>45974</v>
      </c>
      <c r="B318" s="5">
        <f>IFERROR(DATEDIF(Launch_Dates!$B$3,A318,"m"),"")</f>
        <v>64</v>
      </c>
      <c r="C318">
        <v>17052049</v>
      </c>
    </row>
    <row r="319" spans="1:3" x14ac:dyDescent="0.3">
      <c r="A319" s="20">
        <v>45975</v>
      </c>
      <c r="B319" s="5">
        <f>IFERROR(DATEDIF(Launch_Dates!$B$3,A319,"m"),"")</f>
        <v>64</v>
      </c>
      <c r="C319">
        <v>15532127</v>
      </c>
    </row>
    <row r="320" spans="1:3" x14ac:dyDescent="0.3">
      <c r="A320" s="20">
        <v>45976</v>
      </c>
      <c r="B320" s="5">
        <f>IFERROR(DATEDIF(Launch_Dates!$B$3,A320,"m"),"")</f>
        <v>64</v>
      </c>
      <c r="C320">
        <v>16741704</v>
      </c>
    </row>
    <row r="321" spans="1:3" x14ac:dyDescent="0.3">
      <c r="A321" s="20">
        <v>45977</v>
      </c>
      <c r="B321" s="5">
        <f>IFERROR(DATEDIF(Launch_Dates!$B$3,A321,"m"),"")</f>
        <v>64</v>
      </c>
      <c r="C321">
        <v>16618121</v>
      </c>
    </row>
    <row r="322" spans="1:3" x14ac:dyDescent="0.3">
      <c r="A322" s="20">
        <v>45978</v>
      </c>
      <c r="B322" s="5">
        <f>IFERROR(DATEDIF(Launch_Dates!$B$3,A322,"m"),"")</f>
        <v>64</v>
      </c>
      <c r="C322">
        <v>16146013</v>
      </c>
    </row>
    <row r="323" spans="1:3" x14ac:dyDescent="0.3">
      <c r="A323" s="20">
        <v>45979</v>
      </c>
      <c r="B323" s="5">
        <f>IFERROR(DATEDIF(Launch_Dates!$B$3,A323,"m"),"")</f>
        <v>64</v>
      </c>
      <c r="C323">
        <v>14780784</v>
      </c>
    </row>
    <row r="324" spans="1:3" x14ac:dyDescent="0.3">
      <c r="A324" s="20">
        <v>45980</v>
      </c>
      <c r="B324" s="5">
        <f>IFERROR(DATEDIF(Launch_Dates!$B$3,A324,"m"),"")</f>
        <v>64</v>
      </c>
      <c r="C324">
        <v>14949508</v>
      </c>
    </row>
    <row r="325" spans="1:3" x14ac:dyDescent="0.3">
      <c r="A325" s="20">
        <v>45981</v>
      </c>
      <c r="B325" s="5">
        <f>IFERROR(DATEDIF(Launch_Dates!$B$3,A325,"m"),"")</f>
        <v>64</v>
      </c>
      <c r="C325">
        <v>15203837</v>
      </c>
    </row>
    <row r="326" spans="1:3" x14ac:dyDescent="0.3">
      <c r="A326" s="20">
        <v>45982</v>
      </c>
      <c r="B326" s="5">
        <f>IFERROR(DATEDIF(Launch_Dates!$B$3,A326,"m"),"")</f>
        <v>64</v>
      </c>
      <c r="C326">
        <v>14524349</v>
      </c>
    </row>
    <row r="327" spans="1:3" x14ac:dyDescent="0.3">
      <c r="A327" s="20">
        <v>45983</v>
      </c>
      <c r="B327" s="5">
        <f>IFERROR(DATEDIF(Launch_Dates!$B$3,A327,"m"),"")</f>
        <v>64</v>
      </c>
      <c r="C327">
        <v>13580109</v>
      </c>
    </row>
    <row r="328" spans="1:3" x14ac:dyDescent="0.3">
      <c r="A328" s="20">
        <v>45984</v>
      </c>
      <c r="B328" s="5">
        <f>IFERROR(DATEDIF(Launch_Dates!$B$3,A328,"m"),"")</f>
        <v>64</v>
      </c>
      <c r="C328">
        <v>13012757</v>
      </c>
    </row>
    <row r="329" spans="1:3" x14ac:dyDescent="0.3">
      <c r="A329" s="20">
        <v>45985</v>
      </c>
      <c r="B329" s="5">
        <f>IFERROR(DATEDIF(Launch_Dates!$B$3,A329,"m"),"")</f>
        <v>64</v>
      </c>
      <c r="C329">
        <v>13224835</v>
      </c>
    </row>
    <row r="330" spans="1:3" x14ac:dyDescent="0.3">
      <c r="A330" s="20">
        <v>45986</v>
      </c>
      <c r="B330" s="5">
        <f>IFERROR(DATEDIF(Launch_Dates!$B$3,A330,"m"),"")</f>
        <v>64</v>
      </c>
      <c r="C330">
        <v>10881279</v>
      </c>
    </row>
    <row r="331" spans="1:3" x14ac:dyDescent="0.3">
      <c r="A331" s="20">
        <v>45987</v>
      </c>
      <c r="B331" s="5">
        <f>IFERROR(DATEDIF(Launch_Dates!$B$3,A331,"m"),"")</f>
        <v>64</v>
      </c>
      <c r="C331">
        <v>11056418</v>
      </c>
    </row>
    <row r="332" spans="1:3" x14ac:dyDescent="0.3">
      <c r="A332" s="20">
        <v>45988</v>
      </c>
      <c r="B332" s="5">
        <f>IFERROR(DATEDIF(Launch_Dates!$B$3,A332,"m"),"")</f>
        <v>64</v>
      </c>
      <c r="C332">
        <v>10711773</v>
      </c>
    </row>
    <row r="333" spans="1:3" x14ac:dyDescent="0.3">
      <c r="A333" s="20">
        <v>45989</v>
      </c>
      <c r="B333" s="5">
        <f>IFERROR(DATEDIF(Launch_Dates!$B$3,A333,"m"),"")</f>
        <v>64</v>
      </c>
      <c r="C333">
        <v>9946189</v>
      </c>
    </row>
    <row r="334" spans="1:3" x14ac:dyDescent="0.3">
      <c r="A334" s="20">
        <v>45990</v>
      </c>
      <c r="B334" s="5">
        <f>IFERROR(DATEDIF(Launch_Dates!$B$3,A334,"m"),"")</f>
        <v>64</v>
      </c>
      <c r="C334">
        <v>10254530</v>
      </c>
    </row>
    <row r="335" spans="1:3" x14ac:dyDescent="0.3">
      <c r="A335" s="20">
        <v>45991</v>
      </c>
      <c r="B335" s="5">
        <f>IFERROR(DATEDIF(Launch_Dates!$B$3,A335,"m"),"")</f>
        <v>64</v>
      </c>
      <c r="C335">
        <v>10624955</v>
      </c>
    </row>
    <row r="336" spans="1:3" x14ac:dyDescent="0.3">
      <c r="A336" s="20">
        <v>45992</v>
      </c>
      <c r="B336" s="5">
        <f>IFERROR(DATEDIF(Launch_Dates!$B$3,A336,"m"),"")</f>
        <v>65</v>
      </c>
      <c r="C336">
        <v>10868167</v>
      </c>
    </row>
    <row r="337" spans="1:3" x14ac:dyDescent="0.3">
      <c r="A337" s="20">
        <v>45993</v>
      </c>
      <c r="B337" s="5">
        <f>IFERROR(DATEDIF(Launch_Dates!$B$3,A337,"m"),"")</f>
        <v>65</v>
      </c>
      <c r="C337">
        <v>11330167</v>
      </c>
    </row>
    <row r="338" spans="1:3" x14ac:dyDescent="0.3">
      <c r="A338" s="20">
        <v>45994</v>
      </c>
      <c r="B338" s="5">
        <f>IFERROR(DATEDIF(Launch_Dates!$B$3,A338,"m"),"")</f>
        <v>65</v>
      </c>
      <c r="C338">
        <v>7532729</v>
      </c>
    </row>
    <row r="339" spans="1:3" x14ac:dyDescent="0.3">
      <c r="A339" s="20">
        <v>45995</v>
      </c>
      <c r="B339" s="5">
        <f>IFERROR(DATEDIF(Launch_Dates!$B$3,A339,"m"),"")</f>
        <v>65</v>
      </c>
      <c r="C339">
        <v>12746160</v>
      </c>
    </row>
    <row r="340" spans="1:3" x14ac:dyDescent="0.3">
      <c r="A340" s="20">
        <v>45996</v>
      </c>
      <c r="B340" s="5">
        <f>IFERROR(DATEDIF(Launch_Dates!$B$3,A340,"m"),"")</f>
        <v>65</v>
      </c>
      <c r="C340">
        <v>7929107</v>
      </c>
    </row>
    <row r="341" spans="1:3" x14ac:dyDescent="0.3">
      <c r="A341" s="20">
        <v>45997</v>
      </c>
      <c r="B341" s="5">
        <f>IFERROR(DATEDIF(Launch_Dates!$B$3,A341,"m"),"")</f>
        <v>65</v>
      </c>
      <c r="C341">
        <v>6963903</v>
      </c>
    </row>
    <row r="342" spans="1:3" x14ac:dyDescent="0.3">
      <c r="A342" s="20">
        <v>45998</v>
      </c>
      <c r="B342" s="5">
        <f>IFERROR(DATEDIF(Launch_Dates!$B$3,A342,"m"),"")</f>
        <v>65</v>
      </c>
      <c r="C342">
        <v>7431400</v>
      </c>
    </row>
    <row r="343" spans="1:3" x14ac:dyDescent="0.3">
      <c r="A343" s="20">
        <v>45999</v>
      </c>
      <c r="B343" s="5">
        <f>IFERROR(DATEDIF(Launch_Dates!$B$3,A343,"m"),"")</f>
        <v>65</v>
      </c>
      <c r="C343">
        <v>9929469</v>
      </c>
    </row>
    <row r="344" spans="1:3" x14ac:dyDescent="0.3">
      <c r="A344" s="20">
        <v>46000</v>
      </c>
      <c r="B344" s="5">
        <f>IFERROR(DATEDIF(Launch_Dates!$B$3,A344,"m"),"")</f>
        <v>65</v>
      </c>
      <c r="C344">
        <v>13393014</v>
      </c>
    </row>
    <row r="345" spans="1:3" x14ac:dyDescent="0.3">
      <c r="A345" s="20">
        <v>46001</v>
      </c>
      <c r="B345" s="5">
        <f>IFERROR(DATEDIF(Launch_Dates!$B$3,A345,"m"),"")</f>
        <v>65</v>
      </c>
      <c r="C345">
        <v>13002084</v>
      </c>
    </row>
    <row r="346" spans="1:3" x14ac:dyDescent="0.3">
      <c r="A346" s="20">
        <v>46002</v>
      </c>
      <c r="B346" s="5">
        <f>IFERROR(DATEDIF(Launch_Dates!$B$3,A346,"m"),"")</f>
        <v>65</v>
      </c>
      <c r="C346">
        <v>13191373</v>
      </c>
    </row>
    <row r="347" spans="1:3" x14ac:dyDescent="0.3">
      <c r="A347" s="20">
        <v>46003</v>
      </c>
      <c r="B347" s="5">
        <f>IFERROR(DATEDIF(Launch_Dates!$B$3,A347,"m"),"")</f>
        <v>65</v>
      </c>
      <c r="C347">
        <v>16488378</v>
      </c>
    </row>
    <row r="348" spans="1:3" x14ac:dyDescent="0.3">
      <c r="A348" s="20">
        <v>46004</v>
      </c>
      <c r="B348" s="5">
        <f>IFERROR(DATEDIF(Launch_Dates!$B$3,A348,"m"),"")</f>
        <v>65</v>
      </c>
      <c r="C348">
        <v>16187147</v>
      </c>
    </row>
    <row r="349" spans="1:3" x14ac:dyDescent="0.3">
      <c r="A349" s="20">
        <v>46005</v>
      </c>
      <c r="B349" s="5">
        <f>IFERROR(DATEDIF(Launch_Dates!$B$3,A349,"m"),"")</f>
        <v>65</v>
      </c>
      <c r="C349">
        <v>16461389</v>
      </c>
    </row>
    <row r="350" spans="1:3" x14ac:dyDescent="0.3">
      <c r="A350" s="20">
        <v>46006</v>
      </c>
      <c r="B350" s="5">
        <f>IFERROR(DATEDIF(Launch_Dates!$B$3,A350,"m"),"")</f>
        <v>65</v>
      </c>
      <c r="C350">
        <v>15345166</v>
      </c>
    </row>
    <row r="351" spans="1:3" x14ac:dyDescent="0.3">
      <c r="A351" s="20">
        <v>46007</v>
      </c>
      <c r="B351" s="5">
        <f>IFERROR(DATEDIF(Launch_Dates!$B$3,A351,"m"),"")</f>
        <v>65</v>
      </c>
      <c r="C351">
        <v>14027637</v>
      </c>
    </row>
    <row r="352" spans="1:3" x14ac:dyDescent="0.3">
      <c r="A352" s="20">
        <v>46008</v>
      </c>
      <c r="B352" s="5">
        <f>IFERROR(DATEDIF(Launch_Dates!$B$3,A352,"m"),"")</f>
        <v>65</v>
      </c>
      <c r="C352">
        <v>14430304</v>
      </c>
    </row>
    <row r="353" spans="1:3" x14ac:dyDescent="0.3">
      <c r="A353" s="20">
        <v>46009</v>
      </c>
      <c r="B353" s="5">
        <f>IFERROR(DATEDIF(Launch_Dates!$B$3,A353,"m"),"")</f>
        <v>65</v>
      </c>
      <c r="C353">
        <v>14885859</v>
      </c>
    </row>
    <row r="354" spans="1:3" x14ac:dyDescent="0.3">
      <c r="A354" s="20">
        <v>46010</v>
      </c>
      <c r="B354" s="5">
        <f>IFERROR(DATEDIF(Launch_Dates!$B$3,A354,"m"),"")</f>
        <v>65</v>
      </c>
      <c r="C354">
        <v>12249459</v>
      </c>
    </row>
    <row r="355" spans="1:3" x14ac:dyDescent="0.3">
      <c r="A355" s="20">
        <v>46011</v>
      </c>
      <c r="B355" s="5">
        <f>IFERROR(DATEDIF(Launch_Dates!$B$3,A355,"m"),"")</f>
        <v>65</v>
      </c>
      <c r="C355">
        <v>12236994</v>
      </c>
    </row>
    <row r="356" spans="1:3" x14ac:dyDescent="0.3">
      <c r="A356" s="20">
        <v>46012</v>
      </c>
      <c r="B356" s="5">
        <f>IFERROR(DATEDIF(Launch_Dates!$B$3,A356,"m"),"")</f>
        <v>65</v>
      </c>
      <c r="C356">
        <v>12483647</v>
      </c>
    </row>
    <row r="357" spans="1:3" x14ac:dyDescent="0.3">
      <c r="A357" s="20">
        <v>46013</v>
      </c>
      <c r="B357" s="5">
        <f>IFERROR(DATEDIF(Launch_Dates!$B$3,A357,"m"),"")</f>
        <v>65</v>
      </c>
      <c r="C357">
        <v>11198466</v>
      </c>
    </row>
    <row r="358" spans="1:3" x14ac:dyDescent="0.3">
      <c r="A358" s="20">
        <v>46014</v>
      </c>
      <c r="B358" s="5">
        <f>IFERROR(DATEDIF(Launch_Dates!$B$3,A358,"m"),"")</f>
        <v>65</v>
      </c>
      <c r="C358">
        <v>11590398</v>
      </c>
    </row>
    <row r="359" spans="1:3" x14ac:dyDescent="0.3">
      <c r="A359" s="20">
        <v>46015</v>
      </c>
      <c r="B359" s="5">
        <f>IFERROR(DATEDIF(Launch_Dates!$B$3,A359,"m"),"")</f>
        <v>65</v>
      </c>
      <c r="C359">
        <v>11985076</v>
      </c>
    </row>
    <row r="360" spans="1:3" x14ac:dyDescent="0.3">
      <c r="A360" s="20">
        <v>46016</v>
      </c>
      <c r="B360" s="5">
        <f>IFERROR(DATEDIF(Launch_Dates!$B$3,A360,"m"),"")</f>
        <v>65</v>
      </c>
      <c r="C360">
        <v>10771088</v>
      </c>
    </row>
    <row r="361" spans="1:3" x14ac:dyDescent="0.3">
      <c r="A361" s="20">
        <v>46017</v>
      </c>
      <c r="B361" s="5">
        <f>IFERROR(DATEDIF(Launch_Dates!$B$3,A361,"m"),"")</f>
        <v>65</v>
      </c>
      <c r="C361">
        <v>11056188</v>
      </c>
    </row>
    <row r="362" spans="1:3" x14ac:dyDescent="0.3">
      <c r="A362" s="20">
        <v>46018</v>
      </c>
      <c r="B362" s="5">
        <f>IFERROR(DATEDIF(Launch_Dates!$B$3,A362,"m"),"")</f>
        <v>65</v>
      </c>
      <c r="C362">
        <v>11375139</v>
      </c>
    </row>
    <row r="363" spans="1:3" x14ac:dyDescent="0.3">
      <c r="A363" s="20">
        <v>46019</v>
      </c>
      <c r="B363" s="5">
        <f>IFERROR(DATEDIF(Launch_Dates!$B$3,A363,"m"),"")</f>
        <v>65</v>
      </c>
      <c r="C363">
        <v>11873790</v>
      </c>
    </row>
    <row r="364" spans="1:3" x14ac:dyDescent="0.3">
      <c r="A364" s="20">
        <v>46020</v>
      </c>
      <c r="B364" s="5">
        <f>IFERROR(DATEDIF(Launch_Dates!$B$3,A364,"m"),"")</f>
        <v>65</v>
      </c>
      <c r="C364">
        <v>11938677</v>
      </c>
    </row>
    <row r="365" spans="1:3" x14ac:dyDescent="0.3">
      <c r="A365" s="20">
        <v>46021</v>
      </c>
      <c r="B365" s="5">
        <f>IFERROR(DATEDIF(Launch_Dates!$B$3,A365,"m"),"")</f>
        <v>65</v>
      </c>
      <c r="C365">
        <v>11281978</v>
      </c>
    </row>
    <row r="366" spans="1:3" x14ac:dyDescent="0.3">
      <c r="A366" s="20">
        <v>46022</v>
      </c>
      <c r="B366" s="5">
        <f>IFERROR(DATEDIF(Launch_Dates!$B$3,A366,"m"),"")</f>
        <v>65</v>
      </c>
      <c r="C366">
        <v>11940183</v>
      </c>
    </row>
    <row r="367" spans="1:3" x14ac:dyDescent="0.3">
      <c r="A367" s="20">
        <v>46023</v>
      </c>
      <c r="B367" s="5">
        <f>IFERROR(DATEDIF(Launch_Dates!$B$3,A367,"m"),"")</f>
        <v>66</v>
      </c>
      <c r="C367">
        <v>11844606</v>
      </c>
    </row>
    <row r="368" spans="1:3" x14ac:dyDescent="0.3">
      <c r="A368" s="20">
        <v>46024</v>
      </c>
      <c r="B368" s="5">
        <f>IFERROR(DATEDIF(Launch_Dates!$B$3,A368,"m"),"")</f>
        <v>66</v>
      </c>
      <c r="C368">
        <v>11667137</v>
      </c>
    </row>
    <row r="369" spans="1:3" x14ac:dyDescent="0.3">
      <c r="A369" s="20">
        <v>46025</v>
      </c>
      <c r="B369" s="5">
        <f>IFERROR(DATEDIF(Launch_Dates!$B$3,A369,"m"),"")</f>
        <v>66</v>
      </c>
      <c r="C369">
        <v>11783775</v>
      </c>
    </row>
    <row r="370" spans="1:3" x14ac:dyDescent="0.3">
      <c r="A370" s="20">
        <v>46026</v>
      </c>
      <c r="B370" s="5">
        <f>IFERROR(DATEDIF(Launch_Dates!$B$3,A370,"m"),"")</f>
        <v>66</v>
      </c>
      <c r="C370">
        <v>12118218</v>
      </c>
    </row>
    <row r="371" spans="1:3" x14ac:dyDescent="0.3">
      <c r="A371" s="20">
        <v>46027</v>
      </c>
      <c r="B371" s="5">
        <f>IFERROR(DATEDIF(Launch_Dates!$B$3,A371,"m"),"")</f>
        <v>66</v>
      </c>
      <c r="C371">
        <v>11965843</v>
      </c>
    </row>
    <row r="372" spans="1:3" x14ac:dyDescent="0.3">
      <c r="A372" s="20">
        <v>46028</v>
      </c>
      <c r="B372" s="5">
        <f>IFERROR(DATEDIF(Launch_Dates!$B$3,A372,"m"),"")</f>
        <v>66</v>
      </c>
      <c r="C372">
        <v>10994975</v>
      </c>
    </row>
    <row r="373" spans="1:3" x14ac:dyDescent="0.3">
      <c r="A373" s="20">
        <v>46029</v>
      </c>
      <c r="B373" s="5">
        <f>IFERROR(DATEDIF(Launch_Dates!$B$3,A373,"m"),"")</f>
        <v>66</v>
      </c>
      <c r="C373">
        <v>12071171</v>
      </c>
    </row>
    <row r="374" spans="1:3" x14ac:dyDescent="0.3">
      <c r="A374" s="20">
        <v>46030</v>
      </c>
      <c r="B374" s="5">
        <f>IFERROR(DATEDIF(Launch_Dates!$B$3,A374,"m"),"")</f>
        <v>66</v>
      </c>
      <c r="C374">
        <v>12279758</v>
      </c>
    </row>
    <row r="375" spans="1:3" x14ac:dyDescent="0.3">
      <c r="A375" s="20">
        <v>46031</v>
      </c>
      <c r="B375" s="5">
        <f>IFERROR(DATEDIF(Launch_Dates!$B$3,A375,"m"),"")</f>
        <v>66</v>
      </c>
      <c r="C375">
        <v>12457343</v>
      </c>
    </row>
    <row r="376" spans="1:3" x14ac:dyDescent="0.3">
      <c r="A376" s="20">
        <v>46032</v>
      </c>
      <c r="B376" s="5">
        <f>IFERROR(DATEDIF(Launch_Dates!$B$3,A376,"m"),"")</f>
        <v>66</v>
      </c>
      <c r="C376">
        <v>11417534</v>
      </c>
    </row>
    <row r="377" spans="1:3" x14ac:dyDescent="0.3">
      <c r="A377" s="20">
        <v>46033</v>
      </c>
      <c r="B377" s="5">
        <f>IFERROR(DATEDIF(Launch_Dates!$B$3,A377,"m"),"")</f>
        <v>66</v>
      </c>
      <c r="C377">
        <v>12310947</v>
      </c>
    </row>
    <row r="378" spans="1:3" x14ac:dyDescent="0.3">
      <c r="A378" s="20">
        <v>46034</v>
      </c>
      <c r="B378" s="5">
        <f>IFERROR(DATEDIF(Launch_Dates!$B$3,A378,"m"),"")</f>
        <v>66</v>
      </c>
      <c r="C378">
        <v>11713207</v>
      </c>
    </row>
    <row r="379" spans="1:3" x14ac:dyDescent="0.3">
      <c r="A379" s="20">
        <v>46035</v>
      </c>
      <c r="B379" s="5">
        <f>IFERROR(DATEDIF(Launch_Dates!$B$3,A379,"m"),"")</f>
        <v>66</v>
      </c>
      <c r="C379">
        <v>12523295</v>
      </c>
    </row>
    <row r="380" spans="1:3" x14ac:dyDescent="0.3">
      <c r="A380" s="20">
        <v>46036</v>
      </c>
      <c r="B380" s="5">
        <f>IFERROR(DATEDIF(Launch_Dates!$B$3,A380,"m"),"")</f>
        <v>66</v>
      </c>
      <c r="C380">
        <v>12174853</v>
      </c>
    </row>
    <row r="381" spans="1:3" x14ac:dyDescent="0.3">
      <c r="A381" s="20">
        <v>46037</v>
      </c>
      <c r="B381" s="5">
        <f>IFERROR(DATEDIF(Launch_Dates!$B$3,A381,"m"),"")</f>
        <v>66</v>
      </c>
      <c r="C381">
        <v>12030611</v>
      </c>
    </row>
    <row r="382" spans="1:3" x14ac:dyDescent="0.3">
      <c r="A382" s="20">
        <v>46038</v>
      </c>
      <c r="B382" s="5">
        <f>IFERROR(DATEDIF(Launch_Dates!$B$3,A382,"m"),"")</f>
        <v>66</v>
      </c>
      <c r="C382">
        <v>12087659</v>
      </c>
    </row>
    <row r="383" spans="1:3" x14ac:dyDescent="0.3">
      <c r="A383" s="20">
        <v>46039</v>
      </c>
      <c r="B383" s="5">
        <f>IFERROR(DATEDIF(Launch_Dates!$B$3,A383,"m"),"")</f>
        <v>66</v>
      </c>
      <c r="C383">
        <v>11363166</v>
      </c>
    </row>
    <row r="384" spans="1:3" x14ac:dyDescent="0.3">
      <c r="A384" s="20">
        <v>46040</v>
      </c>
      <c r="B384" s="5">
        <f>IFERROR(DATEDIF(Launch_Dates!$B$3,A384,"m"),"")</f>
        <v>66</v>
      </c>
      <c r="C384">
        <v>12094862</v>
      </c>
    </row>
    <row r="385" spans="1:3" x14ac:dyDescent="0.3">
      <c r="A385" s="20">
        <v>46041</v>
      </c>
      <c r="B385" s="5">
        <f>IFERROR(DATEDIF(Launch_Dates!$B$3,A385,"m"),"")</f>
        <v>66</v>
      </c>
      <c r="C385">
        <v>11606698</v>
      </c>
    </row>
    <row r="386" spans="1:3" x14ac:dyDescent="0.3">
      <c r="A386" s="20">
        <v>46042</v>
      </c>
      <c r="B386" s="5">
        <f>IFERROR(DATEDIF(Launch_Dates!$B$3,A386,"m"),"")</f>
        <v>66</v>
      </c>
      <c r="C386">
        <v>10781906</v>
      </c>
    </row>
    <row r="387" spans="1:3" x14ac:dyDescent="0.3">
      <c r="A387" s="20">
        <v>46043</v>
      </c>
      <c r="B387" s="5">
        <f>IFERROR(DATEDIF(Launch_Dates!$B$3,A387,"m"),"")</f>
        <v>66</v>
      </c>
      <c r="C387">
        <v>12300930</v>
      </c>
    </row>
    <row r="388" spans="1:3" x14ac:dyDescent="0.3">
      <c r="A388" s="20">
        <v>46044</v>
      </c>
      <c r="B388" s="5">
        <f>IFERROR(DATEDIF(Launch_Dates!$B$3,A388,"m"),"")</f>
        <v>66</v>
      </c>
      <c r="C388">
        <v>11999861</v>
      </c>
    </row>
    <row r="389" spans="1:3" x14ac:dyDescent="0.3">
      <c r="A389" s="20">
        <v>46045</v>
      </c>
      <c r="B389" s="5">
        <f>IFERROR(DATEDIF(Launch_Dates!$B$3,A389,"m"),"")</f>
        <v>66</v>
      </c>
      <c r="C389">
        <v>12553691</v>
      </c>
    </row>
    <row r="390" spans="1:3" x14ac:dyDescent="0.3">
      <c r="A390" s="20">
        <v>46046</v>
      </c>
      <c r="B390" s="5">
        <f>IFERROR(DATEDIF(Launch_Dates!$B$3,A390,"m"),"")</f>
        <v>66</v>
      </c>
      <c r="C390">
        <v>11923667</v>
      </c>
    </row>
    <row r="391" spans="1:3" x14ac:dyDescent="0.3">
      <c r="A391" s="20">
        <v>46047</v>
      </c>
      <c r="B391" s="5">
        <f>IFERROR(DATEDIF(Launch_Dates!$B$3,A391,"m"),"")</f>
        <v>66</v>
      </c>
      <c r="C391">
        <v>12074694</v>
      </c>
    </row>
    <row r="392" spans="1:3" x14ac:dyDescent="0.3">
      <c r="A392" s="20">
        <v>46048</v>
      </c>
      <c r="B392" s="5">
        <f>IFERROR(DATEDIF(Launch_Dates!$B$3,A392,"m"),"")</f>
        <v>66</v>
      </c>
      <c r="C392">
        <v>11443075</v>
      </c>
    </row>
    <row r="393" spans="1:3" x14ac:dyDescent="0.3">
      <c r="A393" s="20">
        <v>46049</v>
      </c>
      <c r="B393" s="5">
        <f>IFERROR(DATEDIF(Launch_Dates!$B$3,A393,"m"),"")</f>
        <v>66</v>
      </c>
      <c r="C393">
        <v>12587215</v>
      </c>
    </row>
    <row r="394" spans="1:3" x14ac:dyDescent="0.3">
      <c r="A394" s="20">
        <v>46050</v>
      </c>
      <c r="B394" s="5">
        <f>IFERROR(DATEDIF(Launch_Dates!$B$3,A394,"m"),"")</f>
        <v>66</v>
      </c>
      <c r="C394">
        <v>11289256</v>
      </c>
    </row>
    <row r="395" spans="1:3" x14ac:dyDescent="0.3">
      <c r="A395" s="20">
        <v>46051</v>
      </c>
      <c r="B395" s="5">
        <f>IFERROR(DATEDIF(Launch_Dates!$B$3,A395,"m"),"")</f>
        <v>66</v>
      </c>
      <c r="C395">
        <v>12500698</v>
      </c>
    </row>
    <row r="396" spans="1:3" x14ac:dyDescent="0.3">
      <c r="A396" s="20">
        <v>46052</v>
      </c>
      <c r="B396" s="5">
        <f>IFERROR(DATEDIF(Launch_Dates!$B$3,A396,"m"),"")</f>
        <v>66</v>
      </c>
      <c r="C396">
        <v>12333445</v>
      </c>
    </row>
    <row r="397" spans="1:3" x14ac:dyDescent="0.3">
      <c r="A397" s="20">
        <v>46053</v>
      </c>
      <c r="B397" s="5">
        <f>IFERROR(DATEDIF(Launch_Dates!$B$3,A397,"m"),"")</f>
        <v>66</v>
      </c>
      <c r="C397">
        <v>12616702</v>
      </c>
    </row>
    <row r="398" spans="1:3" x14ac:dyDescent="0.3">
      <c r="A398" s="20">
        <v>46054</v>
      </c>
      <c r="B398" s="5">
        <f>IFERROR(DATEDIF(Launch_Dates!$B$3,A398,"m"),"")</f>
        <v>67</v>
      </c>
      <c r="C398">
        <v>12365166</v>
      </c>
    </row>
    <row r="399" spans="1:3" x14ac:dyDescent="0.3">
      <c r="A399" s="20">
        <v>46055</v>
      </c>
      <c r="B399" s="5">
        <f>IFERROR(DATEDIF(Launch_Dates!$B$3,A399,"m"),"")</f>
        <v>67</v>
      </c>
      <c r="C399">
        <v>12749863</v>
      </c>
    </row>
    <row r="400" spans="1:3" x14ac:dyDescent="0.3">
      <c r="A400" s="20">
        <v>46056</v>
      </c>
      <c r="B400" s="5">
        <f>IFERROR(DATEDIF(Launch_Dates!$B$3,A400,"m"),"")</f>
        <v>67</v>
      </c>
      <c r="C400">
        <v>12981510</v>
      </c>
    </row>
    <row r="401" spans="1:3" x14ac:dyDescent="0.3">
      <c r="A401" s="20">
        <v>46057</v>
      </c>
      <c r="B401" s="5">
        <f>IFERROR(DATEDIF(Launch_Dates!$B$3,A401,"m"),"")</f>
        <v>67</v>
      </c>
      <c r="C401">
        <v>13292634</v>
      </c>
    </row>
    <row r="402" spans="1:3" x14ac:dyDescent="0.3">
      <c r="A402" s="20">
        <v>46058</v>
      </c>
      <c r="B402" s="5">
        <f>IFERROR(DATEDIF(Launch_Dates!$B$3,A402,"m"),"")</f>
        <v>67</v>
      </c>
      <c r="C402">
        <v>12030310</v>
      </c>
    </row>
    <row r="403" spans="1:3" x14ac:dyDescent="0.3">
      <c r="A403" s="20">
        <v>46059</v>
      </c>
      <c r="B403" s="5">
        <f>IFERROR(DATEDIF(Launch_Dates!$B$3,A403,"m"),"")</f>
        <v>67</v>
      </c>
      <c r="C403">
        <v>13676122</v>
      </c>
    </row>
    <row r="404" spans="1:3" x14ac:dyDescent="0.3">
      <c r="A404" s="20">
        <v>46060</v>
      </c>
      <c r="B404" s="5">
        <f>IFERROR(DATEDIF(Launch_Dates!$B$3,A404,"m"),"")</f>
        <v>67</v>
      </c>
      <c r="C404">
        <v>12017455</v>
      </c>
    </row>
    <row r="405" spans="1:3" x14ac:dyDescent="0.3">
      <c r="A405" s="20">
        <v>46061</v>
      </c>
      <c r="B405" s="5">
        <f>IFERROR(DATEDIF(Launch_Dates!$B$3,A405,"m"),"")</f>
        <v>67</v>
      </c>
      <c r="C405">
        <v>12754283</v>
      </c>
    </row>
    <row r="406" spans="1:3" x14ac:dyDescent="0.3">
      <c r="A406" s="20">
        <v>46062</v>
      </c>
      <c r="B406" s="5">
        <f>IFERROR(DATEDIF(Launch_Dates!$B$3,A406,"m"),"")</f>
        <v>67</v>
      </c>
      <c r="C406">
        <v>12664152</v>
      </c>
    </row>
    <row r="407" spans="1:3" x14ac:dyDescent="0.3">
      <c r="A407" s="20">
        <v>46063</v>
      </c>
      <c r="B407" s="5">
        <f>IFERROR(DATEDIF(Launch_Dates!$B$3,A407,"m"),"")</f>
        <v>67</v>
      </c>
      <c r="C407">
        <v>13557811</v>
      </c>
    </row>
    <row r="408" spans="1:3" x14ac:dyDescent="0.3">
      <c r="A408" s="20">
        <v>46064</v>
      </c>
      <c r="B408" s="5">
        <f>IFERROR(DATEDIF(Launch_Dates!$B$3,A408,"m"),"")</f>
        <v>67</v>
      </c>
      <c r="C408">
        <v>13562855</v>
      </c>
    </row>
    <row r="409" spans="1:3" x14ac:dyDescent="0.3">
      <c r="A409" s="20">
        <v>46065</v>
      </c>
      <c r="B409" s="5">
        <f>IFERROR(DATEDIF(Launch_Dates!$B$3,A409,"m"),"")</f>
        <v>67</v>
      </c>
      <c r="C409">
        <v>13320067</v>
      </c>
    </row>
    <row r="410" spans="1:3" x14ac:dyDescent="0.3">
      <c r="A410" s="20">
        <v>46066</v>
      </c>
      <c r="B410" s="5">
        <f>IFERROR(DATEDIF(Launch_Dates!$B$3,A410,"m"),"")</f>
        <v>67</v>
      </c>
      <c r="C410">
        <v>13110131</v>
      </c>
    </row>
    <row r="411" spans="1:3" x14ac:dyDescent="0.3">
      <c r="A411" s="20">
        <v>46067</v>
      </c>
      <c r="B411" s="5">
        <f>IFERROR(DATEDIF(Launch_Dates!$B$3,A411,"m"),"")</f>
        <v>67</v>
      </c>
      <c r="C411">
        <v>12659383</v>
      </c>
    </row>
    <row r="412" spans="1:3" x14ac:dyDescent="0.3">
      <c r="A412" s="20">
        <v>46068</v>
      </c>
      <c r="B412" s="5">
        <f>IFERROR(DATEDIF(Launch_Dates!$B$3,A412,"m"),"")</f>
        <v>67</v>
      </c>
      <c r="C412">
        <v>12168713</v>
      </c>
    </row>
    <row r="413" spans="1:3" x14ac:dyDescent="0.3">
      <c r="A413" s="20">
        <v>46069</v>
      </c>
      <c r="B413" s="5">
        <f>IFERROR(DATEDIF(Launch_Dates!$B$3,A413,"m"),"")</f>
        <v>67</v>
      </c>
      <c r="C413">
        <v>13267793</v>
      </c>
    </row>
    <row r="414" spans="1:3" x14ac:dyDescent="0.3">
      <c r="A414" s="20">
        <v>46070</v>
      </c>
      <c r="B414" s="5">
        <f>IFERROR(DATEDIF(Launch_Dates!$B$3,A414,"m"),"")</f>
        <v>67</v>
      </c>
      <c r="C414">
        <v>12156192</v>
      </c>
    </row>
    <row r="415" spans="1:3" x14ac:dyDescent="0.3">
      <c r="A415" s="20">
        <v>46071</v>
      </c>
      <c r="B415" s="5">
        <f>IFERROR(DATEDIF(Launch_Dates!$B$3,A415,"m"),"")</f>
        <v>67</v>
      </c>
      <c r="C415">
        <v>13974532</v>
      </c>
    </row>
    <row r="416" spans="1:3" x14ac:dyDescent="0.3">
      <c r="A416" s="20">
        <v>46072</v>
      </c>
      <c r="B416" s="5">
        <f>IFERROR(DATEDIF(Launch_Dates!$B$3,A416,"m"),"")</f>
        <v>67</v>
      </c>
      <c r="C416">
        <v>13308477</v>
      </c>
    </row>
    <row r="417" spans="1:3" x14ac:dyDescent="0.3">
      <c r="A417" s="20">
        <v>46073</v>
      </c>
      <c r="B417" s="5">
        <f>IFERROR(DATEDIF(Launch_Dates!$B$3,A417,"m"),"")</f>
        <v>67</v>
      </c>
      <c r="C417">
        <v>13806057</v>
      </c>
    </row>
    <row r="418" spans="1:3" x14ac:dyDescent="0.3">
      <c r="A418" s="20">
        <v>46074</v>
      </c>
      <c r="B418" s="5">
        <f>IFERROR(DATEDIF(Launch_Dates!$B$3,A418,"m"),"")</f>
        <v>67</v>
      </c>
      <c r="C418">
        <v>12310034</v>
      </c>
    </row>
    <row r="419" spans="1:3" x14ac:dyDescent="0.3">
      <c r="A419" s="20">
        <v>46075</v>
      </c>
      <c r="B419" s="5">
        <f>IFERROR(DATEDIF(Launch_Dates!$B$3,A419,"m"),"")</f>
        <v>67</v>
      </c>
      <c r="C419">
        <v>12644865</v>
      </c>
    </row>
    <row r="420" spans="1:3" x14ac:dyDescent="0.3">
      <c r="A420" s="20">
        <v>46076</v>
      </c>
      <c r="B420" s="5">
        <f>IFERROR(DATEDIF(Launch_Dates!$B$3,A420,"m"),"")</f>
        <v>67</v>
      </c>
      <c r="C420">
        <v>13211193</v>
      </c>
    </row>
    <row r="421" spans="1:3" x14ac:dyDescent="0.3">
      <c r="A421" s="20">
        <v>46077</v>
      </c>
      <c r="B421" s="5">
        <f>IFERROR(DATEDIF(Launch_Dates!$B$3,A421,"m"),"")</f>
        <v>67</v>
      </c>
      <c r="C421">
        <v>12675367</v>
      </c>
    </row>
    <row r="422" spans="1:3" x14ac:dyDescent="0.3">
      <c r="A422" s="20">
        <v>46078</v>
      </c>
      <c r="B422" s="5">
        <f>IFERROR(DATEDIF(Launch_Dates!$B$3,A422,"m"),"")</f>
        <v>67</v>
      </c>
      <c r="C422">
        <v>13889362</v>
      </c>
    </row>
    <row r="423" spans="1:3" x14ac:dyDescent="0.3">
      <c r="A423" s="20">
        <v>46079</v>
      </c>
      <c r="B423" s="5">
        <f>IFERROR(DATEDIF(Launch_Dates!$B$3,A423,"m"),"")</f>
        <v>67</v>
      </c>
      <c r="C423">
        <v>13101913</v>
      </c>
    </row>
    <row r="424" spans="1:3" x14ac:dyDescent="0.3">
      <c r="A424" s="20">
        <v>46080</v>
      </c>
      <c r="B424" s="5">
        <f>IFERROR(DATEDIF(Launch_Dates!$B$3,A424,"m"),"")</f>
        <v>67</v>
      </c>
      <c r="C424">
        <v>13352509</v>
      </c>
    </row>
    <row r="425" spans="1:3" x14ac:dyDescent="0.3">
      <c r="A425" s="20">
        <v>46081</v>
      </c>
      <c r="B425" s="5">
        <f>IFERROR(DATEDIF(Launch_Dates!$B$3,A425,"m"),"")</f>
        <v>67</v>
      </c>
      <c r="C425">
        <v>13344267</v>
      </c>
    </row>
    <row r="426" spans="1:3" x14ac:dyDescent="0.3">
      <c r="A426" s="20">
        <v>46082</v>
      </c>
      <c r="B426" s="5">
        <f>IFERROR(DATEDIF(Launch_Dates!$B$3,A426,"m"),"")</f>
        <v>68</v>
      </c>
      <c r="C426">
        <v>13206664</v>
      </c>
    </row>
    <row r="427" spans="1:3" x14ac:dyDescent="0.3">
      <c r="A427" s="20">
        <v>46083</v>
      </c>
      <c r="B427" s="5">
        <f>IFERROR(DATEDIF(Launch_Dates!$B$3,A427,"m"),"")</f>
        <v>68</v>
      </c>
      <c r="C427">
        <v>14048453</v>
      </c>
    </row>
    <row r="428" spans="1:3" x14ac:dyDescent="0.3">
      <c r="A428" s="20">
        <v>46084</v>
      </c>
      <c r="B428" s="5">
        <f>IFERROR(DATEDIF(Launch_Dates!$B$3,A428,"m"),"")</f>
        <v>68</v>
      </c>
      <c r="C428">
        <v>14172141</v>
      </c>
    </row>
    <row r="429" spans="1:3" x14ac:dyDescent="0.3">
      <c r="A429" s="20">
        <v>46085</v>
      </c>
      <c r="B429" s="5">
        <f>IFERROR(DATEDIF(Launch_Dates!$B$3,A429,"m"),"")</f>
        <v>68</v>
      </c>
      <c r="C429">
        <v>14008874</v>
      </c>
    </row>
    <row r="430" spans="1:3" x14ac:dyDescent="0.3">
      <c r="A430" s="20">
        <v>46086</v>
      </c>
      <c r="B430" s="5">
        <f>IFERROR(DATEDIF(Launch_Dates!$B$3,A430,"m"),"")</f>
        <v>68</v>
      </c>
      <c r="C430">
        <v>13881682</v>
      </c>
    </row>
    <row r="431" spans="1:3" x14ac:dyDescent="0.3">
      <c r="A431" s="20">
        <v>46087</v>
      </c>
      <c r="B431" s="5">
        <f>IFERROR(DATEDIF(Launch_Dates!$B$3,A431,"m"),"")</f>
        <v>68</v>
      </c>
      <c r="C431">
        <v>13678101</v>
      </c>
    </row>
    <row r="432" spans="1:3" x14ac:dyDescent="0.3">
      <c r="A432" s="20">
        <v>46088</v>
      </c>
      <c r="B432" s="5">
        <f>IFERROR(DATEDIF(Launch_Dates!$B$3,A432,"m"),"")</f>
        <v>68</v>
      </c>
      <c r="C432">
        <v>13662496</v>
      </c>
    </row>
    <row r="433" spans="1:3" x14ac:dyDescent="0.3">
      <c r="A433" s="20">
        <v>46089</v>
      </c>
      <c r="B433" s="5">
        <f>IFERROR(DATEDIF(Launch_Dates!$B$3,A433,"m"),"")</f>
        <v>68</v>
      </c>
      <c r="C433">
        <v>13235294</v>
      </c>
    </row>
    <row r="434" spans="1:3" x14ac:dyDescent="0.3">
      <c r="A434" s="20">
        <v>46090</v>
      </c>
      <c r="B434" s="5">
        <f>IFERROR(DATEDIF(Launch_Dates!$B$3,A434,"m"),"")</f>
        <v>68</v>
      </c>
      <c r="C434">
        <v>14075613</v>
      </c>
    </row>
    <row r="435" spans="1:3" x14ac:dyDescent="0.3">
      <c r="A435" s="20">
        <v>46091</v>
      </c>
      <c r="B435" s="5">
        <f>IFERROR(DATEDIF(Launch_Dates!$B$3,A435,"m"),"")</f>
        <v>68</v>
      </c>
      <c r="C435">
        <v>14482445</v>
      </c>
    </row>
    <row r="436" spans="1:3" x14ac:dyDescent="0.3">
      <c r="A436" s="20">
        <v>46092</v>
      </c>
      <c r="B436" s="5">
        <f>IFERROR(DATEDIF(Launch_Dates!$B$3,A436,"m"),"")</f>
        <v>68</v>
      </c>
      <c r="C436">
        <v>13098009</v>
      </c>
    </row>
    <row r="437" spans="1:3" x14ac:dyDescent="0.3">
      <c r="A437" s="20">
        <v>46093</v>
      </c>
      <c r="B437" s="5">
        <f>IFERROR(DATEDIF(Launch_Dates!$B$3,A437,"m"),"")</f>
        <v>68</v>
      </c>
      <c r="C437">
        <v>14024905</v>
      </c>
    </row>
    <row r="438" spans="1:3" x14ac:dyDescent="0.3">
      <c r="A438" s="20">
        <v>46094</v>
      </c>
      <c r="B438" s="5">
        <f>IFERROR(DATEDIF(Launch_Dates!$B$3,A438,"m"),"")</f>
        <v>68</v>
      </c>
      <c r="C438">
        <v>14855501</v>
      </c>
    </row>
    <row r="439" spans="1:3" x14ac:dyDescent="0.3">
      <c r="A439" s="20">
        <v>46095</v>
      </c>
      <c r="B439" s="5">
        <f>IFERROR(DATEDIF(Launch_Dates!$B$3,A439,"m"),"")</f>
        <v>68</v>
      </c>
      <c r="C439">
        <v>11660801</v>
      </c>
    </row>
    <row r="440" spans="1:3" x14ac:dyDescent="0.3">
      <c r="A440" s="20">
        <v>46096</v>
      </c>
      <c r="B440" s="5">
        <f>IFERROR(DATEDIF(Launch_Dates!$B$3,A440,"m"),"")</f>
        <v>68</v>
      </c>
      <c r="C440">
        <v>12405907</v>
      </c>
    </row>
    <row r="441" spans="1:3" x14ac:dyDescent="0.3">
      <c r="A441" s="20">
        <v>46097</v>
      </c>
      <c r="B441" s="5">
        <f>IFERROR(DATEDIF(Launch_Dates!$B$3,A441,"m"),"")</f>
        <v>68</v>
      </c>
      <c r="C441">
        <v>14800538</v>
      </c>
    </row>
    <row r="442" spans="1:3" x14ac:dyDescent="0.3">
      <c r="A442" s="20">
        <v>46098</v>
      </c>
      <c r="B442" s="5">
        <f>IFERROR(DATEDIF(Launch_Dates!$B$3,A442,"m"),"")</f>
        <v>68</v>
      </c>
      <c r="C442">
        <v>14987122</v>
      </c>
    </row>
    <row r="443" spans="1:3" x14ac:dyDescent="0.3">
      <c r="A443" s="20">
        <v>46099</v>
      </c>
      <c r="B443" s="5">
        <f>IFERROR(DATEDIF(Launch_Dates!$B$3,A443,"m"),"")</f>
        <v>68</v>
      </c>
      <c r="C443">
        <v>14444596</v>
      </c>
    </row>
    <row r="444" spans="1:3" x14ac:dyDescent="0.3">
      <c r="A444" s="20">
        <v>46100</v>
      </c>
      <c r="B444" s="5">
        <f>IFERROR(DATEDIF(Launch_Dates!$B$3,A444,"m"),"")</f>
        <v>68</v>
      </c>
      <c r="C444">
        <v>18000115</v>
      </c>
    </row>
    <row r="445" spans="1:3" x14ac:dyDescent="0.3">
      <c r="A445" s="20">
        <v>46101</v>
      </c>
      <c r="B445" s="5">
        <f>IFERROR(DATEDIF(Launch_Dates!$B$3,A445,"m"),"")</f>
        <v>68</v>
      </c>
      <c r="C445">
        <v>14378465</v>
      </c>
    </row>
    <row r="446" spans="1:3" x14ac:dyDescent="0.3">
      <c r="A446" s="20">
        <v>46102</v>
      </c>
      <c r="B446" s="5">
        <f>IFERROR(DATEDIF(Launch_Dates!$B$3,A446,"m"),"")</f>
        <v>68</v>
      </c>
      <c r="C446">
        <v>14063052</v>
      </c>
    </row>
    <row r="447" spans="1:3" x14ac:dyDescent="0.3">
      <c r="A447" s="20">
        <v>46103</v>
      </c>
      <c r="B447" s="5">
        <f>IFERROR(DATEDIF(Launch_Dates!$B$3,A447,"m"),"")</f>
        <v>68</v>
      </c>
      <c r="C447">
        <v>14769001</v>
      </c>
    </row>
    <row r="448" spans="1:3" x14ac:dyDescent="0.3">
      <c r="A448" s="20">
        <v>46104</v>
      </c>
      <c r="B448" s="5">
        <f>IFERROR(DATEDIF(Launch_Dates!$B$3,A448,"m"),"")</f>
        <v>68</v>
      </c>
      <c r="C448">
        <v>14249378</v>
      </c>
    </row>
    <row r="449" spans="1:3" x14ac:dyDescent="0.3">
      <c r="A449" s="20">
        <v>46105</v>
      </c>
      <c r="B449" s="5">
        <f>IFERROR(DATEDIF(Launch_Dates!$B$3,A449,"m"),"")</f>
        <v>68</v>
      </c>
      <c r="C449">
        <v>14494907</v>
      </c>
    </row>
    <row r="450" spans="1:3" x14ac:dyDescent="0.3">
      <c r="A450" s="20">
        <v>46106</v>
      </c>
      <c r="B450" s="5">
        <f>IFERROR(DATEDIF(Launch_Dates!$B$3,A450,"m"),"")</f>
        <v>68</v>
      </c>
      <c r="C450">
        <v>13945786</v>
      </c>
    </row>
    <row r="451" spans="1:3" x14ac:dyDescent="0.3">
      <c r="A451" s="20">
        <v>46107</v>
      </c>
      <c r="B451" s="5">
        <f>IFERROR(DATEDIF(Launch_Dates!$B$3,A451,"m"),"")</f>
        <v>68</v>
      </c>
      <c r="C451">
        <v>13531289</v>
      </c>
    </row>
    <row r="452" spans="1:3" x14ac:dyDescent="0.3">
      <c r="A452" s="20">
        <v>46108</v>
      </c>
      <c r="B452" s="5">
        <f>IFERROR(DATEDIF(Launch_Dates!$B$3,A452,"m"),"")</f>
        <v>68</v>
      </c>
      <c r="C452">
        <v>15916551</v>
      </c>
    </row>
    <row r="453" spans="1:3" x14ac:dyDescent="0.3">
      <c r="A453" s="20">
        <v>46109</v>
      </c>
      <c r="B453" s="5">
        <f>IFERROR(DATEDIF(Launch_Dates!$B$3,A453,"m"),"")</f>
        <v>68</v>
      </c>
      <c r="C453">
        <v>15403848</v>
      </c>
    </row>
    <row r="454" spans="1:3" x14ac:dyDescent="0.3">
      <c r="A454" s="20">
        <v>46110</v>
      </c>
      <c r="B454" s="5">
        <f>IFERROR(DATEDIF(Launch_Dates!$B$3,A454,"m"),"")</f>
        <v>68</v>
      </c>
      <c r="C454">
        <v>14769783</v>
      </c>
    </row>
    <row r="455" spans="1:3" x14ac:dyDescent="0.3">
      <c r="A455" s="20">
        <v>46111</v>
      </c>
      <c r="B455" s="5">
        <f>IFERROR(DATEDIF(Launch_Dates!$B$3,A455,"m"),"")</f>
        <v>68</v>
      </c>
      <c r="C455">
        <v>15864660</v>
      </c>
    </row>
    <row r="456" spans="1:3" x14ac:dyDescent="0.3">
      <c r="A456" s="20">
        <v>46112</v>
      </c>
      <c r="B456" s="5">
        <f>IFERROR(DATEDIF(Launch_Dates!$B$3,A456,"m"),"")</f>
        <v>68</v>
      </c>
      <c r="C456">
        <v>16362735</v>
      </c>
    </row>
    <row r="457" spans="1:3" x14ac:dyDescent="0.3">
      <c r="A457" s="20">
        <v>46113</v>
      </c>
      <c r="B457" s="5">
        <f>IFERROR(DATEDIF(Launch_Dates!$B$3,A457,"m"),"")</f>
        <v>69</v>
      </c>
      <c r="C457">
        <v>15962888</v>
      </c>
    </row>
    <row r="458" spans="1:3" x14ac:dyDescent="0.3">
      <c r="A458" s="20">
        <v>46114</v>
      </c>
      <c r="B458" s="5">
        <f>IFERROR(DATEDIF(Launch_Dates!$B$3,A458,"m"),"")</f>
        <v>69</v>
      </c>
      <c r="C458">
        <v>16117912</v>
      </c>
    </row>
    <row r="459" spans="1:3" x14ac:dyDescent="0.3">
      <c r="A459" s="20">
        <v>46115</v>
      </c>
      <c r="B459" s="5">
        <f>IFERROR(DATEDIF(Launch_Dates!$B$3,A459,"m"),"")</f>
        <v>69</v>
      </c>
      <c r="C459">
        <v>15880868</v>
      </c>
    </row>
    <row r="460" spans="1:3" x14ac:dyDescent="0.3">
      <c r="A460" s="20">
        <v>46116</v>
      </c>
      <c r="B460" s="5">
        <f>IFERROR(DATEDIF(Launch_Dates!$B$3,A460,"m"),"")</f>
        <v>69</v>
      </c>
      <c r="C460">
        <v>14705309</v>
      </c>
    </row>
    <row r="461" spans="1:3" x14ac:dyDescent="0.3">
      <c r="A461" s="20">
        <v>46117</v>
      </c>
      <c r="B461" s="5">
        <f>IFERROR(DATEDIF(Launch_Dates!$B$3,A461,"m"),"")</f>
        <v>69</v>
      </c>
      <c r="C461">
        <v>14122800</v>
      </c>
    </row>
    <row r="462" spans="1:3" x14ac:dyDescent="0.3">
      <c r="A462" s="20">
        <v>46118</v>
      </c>
      <c r="B462" s="5">
        <f>IFERROR(DATEDIF(Launch_Dates!$B$3,A462,"m"),"")</f>
        <v>69</v>
      </c>
      <c r="C462">
        <v>17005878</v>
      </c>
    </row>
    <row r="463" spans="1:3" x14ac:dyDescent="0.3">
      <c r="A463" s="20">
        <v>46119</v>
      </c>
      <c r="B463" s="5">
        <f>IFERROR(DATEDIF(Launch_Dates!$B$3,A463,"m"),"")</f>
        <v>69</v>
      </c>
      <c r="C463">
        <v>16639453</v>
      </c>
    </row>
    <row r="464" spans="1:3" x14ac:dyDescent="0.3">
      <c r="A464" s="20">
        <v>46120</v>
      </c>
      <c r="B464" s="5">
        <f>IFERROR(DATEDIF(Launch_Dates!$B$3,A464,"m"),"")</f>
        <v>69</v>
      </c>
      <c r="C464">
        <v>16692287</v>
      </c>
    </row>
    <row r="465" spans="1:3" x14ac:dyDescent="0.3">
      <c r="A465" s="20">
        <v>46121</v>
      </c>
      <c r="B465" s="5">
        <f>IFERROR(DATEDIF(Launch_Dates!$B$3,A465,"m"),"")</f>
        <v>69</v>
      </c>
      <c r="C465">
        <v>16659794</v>
      </c>
    </row>
    <row r="466" spans="1:3" x14ac:dyDescent="0.3">
      <c r="A466" s="20">
        <v>46122</v>
      </c>
      <c r="B466" s="5">
        <f>IFERROR(DATEDIF(Launch_Dates!$B$3,A466,"m"),"")</f>
        <v>69</v>
      </c>
      <c r="C466">
        <v>15179558</v>
      </c>
    </row>
    <row r="467" spans="1:3" x14ac:dyDescent="0.3">
      <c r="A467" s="20">
        <v>46123</v>
      </c>
      <c r="B467" s="5">
        <f>IFERROR(DATEDIF(Launch_Dates!$B$3,A467,"m"),"")</f>
        <v>69</v>
      </c>
      <c r="C467">
        <v>12892280</v>
      </c>
    </row>
    <row r="468" spans="1:3" x14ac:dyDescent="0.3">
      <c r="A468" s="20">
        <v>46124</v>
      </c>
      <c r="B468" s="5">
        <f>IFERROR(DATEDIF(Launch_Dates!$B$3,A468,"m"),"")</f>
        <v>69</v>
      </c>
      <c r="C468">
        <v>14997045</v>
      </c>
    </row>
    <row r="469" spans="1:3" x14ac:dyDescent="0.3">
      <c r="A469" s="20">
        <v>46125</v>
      </c>
      <c r="B469" s="5">
        <f>IFERROR(DATEDIF(Launch_Dates!$B$3,A469,"m"),"")</f>
        <v>69</v>
      </c>
      <c r="C469">
        <v>15040342</v>
      </c>
    </row>
    <row r="470" spans="1:3" x14ac:dyDescent="0.3">
      <c r="A470" s="20">
        <v>46126</v>
      </c>
      <c r="B470" s="5">
        <f>IFERROR(DATEDIF(Launch_Dates!$B$3,A470,"m"),"")</f>
        <v>69</v>
      </c>
      <c r="C470">
        <v>16145150</v>
      </c>
    </row>
    <row r="471" spans="1:3" x14ac:dyDescent="0.3">
      <c r="A471" s="20">
        <v>46127</v>
      </c>
      <c r="B471" s="5">
        <f>IFERROR(DATEDIF(Launch_Dates!$B$3,A471,"m"),"")</f>
        <v>69</v>
      </c>
      <c r="C471">
        <v>14419123</v>
      </c>
    </row>
    <row r="472" spans="1:3" x14ac:dyDescent="0.3">
      <c r="A472" s="20">
        <v>46128</v>
      </c>
      <c r="B472" s="5">
        <f>IFERROR(DATEDIF(Launch_Dates!$B$3,A472,"m"),"")</f>
        <v>69</v>
      </c>
      <c r="C472">
        <v>13694312</v>
      </c>
    </row>
    <row r="473" spans="1:3" x14ac:dyDescent="0.3">
      <c r="A473" s="20">
        <v>46129</v>
      </c>
      <c r="B473" s="5">
        <f>IFERROR(DATEDIF(Launch_Dates!$B$3,A473,"m"),"")</f>
        <v>69</v>
      </c>
      <c r="C473">
        <v>13284523</v>
      </c>
    </row>
    <row r="474" spans="1:3" x14ac:dyDescent="0.3">
      <c r="A474" s="20">
        <v>46130</v>
      </c>
      <c r="B474" s="5">
        <f>IFERROR(DATEDIF(Launch_Dates!$B$3,A474,"m"),"")</f>
        <v>69</v>
      </c>
      <c r="C474">
        <v>13594146</v>
      </c>
    </row>
    <row r="475" spans="1:3" x14ac:dyDescent="0.3">
      <c r="A475" s="20">
        <v>46131</v>
      </c>
      <c r="B475" s="5">
        <f>IFERROR(DATEDIF(Launch_Dates!$B$3,A475,"m"),"")</f>
        <v>69</v>
      </c>
      <c r="C475">
        <v>13032523</v>
      </c>
    </row>
    <row r="476" spans="1:3" x14ac:dyDescent="0.3">
      <c r="A476" s="20">
        <v>46132</v>
      </c>
      <c r="B476" s="5">
        <f>IFERROR(DATEDIF(Launch_Dates!$B$3,A476,"m"),"")</f>
        <v>69</v>
      </c>
      <c r="C476">
        <v>14152862</v>
      </c>
    </row>
    <row r="477" spans="1:3" x14ac:dyDescent="0.3">
      <c r="A477" s="20">
        <v>46133</v>
      </c>
      <c r="B477" s="5">
        <f>IFERROR(DATEDIF(Launch_Dates!$B$3,A477,"m"),"")</f>
        <v>69</v>
      </c>
      <c r="C477">
        <v>11107279</v>
      </c>
    </row>
    <row r="478" spans="1:3" x14ac:dyDescent="0.3">
      <c r="A478" s="20">
        <v>46134</v>
      </c>
      <c r="B478" s="5">
        <f>IFERROR(DATEDIF(Launch_Dates!$B$3,A478,"m"),"")</f>
        <v>69</v>
      </c>
      <c r="C478">
        <v>14728345</v>
      </c>
    </row>
    <row r="479" spans="1:3" x14ac:dyDescent="0.3">
      <c r="A479" s="20">
        <v>46135</v>
      </c>
      <c r="B479" s="5">
        <f>IFERROR(DATEDIF(Launch_Dates!$B$3,A479,"m"),"")</f>
        <v>69</v>
      </c>
      <c r="C479">
        <v>14223837</v>
      </c>
    </row>
    <row r="480" spans="1:3" x14ac:dyDescent="0.3">
      <c r="A480" s="20">
        <v>46136</v>
      </c>
      <c r="B480" s="5">
        <f>IFERROR(DATEDIF(Launch_Dates!$B$3,A480,"m"),"")</f>
        <v>69</v>
      </c>
      <c r="C480">
        <v>14590731</v>
      </c>
    </row>
    <row r="481" spans="1:3" x14ac:dyDescent="0.3">
      <c r="A481" s="20">
        <v>46137</v>
      </c>
      <c r="B481" s="5">
        <f>IFERROR(DATEDIF(Launch_Dates!$B$3,A481,"m"),"")</f>
        <v>69</v>
      </c>
      <c r="C481">
        <v>15185968</v>
      </c>
    </row>
    <row r="482" spans="1:3" x14ac:dyDescent="0.3">
      <c r="A482" s="20">
        <v>46138</v>
      </c>
      <c r="B482" s="5">
        <f>IFERROR(DATEDIF(Launch_Dates!$B$3,A482,"m"),"")</f>
        <v>69</v>
      </c>
      <c r="C482">
        <v>15782825</v>
      </c>
    </row>
    <row r="483" spans="1:3" x14ac:dyDescent="0.3">
      <c r="A483" s="20">
        <v>46139</v>
      </c>
      <c r="B483" s="5">
        <f>IFERROR(DATEDIF(Launch_Dates!$B$3,A483,"m"),"")</f>
        <v>69</v>
      </c>
      <c r="C483">
        <v>14538126</v>
      </c>
    </row>
    <row r="484" spans="1:3" x14ac:dyDescent="0.3">
      <c r="A484" s="20">
        <v>46140</v>
      </c>
      <c r="B484" s="5">
        <f>IFERROR(DATEDIF(Launch_Dates!$B$3,A484,"m"),"")</f>
        <v>69</v>
      </c>
      <c r="C484">
        <v>14932178</v>
      </c>
    </row>
    <row r="485" spans="1:3" x14ac:dyDescent="0.3">
      <c r="A485" s="20">
        <v>46141</v>
      </c>
      <c r="B485" s="5">
        <f>IFERROR(DATEDIF(Launch_Dates!$B$3,A485,"m"),"")</f>
        <v>69</v>
      </c>
      <c r="C485">
        <v>14144123</v>
      </c>
    </row>
    <row r="486" spans="1:3" x14ac:dyDescent="0.3">
      <c r="A486" s="20">
        <v>46142</v>
      </c>
      <c r="B486" s="5">
        <f>IFERROR(DATEDIF(Launch_Dates!$B$3,A486,"m"),"")</f>
        <v>69</v>
      </c>
      <c r="C486">
        <v>14821753</v>
      </c>
    </row>
    <row r="487" spans="1:3" x14ac:dyDescent="0.3">
      <c r="A487" s="20">
        <v>46143</v>
      </c>
      <c r="B487" s="5">
        <f>IFERROR(DATEDIF(Launch_Dates!$B$3,A487,"m"),"")</f>
        <v>70</v>
      </c>
      <c r="C487">
        <v>15697197</v>
      </c>
    </row>
    <row r="488" spans="1:3" x14ac:dyDescent="0.3">
      <c r="A488" s="20">
        <v>46144</v>
      </c>
      <c r="B488" s="5">
        <f>IFERROR(DATEDIF(Launch_Dates!$B$3,A488,"m"),"")</f>
        <v>70</v>
      </c>
      <c r="C488">
        <v>15598193</v>
      </c>
    </row>
    <row r="489" spans="1:3" x14ac:dyDescent="0.3">
      <c r="A489" s="20">
        <v>46145</v>
      </c>
      <c r="B489" s="5">
        <f>IFERROR(DATEDIF(Launch_Dates!$B$3,A489,"m"),"")</f>
        <v>70</v>
      </c>
      <c r="C489">
        <v>16041049</v>
      </c>
    </row>
    <row r="490" spans="1:3" x14ac:dyDescent="0.3">
      <c r="A490" s="20">
        <v>46146</v>
      </c>
      <c r="B490" s="5">
        <f>IFERROR(DATEDIF(Launch_Dates!$B$3,A490,"m"),"")</f>
        <v>70</v>
      </c>
      <c r="C490">
        <v>14772829</v>
      </c>
    </row>
    <row r="491" spans="1:3" x14ac:dyDescent="0.3">
      <c r="A491" s="20">
        <v>46147</v>
      </c>
      <c r="B491" s="5">
        <f>IFERROR(DATEDIF(Launch_Dates!$B$3,A491,"m"),"")</f>
        <v>70</v>
      </c>
      <c r="C491">
        <v>14720856</v>
      </c>
    </row>
    <row r="492" spans="1:3" x14ac:dyDescent="0.3">
      <c r="A492" s="20">
        <v>46148</v>
      </c>
      <c r="B492" s="5">
        <f>IFERROR(DATEDIF(Launch_Dates!$B$3,A492,"m"),"")</f>
        <v>70</v>
      </c>
      <c r="C492">
        <v>15126469</v>
      </c>
    </row>
    <row r="493" spans="1:3" x14ac:dyDescent="0.3">
      <c r="A493" s="20">
        <v>46149</v>
      </c>
      <c r="B493" s="5">
        <f>IFERROR(DATEDIF(Launch_Dates!$B$3,A493,"m"),"")</f>
        <v>70</v>
      </c>
      <c r="C493">
        <v>15021192</v>
      </c>
    </row>
    <row r="494" spans="1:3" x14ac:dyDescent="0.3">
      <c r="A494" s="20">
        <v>46150</v>
      </c>
      <c r="B494" s="5">
        <f>IFERROR(DATEDIF(Launch_Dates!$B$3,A494,"m"),"")</f>
        <v>70</v>
      </c>
      <c r="C494">
        <v>15313586</v>
      </c>
    </row>
    <row r="495" spans="1:3" x14ac:dyDescent="0.3">
      <c r="A495" s="20">
        <v>46151</v>
      </c>
      <c r="B495" s="5">
        <f>IFERROR(DATEDIF(Launch_Dates!$B$3,A495,"m"),"")</f>
        <v>70</v>
      </c>
      <c r="C495">
        <v>14651646</v>
      </c>
    </row>
    <row r="496" spans="1:3" x14ac:dyDescent="0.3">
      <c r="A496" s="20">
        <v>46152</v>
      </c>
      <c r="B496" s="5">
        <f>IFERROR(DATEDIF(Launch_Dates!$B$3,A496,"m"),"")</f>
        <v>70</v>
      </c>
      <c r="C496">
        <v>15604966</v>
      </c>
    </row>
    <row r="497" spans="1:3" x14ac:dyDescent="0.3">
      <c r="A497" s="20">
        <v>46153</v>
      </c>
      <c r="B497" s="5">
        <f>IFERROR(DATEDIF(Launch_Dates!$B$3,A497,"m"),"")</f>
        <v>70</v>
      </c>
      <c r="C497">
        <v>14920016</v>
      </c>
    </row>
    <row r="498" spans="1:3" x14ac:dyDescent="0.3">
      <c r="A498" s="20">
        <v>46154</v>
      </c>
      <c r="B498" s="5">
        <f>IFERROR(DATEDIF(Launch_Dates!$B$3,A498,"m"),"")</f>
        <v>70</v>
      </c>
      <c r="C498">
        <v>15017167</v>
      </c>
    </row>
    <row r="499" spans="1:3" x14ac:dyDescent="0.3">
      <c r="A499" s="20">
        <v>46155</v>
      </c>
      <c r="B499" s="5">
        <f>IFERROR(DATEDIF(Launch_Dates!$B$3,A499,"m"),"")</f>
        <v>70</v>
      </c>
      <c r="C499">
        <v>15134317</v>
      </c>
    </row>
    <row r="500" spans="1:3" x14ac:dyDescent="0.3">
      <c r="A500" s="20">
        <v>46156</v>
      </c>
      <c r="B500" s="5">
        <f>IFERROR(DATEDIF(Launch_Dates!$B$3,A500,"m"),"")</f>
        <v>70</v>
      </c>
      <c r="C500">
        <v>14934231</v>
      </c>
    </row>
    <row r="501" spans="1:3" x14ac:dyDescent="0.3">
      <c r="A501" s="20">
        <v>46157</v>
      </c>
      <c r="B501" s="5">
        <f>IFERROR(DATEDIF(Launch_Dates!$B$3,A501,"m"),"")</f>
        <v>70</v>
      </c>
      <c r="C501">
        <v>15639138</v>
      </c>
    </row>
    <row r="502" spans="1:3" x14ac:dyDescent="0.3">
      <c r="A502" s="20">
        <v>46158</v>
      </c>
      <c r="B502" s="5">
        <f>IFERROR(DATEDIF(Launch_Dates!$B$3,A502,"m"),"")</f>
        <v>70</v>
      </c>
      <c r="C502">
        <v>16549538</v>
      </c>
    </row>
    <row r="503" spans="1:3" x14ac:dyDescent="0.3">
      <c r="A503" s="20">
        <v>46159</v>
      </c>
      <c r="B503" s="5">
        <f>IFERROR(DATEDIF(Launch_Dates!$B$3,A503,"m"),"")</f>
        <v>70</v>
      </c>
      <c r="C503">
        <v>12672209</v>
      </c>
    </row>
    <row r="504" spans="1:3" x14ac:dyDescent="0.3">
      <c r="A504" s="20">
        <v>46160</v>
      </c>
      <c r="B504" s="5">
        <f>IFERROR(DATEDIF(Launch_Dates!$B$3,A504,"m"),"")</f>
        <v>70</v>
      </c>
      <c r="C504">
        <v>17778435</v>
      </c>
    </row>
    <row r="505" spans="1:3" x14ac:dyDescent="0.3">
      <c r="A505" s="20">
        <v>46161</v>
      </c>
      <c r="B505" s="5">
        <f>IFERROR(DATEDIF(Launch_Dates!$B$3,A505,"m"),"")</f>
        <v>70</v>
      </c>
      <c r="C505">
        <v>15741266</v>
      </c>
    </row>
    <row r="506" spans="1:3" x14ac:dyDescent="0.3">
      <c r="A506" s="20">
        <v>46162</v>
      </c>
      <c r="B506" s="5">
        <f>IFERROR(DATEDIF(Launch_Dates!$B$3,A506,"m"),"")</f>
        <v>70</v>
      </c>
      <c r="C506">
        <v>15537485</v>
      </c>
    </row>
    <row r="507" spans="1:3" x14ac:dyDescent="0.3">
      <c r="A507" s="20">
        <v>46163</v>
      </c>
      <c r="B507" s="5">
        <f>IFERROR(DATEDIF(Launch_Dates!$B$3,A507,"m"),"")</f>
        <v>70</v>
      </c>
      <c r="C507">
        <v>15248953</v>
      </c>
    </row>
    <row r="508" spans="1:3" x14ac:dyDescent="0.3">
      <c r="A508" s="20">
        <v>46164</v>
      </c>
      <c r="B508" s="5">
        <f>IFERROR(DATEDIF(Launch_Dates!$B$3,A508,"m"),"")</f>
        <v>70</v>
      </c>
      <c r="C508">
        <v>15130221</v>
      </c>
    </row>
    <row r="509" spans="1:3" x14ac:dyDescent="0.3">
      <c r="A509" s="20">
        <v>46165</v>
      </c>
      <c r="B509" s="5">
        <f>IFERROR(DATEDIF(Launch_Dates!$B$3,A509,"m"),"")</f>
        <v>70</v>
      </c>
      <c r="C509">
        <v>14511031</v>
      </c>
    </row>
    <row r="510" spans="1:3" x14ac:dyDescent="0.3">
      <c r="A510" s="20">
        <v>46166</v>
      </c>
      <c r="B510" s="5">
        <f>IFERROR(DATEDIF(Launch_Dates!$B$3,A510,"m"),"")</f>
        <v>70</v>
      </c>
      <c r="C510">
        <v>14877329</v>
      </c>
    </row>
    <row r="511" spans="1:3" x14ac:dyDescent="0.3">
      <c r="A511" s="20">
        <v>46167</v>
      </c>
      <c r="B511" s="5">
        <f>IFERROR(DATEDIF(Launch_Dates!$B$3,A511,"m"),"")</f>
        <v>70</v>
      </c>
      <c r="C511">
        <v>15493406</v>
      </c>
    </row>
    <row r="512" spans="1:3" x14ac:dyDescent="0.3">
      <c r="A512" s="20">
        <v>46168</v>
      </c>
      <c r="B512" s="5">
        <f>IFERROR(DATEDIF(Launch_Dates!$B$3,A512,"m"),"")</f>
        <v>70</v>
      </c>
      <c r="C512">
        <v>16597693</v>
      </c>
    </row>
    <row r="513" spans="1:3" x14ac:dyDescent="0.3">
      <c r="A513" s="20">
        <v>46169</v>
      </c>
      <c r="B513" s="5">
        <f>IFERROR(DATEDIF(Launch_Dates!$B$3,A513,"m"),"")</f>
        <v>70</v>
      </c>
      <c r="C513">
        <v>15857439</v>
      </c>
    </row>
    <row r="514" spans="1:3" x14ac:dyDescent="0.3">
      <c r="A514" s="20">
        <v>46170</v>
      </c>
      <c r="B514" s="5">
        <f>IFERROR(DATEDIF(Launch_Dates!$B$3,A514,"m"),"")</f>
        <v>70</v>
      </c>
      <c r="C514">
        <v>15040489</v>
      </c>
    </row>
    <row r="515" spans="1:3" x14ac:dyDescent="0.3">
      <c r="A515" s="20">
        <v>46171</v>
      </c>
      <c r="B515" s="5">
        <f>IFERROR(DATEDIF(Launch_Dates!$B$3,A515,"m"),"")</f>
        <v>70</v>
      </c>
      <c r="C515">
        <v>14516774</v>
      </c>
    </row>
    <row r="516" spans="1:3" x14ac:dyDescent="0.3">
      <c r="A516" s="20">
        <v>46172</v>
      </c>
      <c r="B516" s="5">
        <f>IFERROR(DATEDIF(Launch_Dates!$B$3,A516,"m"),"")</f>
        <v>70</v>
      </c>
      <c r="C516">
        <v>15572047</v>
      </c>
    </row>
    <row r="517" spans="1:3" x14ac:dyDescent="0.3">
      <c r="A517" s="20">
        <v>46173</v>
      </c>
      <c r="B517" s="5">
        <f>IFERROR(DATEDIF(Launch_Dates!$B$3,A517,"m"),"")</f>
        <v>70</v>
      </c>
      <c r="C517">
        <v>17519554</v>
      </c>
    </row>
    <row r="518" spans="1:3" x14ac:dyDescent="0.3">
      <c r="A518" s="20">
        <v>46174</v>
      </c>
      <c r="B518" s="5">
        <f>IFERROR(DATEDIF(Launch_Dates!$B$3,A518,"m"),"")</f>
        <v>71</v>
      </c>
      <c r="C518">
        <v>17205236</v>
      </c>
    </row>
    <row r="519" spans="1:3" x14ac:dyDescent="0.3">
      <c r="A519" s="20">
        <v>46175</v>
      </c>
      <c r="B519" s="5">
        <f>IFERROR(DATEDIF(Launch_Dates!$B$3,A519,"m"),"")</f>
        <v>71</v>
      </c>
      <c r="C519">
        <v>17450193</v>
      </c>
    </row>
    <row r="520" spans="1:3" x14ac:dyDescent="0.3">
      <c r="A520" s="20">
        <v>46176</v>
      </c>
      <c r="B520" s="5">
        <f>IFERROR(DATEDIF(Launch_Dates!$B$3,A520,"m"),"")</f>
        <v>71</v>
      </c>
      <c r="C520">
        <v>18040015</v>
      </c>
    </row>
    <row r="521" spans="1:3" x14ac:dyDescent="0.3">
      <c r="A521" s="20">
        <v>46177</v>
      </c>
      <c r="B521" s="5">
        <f>IFERROR(DATEDIF(Launch_Dates!$B$3,A521,"m"),"")</f>
        <v>71</v>
      </c>
      <c r="C521">
        <v>18650628</v>
      </c>
    </row>
    <row r="522" spans="1:3" x14ac:dyDescent="0.3">
      <c r="A522" s="20">
        <v>46178</v>
      </c>
      <c r="B522" s="5">
        <f>IFERROR(DATEDIF(Launch_Dates!$B$3,A522,"m"),"")</f>
        <v>71</v>
      </c>
      <c r="C522">
        <v>18727234</v>
      </c>
    </row>
    <row r="523" spans="1:3" x14ac:dyDescent="0.3">
      <c r="A523" s="20">
        <v>46179</v>
      </c>
      <c r="B523" s="5">
        <f>IFERROR(DATEDIF(Launch_Dates!$B$3,A523,"m"),"")</f>
        <v>71</v>
      </c>
      <c r="C523">
        <v>18880247</v>
      </c>
    </row>
    <row r="524" spans="1:3" x14ac:dyDescent="0.3">
      <c r="A524" s="20">
        <v>46180</v>
      </c>
      <c r="B524" s="5">
        <f>IFERROR(DATEDIF(Launch_Dates!$B$3,A524,"m"),"")</f>
        <v>71</v>
      </c>
      <c r="C524">
        <v>19365800</v>
      </c>
    </row>
    <row r="525" spans="1:3" x14ac:dyDescent="0.3">
      <c r="A525" s="20">
        <v>46181</v>
      </c>
      <c r="B525" s="5">
        <f>IFERROR(DATEDIF(Launch_Dates!$B$3,A525,"m"),"")</f>
        <v>71</v>
      </c>
      <c r="C525">
        <v>18106919</v>
      </c>
    </row>
    <row r="526" spans="1:3" x14ac:dyDescent="0.3">
      <c r="A526" s="20">
        <v>46182</v>
      </c>
      <c r="B526" s="5">
        <f>IFERROR(DATEDIF(Launch_Dates!$B$3,A526,"m"),"")</f>
        <v>71</v>
      </c>
      <c r="C526">
        <v>18772898</v>
      </c>
    </row>
    <row r="527" spans="1:3" x14ac:dyDescent="0.3">
      <c r="A527" s="20">
        <v>46183</v>
      </c>
      <c r="B527" s="5">
        <f>IFERROR(DATEDIF(Launch_Dates!$B$3,A527,"m"),"")</f>
        <v>71</v>
      </c>
      <c r="C527">
        <v>19125630</v>
      </c>
    </row>
    <row r="528" spans="1:3" x14ac:dyDescent="0.3">
      <c r="A528" s="20">
        <v>46184</v>
      </c>
      <c r="B528" s="5">
        <f>IFERROR(DATEDIF(Launch_Dates!$B$3,A528,"m"),"")</f>
        <v>71</v>
      </c>
      <c r="C528">
        <v>19217381</v>
      </c>
    </row>
    <row r="529" spans="1:3" x14ac:dyDescent="0.3">
      <c r="A529" s="20">
        <v>46185</v>
      </c>
      <c r="B529" s="5">
        <f>IFERROR(DATEDIF(Launch_Dates!$B$3,A529,"m"),"")</f>
        <v>71</v>
      </c>
      <c r="C529">
        <v>18080144</v>
      </c>
    </row>
    <row r="530" spans="1:3" x14ac:dyDescent="0.3">
      <c r="A530" s="20">
        <v>46186</v>
      </c>
      <c r="B530" s="5">
        <f>IFERROR(DATEDIF(Launch_Dates!$B$3,A530,"m"),"")</f>
        <v>71</v>
      </c>
      <c r="C530">
        <v>19960916</v>
      </c>
    </row>
    <row r="531" spans="1:3" x14ac:dyDescent="0.3">
      <c r="A531" s="20">
        <v>46187</v>
      </c>
      <c r="B531" s="5">
        <f>IFERROR(DATEDIF(Launch_Dates!$B$3,A531,"m"),"")</f>
        <v>71</v>
      </c>
      <c r="C531">
        <v>20166989</v>
      </c>
    </row>
    <row r="532" spans="1:3" x14ac:dyDescent="0.3">
      <c r="A532" s="20">
        <v>46188</v>
      </c>
      <c r="B532" s="5">
        <f>IFERROR(DATEDIF(Launch_Dates!$B$3,A532,"m"),"")</f>
        <v>71</v>
      </c>
      <c r="C532">
        <v>18344479</v>
      </c>
    </row>
    <row r="533" spans="1:3" x14ac:dyDescent="0.3">
      <c r="A533" s="20">
        <v>46189</v>
      </c>
      <c r="B533" s="5">
        <f>IFERROR(DATEDIF(Launch_Dates!$B$3,A533,"m"),"")</f>
        <v>71</v>
      </c>
      <c r="C533">
        <v>18327872</v>
      </c>
    </row>
    <row r="534" spans="1:3" x14ac:dyDescent="0.3">
      <c r="A534" s="20">
        <v>46190</v>
      </c>
      <c r="B534" s="5">
        <f>IFERROR(DATEDIF(Launch_Dates!$B$3,A534,"m"),"")</f>
        <v>71</v>
      </c>
      <c r="C534">
        <v>18719014</v>
      </c>
    </row>
    <row r="535" spans="1:3" x14ac:dyDescent="0.3">
      <c r="A535" s="20">
        <v>46191</v>
      </c>
      <c r="B535" s="5">
        <f>IFERROR(DATEDIF(Launch_Dates!$B$3,A535,"m"),"")</f>
        <v>71</v>
      </c>
      <c r="C535">
        <v>19002902</v>
      </c>
    </row>
    <row r="536" spans="1:3" x14ac:dyDescent="0.3">
      <c r="A536" s="20">
        <v>46192</v>
      </c>
      <c r="B536" s="5">
        <f>IFERROR(DATEDIF(Launch_Dates!$B$3,A536,"m"),"")</f>
        <v>71</v>
      </c>
      <c r="C536">
        <v>19359829</v>
      </c>
    </row>
    <row r="537" spans="1:3" x14ac:dyDescent="0.3">
      <c r="A537" s="20">
        <v>46193</v>
      </c>
      <c r="B537" s="5">
        <f>IFERROR(DATEDIF(Launch_Dates!$B$3,A537,"m"),"")</f>
        <v>71</v>
      </c>
      <c r="C537">
        <v>20010322</v>
      </c>
    </row>
    <row r="538" spans="1:3" x14ac:dyDescent="0.3">
      <c r="A538" s="20">
        <v>46194</v>
      </c>
      <c r="B538" s="5">
        <f>IFERROR(DATEDIF(Launch_Dates!$B$3,A538,"m"),"")</f>
        <v>71</v>
      </c>
      <c r="C538">
        <v>20117029</v>
      </c>
    </row>
    <row r="539" spans="1:3" x14ac:dyDescent="0.3">
      <c r="A539" s="20">
        <v>46195</v>
      </c>
      <c r="B539" s="5">
        <f>IFERROR(DATEDIF(Launch_Dates!$B$3,A539,"m"),"")</f>
        <v>71</v>
      </c>
      <c r="C539">
        <v>18625876</v>
      </c>
    </row>
    <row r="540" spans="1:3" x14ac:dyDescent="0.3">
      <c r="A540" s="20">
        <v>46196</v>
      </c>
      <c r="B540" s="5">
        <f>IFERROR(DATEDIF(Launch_Dates!$B$3,A540,"m"),"")</f>
        <v>71</v>
      </c>
      <c r="C540">
        <v>18154807</v>
      </c>
    </row>
    <row r="541" spans="1:3" x14ac:dyDescent="0.3">
      <c r="A541" s="20">
        <v>46197</v>
      </c>
      <c r="B541" s="5">
        <f>IFERROR(DATEDIF(Launch_Dates!$B$3,A541,"m"),"")</f>
        <v>71</v>
      </c>
      <c r="C541">
        <v>18160838</v>
      </c>
    </row>
    <row r="542" spans="1:3" x14ac:dyDescent="0.3">
      <c r="A542" s="20">
        <v>46198</v>
      </c>
      <c r="B542" s="5">
        <f>IFERROR(DATEDIF(Launch_Dates!$B$3,A542,"m"),"")</f>
        <v>71</v>
      </c>
      <c r="C542">
        <v>18039194</v>
      </c>
    </row>
    <row r="543" spans="1:3" x14ac:dyDescent="0.3">
      <c r="A543" s="20">
        <v>46199</v>
      </c>
      <c r="B543" s="5">
        <f>IFERROR(DATEDIF(Launch_Dates!$B$3,A543,"m"),"")</f>
        <v>71</v>
      </c>
      <c r="C543">
        <v>17987258</v>
      </c>
    </row>
    <row r="544" spans="1:3" x14ac:dyDescent="0.3">
      <c r="A544" s="20">
        <v>46200</v>
      </c>
      <c r="B544" s="5">
        <f>IFERROR(DATEDIF(Launch_Dates!$B$3,A544,"m"),"")</f>
        <v>71</v>
      </c>
      <c r="C544">
        <v>18330499</v>
      </c>
    </row>
    <row r="545" spans="1:3" x14ac:dyDescent="0.3">
      <c r="A545" s="20">
        <v>46201</v>
      </c>
      <c r="B545" s="5">
        <f>IFERROR(DATEDIF(Launch_Dates!$B$3,A545,"m"),"")</f>
        <v>71</v>
      </c>
      <c r="C545">
        <v>15438364</v>
      </c>
    </row>
    <row r="546" spans="1:3" x14ac:dyDescent="0.3">
      <c r="A546" s="20">
        <v>46202</v>
      </c>
      <c r="B546" s="5">
        <f>IFERROR(DATEDIF(Launch_Dates!$B$3,A546,"m"),"")</f>
        <v>71</v>
      </c>
      <c r="C546">
        <v>17326842</v>
      </c>
    </row>
    <row r="547" spans="1:3" x14ac:dyDescent="0.3">
      <c r="A547" s="20">
        <v>46203</v>
      </c>
      <c r="B547" s="5">
        <f>IFERROR(DATEDIF(Launch_Dates!$B$3,A547,"m"),"")</f>
        <v>71</v>
      </c>
      <c r="C547">
        <v>18396997</v>
      </c>
    </row>
    <row r="548" spans="1:3" x14ac:dyDescent="0.3">
      <c r="A548" s="20">
        <v>46204</v>
      </c>
      <c r="B548" s="5">
        <f>IFERROR(DATEDIF(Launch_Dates!$B$3,A548,"m"),"")</f>
        <v>72</v>
      </c>
      <c r="C548">
        <v>18876487</v>
      </c>
    </row>
    <row r="549" spans="1:3" x14ac:dyDescent="0.3">
      <c r="A549" s="20">
        <v>46205</v>
      </c>
      <c r="B549" s="5">
        <f>IFERROR(DATEDIF(Launch_Dates!$B$3,A549,"m"),"")</f>
        <v>72</v>
      </c>
      <c r="C549">
        <v>17821062</v>
      </c>
    </row>
    <row r="550" spans="1:3" x14ac:dyDescent="0.3">
      <c r="A550" s="20">
        <v>46206</v>
      </c>
      <c r="B550" s="5">
        <f>IFERROR(DATEDIF(Launch_Dates!$B$3,A550,"m"),"")</f>
        <v>72</v>
      </c>
      <c r="C550">
        <v>18412334</v>
      </c>
    </row>
    <row r="551" spans="1:3" x14ac:dyDescent="0.3">
      <c r="A551" s="20">
        <v>46207</v>
      </c>
      <c r="B551" s="5">
        <f>IFERROR(DATEDIF(Launch_Dates!$B$3,A551,"m"),"")</f>
        <v>72</v>
      </c>
      <c r="C551">
        <v>19937126</v>
      </c>
    </row>
    <row r="552" spans="1:3" x14ac:dyDescent="0.3">
      <c r="A552" s="20">
        <v>46208</v>
      </c>
      <c r="B552" s="5">
        <f>IFERROR(DATEDIF(Launch_Dates!$B$3,A552,"m"),"")</f>
        <v>72</v>
      </c>
      <c r="C552">
        <v>19446881</v>
      </c>
    </row>
    <row r="553" spans="1:3" x14ac:dyDescent="0.3">
      <c r="A553" s="20">
        <v>46209</v>
      </c>
      <c r="B553" s="5">
        <f>IFERROR(DATEDIF(Launch_Dates!$B$3,A553,"m"),"")</f>
        <v>72</v>
      </c>
      <c r="C553">
        <v>18908483</v>
      </c>
    </row>
    <row r="554" spans="1:3" x14ac:dyDescent="0.3">
      <c r="A554" s="20">
        <v>46210</v>
      </c>
      <c r="B554" s="5">
        <f>IFERROR(DATEDIF(Launch_Dates!$B$3,A554,"m"),"")</f>
        <v>72</v>
      </c>
      <c r="C554">
        <v>19513678</v>
      </c>
    </row>
    <row r="555" spans="1:3" x14ac:dyDescent="0.3">
      <c r="A555" s="20">
        <v>46211</v>
      </c>
      <c r="B555" s="5">
        <f>IFERROR(DATEDIF(Launch_Dates!$B$3,A555,"m"),"")</f>
        <v>72</v>
      </c>
      <c r="C555">
        <v>19779112</v>
      </c>
    </row>
    <row r="556" spans="1:3" x14ac:dyDescent="0.3">
      <c r="A556" s="20">
        <v>46212</v>
      </c>
      <c r="B556" s="5">
        <f>IFERROR(DATEDIF(Launch_Dates!$B$3,A556,"m"),"")</f>
        <v>72</v>
      </c>
      <c r="C556">
        <v>19780581</v>
      </c>
    </row>
    <row r="557" spans="1:3" x14ac:dyDescent="0.3">
      <c r="A557" s="20">
        <v>46213</v>
      </c>
      <c r="B557" s="5">
        <f>IFERROR(DATEDIF(Launch_Dates!$B$3,A557,"m"),"")</f>
        <v>72</v>
      </c>
      <c r="C557">
        <v>19571690</v>
      </c>
    </row>
    <row r="558" spans="1:3" x14ac:dyDescent="0.3">
      <c r="A558" s="20">
        <v>46214</v>
      </c>
      <c r="B558" s="5">
        <f>IFERROR(DATEDIF(Launch_Dates!$B$3,A558,"m"),"")</f>
        <v>72</v>
      </c>
      <c r="C558">
        <v>19283265</v>
      </c>
    </row>
    <row r="559" spans="1:3" x14ac:dyDescent="0.3">
      <c r="A559" s="20">
        <v>46215</v>
      </c>
      <c r="B559" s="5">
        <f>IFERROR(DATEDIF(Launch_Dates!$B$3,A559,"m"),"")</f>
        <v>72</v>
      </c>
      <c r="C559">
        <v>18912135</v>
      </c>
    </row>
    <row r="560" spans="1:3" x14ac:dyDescent="0.3">
      <c r="A560" s="20">
        <v>46216</v>
      </c>
      <c r="B560" s="5">
        <f>IFERROR(DATEDIF(Launch_Dates!$B$3,A560,"m"),"")</f>
        <v>72</v>
      </c>
      <c r="C560">
        <v>12806643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9A927-41CE-40E4-A11E-282C6F44C6FD}">
  <dimension ref="A1:C560"/>
  <sheetViews>
    <sheetView topLeftCell="A193" workbookViewId="0"/>
  </sheetViews>
  <sheetFormatPr defaultRowHeight="14.4" x14ac:dyDescent="0.3"/>
  <cols>
    <col min="1" max="1" width="14.33203125" bestFit="1" customWidth="1"/>
    <col min="2" max="2" width="20.6640625" bestFit="1" customWidth="1"/>
    <col min="3" max="3" width="28.21875" bestFit="1" customWidth="1"/>
  </cols>
  <sheetData>
    <row r="1" spans="1:3" x14ac:dyDescent="0.3">
      <c r="A1" t="s">
        <v>290</v>
      </c>
      <c r="B1" t="s">
        <v>377</v>
      </c>
      <c r="C1" t="s">
        <v>291</v>
      </c>
    </row>
    <row r="2" spans="1:3" x14ac:dyDescent="0.3">
      <c r="A2" s="20">
        <v>45658</v>
      </c>
      <c r="B2" s="5">
        <f>IFERROR(DATEDIF(Launch_Dates!$B$3,A2,"m"),"")</f>
        <v>54</v>
      </c>
      <c r="C2">
        <v>371408</v>
      </c>
    </row>
    <row r="3" spans="1:3" x14ac:dyDescent="0.3">
      <c r="A3" s="20">
        <v>45659</v>
      </c>
      <c r="B3" s="5">
        <f>IFERROR(DATEDIF(Launch_Dates!$B$3,A3,"m"),"")</f>
        <v>54</v>
      </c>
      <c r="C3">
        <v>372943</v>
      </c>
    </row>
    <row r="4" spans="1:3" x14ac:dyDescent="0.3">
      <c r="A4" s="20">
        <v>45660</v>
      </c>
      <c r="B4" s="5">
        <f>IFERROR(DATEDIF(Launch_Dates!$B$3,A4,"m"),"")</f>
        <v>54</v>
      </c>
      <c r="C4">
        <v>374721</v>
      </c>
    </row>
    <row r="5" spans="1:3" x14ac:dyDescent="0.3">
      <c r="A5" s="20">
        <v>45661</v>
      </c>
      <c r="B5" s="5">
        <f>IFERROR(DATEDIF(Launch_Dates!$B$3,A5,"m"),"")</f>
        <v>54</v>
      </c>
      <c r="C5">
        <v>377052</v>
      </c>
    </row>
    <row r="6" spans="1:3" x14ac:dyDescent="0.3">
      <c r="A6" s="20">
        <v>45662</v>
      </c>
      <c r="B6" s="5">
        <f>IFERROR(DATEDIF(Launch_Dates!$B$3,A6,"m"),"")</f>
        <v>54</v>
      </c>
      <c r="C6">
        <v>378828</v>
      </c>
    </row>
    <row r="7" spans="1:3" x14ac:dyDescent="0.3">
      <c r="A7" s="20">
        <v>45663</v>
      </c>
      <c r="B7" s="5">
        <f>IFERROR(DATEDIF(Launch_Dates!$B$3,A7,"m"),"")</f>
        <v>54</v>
      </c>
      <c r="C7">
        <v>379393</v>
      </c>
    </row>
    <row r="8" spans="1:3" x14ac:dyDescent="0.3">
      <c r="A8" s="20">
        <v>45664</v>
      </c>
      <c r="B8" s="5">
        <f>IFERROR(DATEDIF(Launch_Dates!$B$3,A8,"m"),"")</f>
        <v>54</v>
      </c>
      <c r="C8">
        <v>383528</v>
      </c>
    </row>
    <row r="9" spans="1:3" x14ac:dyDescent="0.3">
      <c r="A9" s="20">
        <v>45665</v>
      </c>
      <c r="B9" s="5">
        <f>IFERROR(DATEDIF(Launch_Dates!$B$3,A9,"m"),"")</f>
        <v>54</v>
      </c>
      <c r="C9">
        <v>385936</v>
      </c>
    </row>
    <row r="10" spans="1:3" x14ac:dyDescent="0.3">
      <c r="A10" s="20">
        <v>45666</v>
      </c>
      <c r="B10" s="5">
        <f>IFERROR(DATEDIF(Launch_Dates!$B$3,A10,"m"),"")</f>
        <v>54</v>
      </c>
      <c r="C10">
        <v>387794</v>
      </c>
    </row>
    <row r="11" spans="1:3" x14ac:dyDescent="0.3">
      <c r="A11" s="20">
        <v>45667</v>
      </c>
      <c r="B11" s="5">
        <f>IFERROR(DATEDIF(Launch_Dates!$B$3,A11,"m"),"")</f>
        <v>54</v>
      </c>
      <c r="C11">
        <v>389617</v>
      </c>
    </row>
    <row r="12" spans="1:3" x14ac:dyDescent="0.3">
      <c r="A12" s="20">
        <v>45668</v>
      </c>
      <c r="B12" s="5">
        <f>IFERROR(DATEDIF(Launch_Dates!$B$3,A12,"m"),"")</f>
        <v>54</v>
      </c>
      <c r="C12">
        <v>389591</v>
      </c>
    </row>
    <row r="13" spans="1:3" x14ac:dyDescent="0.3">
      <c r="A13" s="20">
        <v>45669</v>
      </c>
      <c r="B13" s="5">
        <f>IFERROR(DATEDIF(Launch_Dates!$B$3,A13,"m"),"")</f>
        <v>54</v>
      </c>
      <c r="C13">
        <v>391680</v>
      </c>
    </row>
    <row r="14" spans="1:3" x14ac:dyDescent="0.3">
      <c r="A14" s="20">
        <v>45670</v>
      </c>
      <c r="B14" s="5">
        <f>IFERROR(DATEDIF(Launch_Dates!$B$3,A14,"m"),"")</f>
        <v>54</v>
      </c>
      <c r="C14">
        <v>395554</v>
      </c>
    </row>
    <row r="15" spans="1:3" x14ac:dyDescent="0.3">
      <c r="A15" s="20">
        <v>45671</v>
      </c>
      <c r="B15" s="5">
        <f>IFERROR(DATEDIF(Launch_Dates!$B$3,A15,"m"),"")</f>
        <v>54</v>
      </c>
      <c r="C15">
        <v>397729</v>
      </c>
    </row>
    <row r="16" spans="1:3" x14ac:dyDescent="0.3">
      <c r="A16" s="20">
        <v>45672</v>
      </c>
      <c r="B16" s="5">
        <f>IFERROR(DATEDIF(Launch_Dates!$B$3,A16,"m"),"")</f>
        <v>54</v>
      </c>
      <c r="C16">
        <v>399818</v>
      </c>
    </row>
    <row r="17" spans="1:3" x14ac:dyDescent="0.3">
      <c r="A17" s="20">
        <v>45673</v>
      </c>
      <c r="B17" s="5">
        <f>IFERROR(DATEDIF(Launch_Dates!$B$3,A17,"m"),"")</f>
        <v>54</v>
      </c>
      <c r="C17">
        <v>364585</v>
      </c>
    </row>
    <row r="18" spans="1:3" x14ac:dyDescent="0.3">
      <c r="A18" s="20">
        <v>45674</v>
      </c>
      <c r="B18" s="5">
        <f>IFERROR(DATEDIF(Launch_Dates!$B$3,A18,"m"),"")</f>
        <v>54</v>
      </c>
      <c r="C18">
        <v>365936</v>
      </c>
    </row>
    <row r="19" spans="1:3" x14ac:dyDescent="0.3">
      <c r="A19" s="20">
        <v>45675</v>
      </c>
      <c r="B19" s="5">
        <f>IFERROR(DATEDIF(Launch_Dates!$B$3,A19,"m"),"")</f>
        <v>54</v>
      </c>
      <c r="C19">
        <v>367166</v>
      </c>
    </row>
    <row r="20" spans="1:3" x14ac:dyDescent="0.3">
      <c r="A20" s="20">
        <v>45676</v>
      </c>
      <c r="B20" s="5">
        <f>IFERROR(DATEDIF(Launch_Dates!$B$3,A20,"m"),"")</f>
        <v>54</v>
      </c>
      <c r="C20">
        <v>368242</v>
      </c>
    </row>
    <row r="21" spans="1:3" x14ac:dyDescent="0.3">
      <c r="A21" s="20">
        <v>45677</v>
      </c>
      <c r="B21" s="5">
        <f>IFERROR(DATEDIF(Launch_Dates!$B$3,A21,"m"),"")</f>
        <v>54</v>
      </c>
      <c r="C21">
        <v>369573</v>
      </c>
    </row>
    <row r="22" spans="1:3" x14ac:dyDescent="0.3">
      <c r="A22" s="20">
        <v>45678</v>
      </c>
      <c r="B22" s="5">
        <f>IFERROR(DATEDIF(Launch_Dates!$B$3,A22,"m"),"")</f>
        <v>54</v>
      </c>
      <c r="C22">
        <v>371176</v>
      </c>
    </row>
    <row r="23" spans="1:3" x14ac:dyDescent="0.3">
      <c r="A23" s="20">
        <v>45679</v>
      </c>
      <c r="B23" s="5">
        <f>IFERROR(DATEDIF(Launch_Dates!$B$3,A23,"m"),"")</f>
        <v>54</v>
      </c>
      <c r="C23">
        <v>372409</v>
      </c>
    </row>
    <row r="24" spans="1:3" x14ac:dyDescent="0.3">
      <c r="A24" s="20">
        <v>45680</v>
      </c>
      <c r="B24" s="5">
        <f>IFERROR(DATEDIF(Launch_Dates!$B$3,A24,"m"),"")</f>
        <v>54</v>
      </c>
      <c r="C24">
        <v>371734</v>
      </c>
    </row>
    <row r="25" spans="1:3" x14ac:dyDescent="0.3">
      <c r="A25" s="20">
        <v>45681</v>
      </c>
      <c r="B25" s="5">
        <f>IFERROR(DATEDIF(Launch_Dates!$B$3,A25,"m"),"")</f>
        <v>54</v>
      </c>
      <c r="C25">
        <v>373006</v>
      </c>
    </row>
    <row r="26" spans="1:3" x14ac:dyDescent="0.3">
      <c r="A26" s="20">
        <v>45682</v>
      </c>
      <c r="B26" s="5">
        <f>IFERROR(DATEDIF(Launch_Dates!$B$3,A26,"m"),"")</f>
        <v>54</v>
      </c>
      <c r="C26">
        <v>373957</v>
      </c>
    </row>
    <row r="27" spans="1:3" x14ac:dyDescent="0.3">
      <c r="A27" s="20">
        <v>45683</v>
      </c>
      <c r="B27" s="5">
        <f>IFERROR(DATEDIF(Launch_Dates!$B$3,A27,"m"),"")</f>
        <v>54</v>
      </c>
      <c r="C27">
        <v>374796</v>
      </c>
    </row>
    <row r="28" spans="1:3" x14ac:dyDescent="0.3">
      <c r="A28" s="20">
        <v>45684</v>
      </c>
      <c r="B28" s="5">
        <f>IFERROR(DATEDIF(Launch_Dates!$B$3,A28,"m"),"")</f>
        <v>54</v>
      </c>
      <c r="C28">
        <v>375674</v>
      </c>
    </row>
    <row r="29" spans="1:3" x14ac:dyDescent="0.3">
      <c r="A29" s="20">
        <v>45685</v>
      </c>
      <c r="B29" s="5">
        <f>IFERROR(DATEDIF(Launch_Dates!$B$3,A29,"m"),"")</f>
        <v>54</v>
      </c>
      <c r="C29">
        <v>376696</v>
      </c>
    </row>
    <row r="30" spans="1:3" x14ac:dyDescent="0.3">
      <c r="A30" s="20">
        <v>45686</v>
      </c>
      <c r="B30" s="5">
        <f>IFERROR(DATEDIF(Launch_Dates!$B$3,A30,"m"),"")</f>
        <v>54</v>
      </c>
      <c r="C30">
        <v>377641</v>
      </c>
    </row>
    <row r="31" spans="1:3" x14ac:dyDescent="0.3">
      <c r="A31" s="20">
        <v>45687</v>
      </c>
      <c r="B31" s="5">
        <f>IFERROR(DATEDIF(Launch_Dates!$B$3,A31,"m"),"")</f>
        <v>54</v>
      </c>
      <c r="C31">
        <v>378790</v>
      </c>
    </row>
    <row r="32" spans="1:3" x14ac:dyDescent="0.3">
      <c r="A32" s="20">
        <v>45688</v>
      </c>
      <c r="B32" s="5">
        <f>IFERROR(DATEDIF(Launch_Dates!$B$3,A32,"m"),"")</f>
        <v>54</v>
      </c>
      <c r="C32">
        <v>380086</v>
      </c>
    </row>
    <row r="33" spans="1:3" x14ac:dyDescent="0.3">
      <c r="A33" s="20">
        <v>45689</v>
      </c>
      <c r="B33" s="5">
        <f>IFERROR(DATEDIF(Launch_Dates!$B$3,A33,"m"),"")</f>
        <v>55</v>
      </c>
      <c r="C33">
        <v>377834</v>
      </c>
    </row>
    <row r="34" spans="1:3" x14ac:dyDescent="0.3">
      <c r="A34" s="20">
        <v>45690</v>
      </c>
      <c r="B34" s="5">
        <f>IFERROR(DATEDIF(Launch_Dates!$B$3,A34,"m"),"")</f>
        <v>55</v>
      </c>
      <c r="C34">
        <v>415643</v>
      </c>
    </row>
    <row r="35" spans="1:3" x14ac:dyDescent="0.3">
      <c r="A35" s="20">
        <v>45691</v>
      </c>
      <c r="B35" s="5">
        <f>IFERROR(DATEDIF(Launch_Dates!$B$3,A35,"m"),"")</f>
        <v>55</v>
      </c>
      <c r="C35">
        <v>416715</v>
      </c>
    </row>
    <row r="36" spans="1:3" x14ac:dyDescent="0.3">
      <c r="A36" s="20">
        <v>45692</v>
      </c>
      <c r="B36" s="5">
        <f>IFERROR(DATEDIF(Launch_Dates!$B$3,A36,"m"),"")</f>
        <v>55</v>
      </c>
      <c r="C36">
        <v>417692</v>
      </c>
    </row>
    <row r="37" spans="1:3" x14ac:dyDescent="0.3">
      <c r="A37" s="20">
        <v>45693</v>
      </c>
      <c r="B37" s="5">
        <f>IFERROR(DATEDIF(Launch_Dates!$B$3,A37,"m"),"")</f>
        <v>55</v>
      </c>
      <c r="C37">
        <v>419458</v>
      </c>
    </row>
    <row r="38" spans="1:3" x14ac:dyDescent="0.3">
      <c r="A38" s="20">
        <v>45694</v>
      </c>
      <c r="B38" s="5">
        <f>IFERROR(DATEDIF(Launch_Dates!$B$3,A38,"m"),"")</f>
        <v>55</v>
      </c>
      <c r="C38">
        <v>420686</v>
      </c>
    </row>
    <row r="39" spans="1:3" x14ac:dyDescent="0.3">
      <c r="A39" s="20">
        <v>45695</v>
      </c>
      <c r="B39" s="5">
        <f>IFERROR(DATEDIF(Launch_Dates!$B$3,A39,"m"),"")</f>
        <v>55</v>
      </c>
      <c r="C39">
        <v>422495</v>
      </c>
    </row>
    <row r="40" spans="1:3" x14ac:dyDescent="0.3">
      <c r="A40" s="20">
        <v>45696</v>
      </c>
      <c r="B40" s="5">
        <f>IFERROR(DATEDIF(Launch_Dates!$B$3,A40,"m"),"")</f>
        <v>55</v>
      </c>
      <c r="C40">
        <v>386633</v>
      </c>
    </row>
    <row r="41" spans="1:3" x14ac:dyDescent="0.3">
      <c r="A41" s="20">
        <v>45697</v>
      </c>
      <c r="B41" s="5">
        <f>IFERROR(DATEDIF(Launch_Dates!$B$3,A41,"m"),"")</f>
        <v>55</v>
      </c>
      <c r="C41">
        <v>387646</v>
      </c>
    </row>
    <row r="42" spans="1:3" x14ac:dyDescent="0.3">
      <c r="A42" s="20">
        <v>45698</v>
      </c>
      <c r="B42" s="5">
        <f>IFERROR(DATEDIF(Launch_Dates!$B$3,A42,"m"),"")</f>
        <v>55</v>
      </c>
      <c r="C42">
        <v>388763</v>
      </c>
    </row>
    <row r="43" spans="1:3" x14ac:dyDescent="0.3">
      <c r="A43" s="20">
        <v>45699</v>
      </c>
      <c r="B43" s="5">
        <f>IFERROR(DATEDIF(Launch_Dates!$B$3,A43,"m"),"")</f>
        <v>55</v>
      </c>
      <c r="C43">
        <v>392041</v>
      </c>
    </row>
    <row r="44" spans="1:3" x14ac:dyDescent="0.3">
      <c r="A44" s="20">
        <v>45700</v>
      </c>
      <c r="B44" s="5">
        <f>IFERROR(DATEDIF(Launch_Dates!$B$3,A44,"m"),"")</f>
        <v>55</v>
      </c>
      <c r="C44">
        <v>393160</v>
      </c>
    </row>
    <row r="45" spans="1:3" x14ac:dyDescent="0.3">
      <c r="A45" s="20">
        <v>45701</v>
      </c>
      <c r="B45" s="5">
        <f>IFERROR(DATEDIF(Launch_Dates!$B$3,A45,"m"),"")</f>
        <v>55</v>
      </c>
      <c r="C45">
        <v>392383</v>
      </c>
    </row>
    <row r="46" spans="1:3" x14ac:dyDescent="0.3">
      <c r="A46" s="20">
        <v>45702</v>
      </c>
      <c r="B46" s="5">
        <f>IFERROR(DATEDIF(Launch_Dates!$B$3,A46,"m"),"")</f>
        <v>55</v>
      </c>
      <c r="C46">
        <v>395427</v>
      </c>
    </row>
    <row r="47" spans="1:3" x14ac:dyDescent="0.3">
      <c r="A47" s="20">
        <v>45703</v>
      </c>
      <c r="B47" s="5">
        <f>IFERROR(DATEDIF(Launch_Dates!$B$3,A47,"m"),"")</f>
        <v>55</v>
      </c>
      <c r="C47">
        <v>393955</v>
      </c>
    </row>
    <row r="48" spans="1:3" x14ac:dyDescent="0.3">
      <c r="A48" s="20">
        <v>45704</v>
      </c>
      <c r="B48" s="5">
        <f>IFERROR(DATEDIF(Launch_Dates!$B$3,A48,"m"),"")</f>
        <v>55</v>
      </c>
      <c r="C48">
        <v>394735</v>
      </c>
    </row>
    <row r="49" spans="1:3" x14ac:dyDescent="0.3">
      <c r="A49" s="20">
        <v>45705</v>
      </c>
      <c r="B49" s="5">
        <f>IFERROR(DATEDIF(Launch_Dates!$B$3,A49,"m"),"")</f>
        <v>55</v>
      </c>
      <c r="C49">
        <v>396981</v>
      </c>
    </row>
    <row r="50" spans="1:3" x14ac:dyDescent="0.3">
      <c r="A50" s="20">
        <v>45706</v>
      </c>
      <c r="B50" s="5">
        <f>IFERROR(DATEDIF(Launch_Dates!$B$3,A50,"m"),"")</f>
        <v>55</v>
      </c>
      <c r="C50">
        <v>396076</v>
      </c>
    </row>
    <row r="51" spans="1:3" x14ac:dyDescent="0.3">
      <c r="A51" s="20">
        <v>45707</v>
      </c>
      <c r="B51" s="5">
        <f>IFERROR(DATEDIF(Launch_Dates!$B$3,A51,"m"),"")</f>
        <v>55</v>
      </c>
      <c r="C51">
        <v>434727</v>
      </c>
    </row>
    <row r="52" spans="1:3" x14ac:dyDescent="0.3">
      <c r="A52" s="20">
        <v>45708</v>
      </c>
      <c r="B52" s="5">
        <f>IFERROR(DATEDIF(Launch_Dates!$B$3,A52,"m"),"")</f>
        <v>55</v>
      </c>
      <c r="C52">
        <v>435108</v>
      </c>
    </row>
    <row r="53" spans="1:3" x14ac:dyDescent="0.3">
      <c r="A53" s="20">
        <v>45709</v>
      </c>
      <c r="B53" s="5">
        <f>IFERROR(DATEDIF(Launch_Dates!$B$3,A53,"m"),"")</f>
        <v>55</v>
      </c>
      <c r="C53">
        <v>398234</v>
      </c>
    </row>
    <row r="54" spans="1:3" x14ac:dyDescent="0.3">
      <c r="A54" s="20">
        <v>45710</v>
      </c>
      <c r="B54" s="5">
        <f>IFERROR(DATEDIF(Launch_Dates!$B$3,A54,"m"),"")</f>
        <v>55</v>
      </c>
      <c r="C54">
        <v>436611</v>
      </c>
    </row>
    <row r="55" spans="1:3" x14ac:dyDescent="0.3">
      <c r="A55" s="20">
        <v>45711</v>
      </c>
      <c r="B55" s="5">
        <f>IFERROR(DATEDIF(Launch_Dates!$B$3,A55,"m"),"")</f>
        <v>55</v>
      </c>
      <c r="C55">
        <v>439030</v>
      </c>
    </row>
    <row r="56" spans="1:3" x14ac:dyDescent="0.3">
      <c r="A56" s="20">
        <v>45712</v>
      </c>
      <c r="B56" s="5">
        <f>IFERROR(DATEDIF(Launch_Dates!$B$3,A56,"m"),"")</f>
        <v>55</v>
      </c>
      <c r="C56">
        <v>437073</v>
      </c>
    </row>
    <row r="57" spans="1:3" x14ac:dyDescent="0.3">
      <c r="A57" s="20">
        <v>45713</v>
      </c>
      <c r="B57" s="5">
        <f>IFERROR(DATEDIF(Launch_Dates!$B$3,A57,"m"),"")</f>
        <v>55</v>
      </c>
      <c r="C57">
        <v>439947</v>
      </c>
    </row>
    <row r="58" spans="1:3" x14ac:dyDescent="0.3">
      <c r="A58" s="20">
        <v>45714</v>
      </c>
      <c r="B58" s="5">
        <f>IFERROR(DATEDIF(Launch_Dates!$B$3,A58,"m"),"")</f>
        <v>55</v>
      </c>
      <c r="C58">
        <v>441346</v>
      </c>
    </row>
    <row r="59" spans="1:3" x14ac:dyDescent="0.3">
      <c r="A59" s="20">
        <v>45715</v>
      </c>
      <c r="B59" s="5">
        <f>IFERROR(DATEDIF(Launch_Dates!$B$3,A59,"m"),"")</f>
        <v>55</v>
      </c>
      <c r="C59">
        <v>442579</v>
      </c>
    </row>
    <row r="60" spans="1:3" x14ac:dyDescent="0.3">
      <c r="A60" s="20">
        <v>45716</v>
      </c>
      <c r="B60" s="5">
        <f>IFERROR(DATEDIF(Launch_Dates!$B$3,A60,"m"),"")</f>
        <v>55</v>
      </c>
      <c r="C60">
        <v>443741</v>
      </c>
    </row>
    <row r="61" spans="1:3" x14ac:dyDescent="0.3">
      <c r="A61" s="20">
        <v>45717</v>
      </c>
      <c r="B61" s="5">
        <f>IFERROR(DATEDIF(Launch_Dates!$B$3,A61,"m"),"")</f>
        <v>56</v>
      </c>
      <c r="C61">
        <v>442578</v>
      </c>
    </row>
    <row r="62" spans="1:3" x14ac:dyDescent="0.3">
      <c r="A62" s="20">
        <v>45718</v>
      </c>
      <c r="B62" s="5">
        <f>IFERROR(DATEDIF(Launch_Dates!$B$3,A62,"m"),"")</f>
        <v>56</v>
      </c>
      <c r="C62">
        <v>445825</v>
      </c>
    </row>
    <row r="63" spans="1:3" x14ac:dyDescent="0.3">
      <c r="A63" s="20">
        <v>45719</v>
      </c>
      <c r="B63" s="5">
        <f>IFERROR(DATEDIF(Launch_Dates!$B$3,A63,"m"),"")</f>
        <v>56</v>
      </c>
      <c r="C63">
        <v>404221</v>
      </c>
    </row>
    <row r="64" spans="1:3" x14ac:dyDescent="0.3">
      <c r="A64" s="20">
        <v>45720</v>
      </c>
      <c r="B64" s="5">
        <f>IFERROR(DATEDIF(Launch_Dates!$B$3,A64,"m"),"")</f>
        <v>56</v>
      </c>
      <c r="C64">
        <v>448371</v>
      </c>
    </row>
    <row r="65" spans="1:3" x14ac:dyDescent="0.3">
      <c r="A65" s="20">
        <v>45721</v>
      </c>
      <c r="B65" s="5">
        <f>IFERROR(DATEDIF(Launch_Dates!$B$3,A65,"m"),"")</f>
        <v>56</v>
      </c>
      <c r="C65">
        <v>449587</v>
      </c>
    </row>
    <row r="66" spans="1:3" x14ac:dyDescent="0.3">
      <c r="A66" s="20">
        <v>45722</v>
      </c>
      <c r="B66" s="5">
        <f>IFERROR(DATEDIF(Launch_Dates!$B$3,A66,"m"),"")</f>
        <v>56</v>
      </c>
      <c r="C66">
        <v>450541</v>
      </c>
    </row>
    <row r="67" spans="1:3" x14ac:dyDescent="0.3">
      <c r="A67" s="20">
        <v>45723</v>
      </c>
      <c r="B67" s="5">
        <f>IFERROR(DATEDIF(Launch_Dates!$B$3,A67,"m"),"")</f>
        <v>56</v>
      </c>
      <c r="C67">
        <v>449729</v>
      </c>
    </row>
    <row r="68" spans="1:3" x14ac:dyDescent="0.3">
      <c r="A68" s="20">
        <v>45724</v>
      </c>
      <c r="B68" s="5">
        <f>IFERROR(DATEDIF(Launch_Dates!$B$3,A68,"m"),"")</f>
        <v>56</v>
      </c>
      <c r="C68">
        <v>451192</v>
      </c>
    </row>
    <row r="69" spans="1:3" x14ac:dyDescent="0.3">
      <c r="A69" s="20">
        <v>45725</v>
      </c>
      <c r="B69" s="5">
        <f>IFERROR(DATEDIF(Launch_Dates!$B$3,A69,"m"),"")</f>
        <v>56</v>
      </c>
      <c r="C69">
        <v>408556</v>
      </c>
    </row>
    <row r="70" spans="1:3" x14ac:dyDescent="0.3">
      <c r="A70" s="20">
        <v>45726</v>
      </c>
      <c r="B70" s="5">
        <f>IFERROR(DATEDIF(Launch_Dates!$B$3,A70,"m"),"")</f>
        <v>56</v>
      </c>
      <c r="C70">
        <v>452494</v>
      </c>
    </row>
    <row r="71" spans="1:3" x14ac:dyDescent="0.3">
      <c r="A71" s="20">
        <v>45727</v>
      </c>
      <c r="B71" s="5">
        <f>IFERROR(DATEDIF(Launch_Dates!$B$3,A71,"m"),"")</f>
        <v>56</v>
      </c>
      <c r="C71">
        <v>453925</v>
      </c>
    </row>
    <row r="72" spans="1:3" x14ac:dyDescent="0.3">
      <c r="A72" s="20">
        <v>45728</v>
      </c>
      <c r="B72" s="5">
        <f>IFERROR(DATEDIF(Launch_Dates!$B$3,A72,"m"),"")</f>
        <v>56</v>
      </c>
      <c r="C72">
        <v>454672</v>
      </c>
    </row>
    <row r="73" spans="1:3" x14ac:dyDescent="0.3">
      <c r="A73" s="20">
        <v>45729</v>
      </c>
      <c r="B73" s="5">
        <f>IFERROR(DATEDIF(Launch_Dates!$B$3,A73,"m"),"")</f>
        <v>56</v>
      </c>
      <c r="C73">
        <v>455423</v>
      </c>
    </row>
    <row r="74" spans="1:3" x14ac:dyDescent="0.3">
      <c r="A74" s="20">
        <v>45730</v>
      </c>
      <c r="B74" s="5">
        <f>IFERROR(DATEDIF(Launch_Dates!$B$3,A74,"m"),"")</f>
        <v>56</v>
      </c>
      <c r="C74">
        <v>458695</v>
      </c>
    </row>
    <row r="75" spans="1:3" x14ac:dyDescent="0.3">
      <c r="A75" s="20">
        <v>45731</v>
      </c>
      <c r="B75" s="5">
        <f>IFERROR(DATEDIF(Launch_Dates!$B$3,A75,"m"),"")</f>
        <v>56</v>
      </c>
      <c r="C75">
        <v>459358</v>
      </c>
    </row>
    <row r="76" spans="1:3" x14ac:dyDescent="0.3">
      <c r="A76" s="20">
        <v>45732</v>
      </c>
      <c r="B76" s="5">
        <f>IFERROR(DATEDIF(Launch_Dates!$B$3,A76,"m"),"")</f>
        <v>56</v>
      </c>
      <c r="C76">
        <v>459862</v>
      </c>
    </row>
    <row r="77" spans="1:3" x14ac:dyDescent="0.3">
      <c r="A77" s="20">
        <v>45733</v>
      </c>
      <c r="B77" s="5">
        <f>IFERROR(DATEDIF(Launch_Dates!$B$3,A77,"m"),"")</f>
        <v>56</v>
      </c>
      <c r="C77">
        <v>460351</v>
      </c>
    </row>
    <row r="78" spans="1:3" x14ac:dyDescent="0.3">
      <c r="A78" s="20">
        <v>45734</v>
      </c>
      <c r="B78" s="5">
        <f>IFERROR(DATEDIF(Launch_Dates!$B$3,A78,"m"),"")</f>
        <v>56</v>
      </c>
      <c r="C78">
        <v>415280</v>
      </c>
    </row>
    <row r="79" spans="1:3" x14ac:dyDescent="0.3">
      <c r="A79" s="20">
        <v>45735</v>
      </c>
      <c r="B79" s="5">
        <f>IFERROR(DATEDIF(Launch_Dates!$B$3,A79,"m"),"")</f>
        <v>56</v>
      </c>
      <c r="C79">
        <v>462547</v>
      </c>
    </row>
    <row r="80" spans="1:3" x14ac:dyDescent="0.3">
      <c r="A80" s="20">
        <v>45736</v>
      </c>
      <c r="B80" s="5">
        <f>IFERROR(DATEDIF(Launch_Dates!$B$3,A80,"m"),"")</f>
        <v>56</v>
      </c>
      <c r="C80">
        <v>463704</v>
      </c>
    </row>
    <row r="81" spans="1:3" x14ac:dyDescent="0.3">
      <c r="A81" s="20">
        <v>45737</v>
      </c>
      <c r="B81" s="5">
        <f>IFERROR(DATEDIF(Launch_Dates!$B$3,A81,"m"),"")</f>
        <v>56</v>
      </c>
      <c r="C81">
        <v>464800</v>
      </c>
    </row>
    <row r="82" spans="1:3" x14ac:dyDescent="0.3">
      <c r="A82" s="20">
        <v>45738</v>
      </c>
      <c r="B82" s="5">
        <f>IFERROR(DATEDIF(Launch_Dates!$B$3,A82,"m"),"")</f>
        <v>56</v>
      </c>
      <c r="C82">
        <v>466548</v>
      </c>
    </row>
    <row r="83" spans="1:3" x14ac:dyDescent="0.3">
      <c r="A83" s="20">
        <v>45739</v>
      </c>
      <c r="B83" s="5">
        <f>IFERROR(DATEDIF(Launch_Dates!$B$3,A83,"m"),"")</f>
        <v>56</v>
      </c>
      <c r="C83">
        <v>469566</v>
      </c>
    </row>
    <row r="84" spans="1:3" x14ac:dyDescent="0.3">
      <c r="A84" s="20">
        <v>45740</v>
      </c>
      <c r="B84" s="5">
        <f>IFERROR(DATEDIF(Launch_Dates!$B$3,A84,"m"),"")</f>
        <v>56</v>
      </c>
      <c r="C84">
        <v>470811</v>
      </c>
    </row>
    <row r="85" spans="1:3" x14ac:dyDescent="0.3">
      <c r="A85" s="20">
        <v>45741</v>
      </c>
      <c r="B85" s="5">
        <f>IFERROR(DATEDIF(Launch_Dates!$B$3,A85,"m"),"")</f>
        <v>56</v>
      </c>
      <c r="C85">
        <v>472459</v>
      </c>
    </row>
    <row r="86" spans="1:3" x14ac:dyDescent="0.3">
      <c r="A86" s="20">
        <v>45742</v>
      </c>
      <c r="B86" s="5">
        <f>IFERROR(DATEDIF(Launch_Dates!$B$3,A86,"m"),"")</f>
        <v>56</v>
      </c>
      <c r="C86">
        <v>473970</v>
      </c>
    </row>
    <row r="87" spans="1:3" x14ac:dyDescent="0.3">
      <c r="A87" s="20">
        <v>45743</v>
      </c>
      <c r="B87" s="5">
        <f>IFERROR(DATEDIF(Launch_Dates!$B$3,A87,"m"),"")</f>
        <v>56</v>
      </c>
      <c r="C87">
        <v>463151</v>
      </c>
    </row>
    <row r="88" spans="1:3" x14ac:dyDescent="0.3">
      <c r="A88" s="20">
        <v>45744</v>
      </c>
      <c r="B88" s="5">
        <f>IFERROR(DATEDIF(Launch_Dates!$B$3,A88,"m"),"")</f>
        <v>56</v>
      </c>
      <c r="C88">
        <v>427998</v>
      </c>
    </row>
    <row r="89" spans="1:3" x14ac:dyDescent="0.3">
      <c r="A89" s="20">
        <v>45745</v>
      </c>
      <c r="B89" s="5">
        <f>IFERROR(DATEDIF(Launch_Dates!$B$3,A89,"m"),"")</f>
        <v>56</v>
      </c>
      <c r="C89">
        <v>429031</v>
      </c>
    </row>
    <row r="90" spans="1:3" x14ac:dyDescent="0.3">
      <c r="A90" s="20">
        <v>45746</v>
      </c>
      <c r="B90" s="5">
        <f>IFERROR(DATEDIF(Launch_Dates!$B$3,A90,"m"),"")</f>
        <v>56</v>
      </c>
      <c r="C90">
        <v>467631</v>
      </c>
    </row>
    <row r="91" spans="1:3" x14ac:dyDescent="0.3">
      <c r="A91" s="20">
        <v>45747</v>
      </c>
      <c r="B91" s="5">
        <f>IFERROR(DATEDIF(Launch_Dates!$B$3,A91,"m"),"")</f>
        <v>56</v>
      </c>
      <c r="C91">
        <v>468642</v>
      </c>
    </row>
    <row r="92" spans="1:3" x14ac:dyDescent="0.3">
      <c r="A92" s="20">
        <v>45748</v>
      </c>
      <c r="B92" s="5">
        <f>IFERROR(DATEDIF(Launch_Dates!$B$3,A92,"m"),"")</f>
        <v>57</v>
      </c>
      <c r="C92">
        <v>465186</v>
      </c>
    </row>
    <row r="93" spans="1:3" x14ac:dyDescent="0.3">
      <c r="A93" s="20">
        <v>45749</v>
      </c>
      <c r="B93" s="5">
        <f>IFERROR(DATEDIF(Launch_Dates!$B$3,A93,"m"),"")</f>
        <v>57</v>
      </c>
      <c r="C93">
        <v>466648</v>
      </c>
    </row>
    <row r="94" spans="1:3" x14ac:dyDescent="0.3">
      <c r="A94" s="20">
        <v>45750</v>
      </c>
      <c r="B94" s="5">
        <f>IFERROR(DATEDIF(Launch_Dates!$B$3,A94,"m"),"")</f>
        <v>57</v>
      </c>
      <c r="C94">
        <v>430121</v>
      </c>
    </row>
    <row r="95" spans="1:3" x14ac:dyDescent="0.3">
      <c r="A95" s="20">
        <v>45751</v>
      </c>
      <c r="B95" s="5">
        <f>IFERROR(DATEDIF(Launch_Dates!$B$3,A95,"m"),"")</f>
        <v>57</v>
      </c>
      <c r="C95">
        <v>469281</v>
      </c>
    </row>
    <row r="96" spans="1:3" x14ac:dyDescent="0.3">
      <c r="A96" s="20">
        <v>45752</v>
      </c>
      <c r="B96" s="5">
        <f>IFERROR(DATEDIF(Launch_Dates!$B$3,A96,"m"),"")</f>
        <v>57</v>
      </c>
      <c r="C96">
        <v>433544</v>
      </c>
    </row>
    <row r="97" spans="1:3" x14ac:dyDescent="0.3">
      <c r="A97" s="20">
        <v>45753</v>
      </c>
      <c r="B97" s="5">
        <f>IFERROR(DATEDIF(Launch_Dates!$B$3,A97,"m"),"")</f>
        <v>57</v>
      </c>
      <c r="C97">
        <v>433650</v>
      </c>
    </row>
    <row r="98" spans="1:3" x14ac:dyDescent="0.3">
      <c r="A98" s="20">
        <v>45754</v>
      </c>
      <c r="B98" s="5">
        <f>IFERROR(DATEDIF(Launch_Dates!$B$3,A98,"m"),"")</f>
        <v>57</v>
      </c>
      <c r="C98">
        <v>434769</v>
      </c>
    </row>
    <row r="99" spans="1:3" x14ac:dyDescent="0.3">
      <c r="A99" s="20">
        <v>45755</v>
      </c>
      <c r="B99" s="5">
        <f>IFERROR(DATEDIF(Launch_Dates!$B$3,A99,"m"),"")</f>
        <v>57</v>
      </c>
      <c r="C99">
        <v>435740</v>
      </c>
    </row>
    <row r="100" spans="1:3" x14ac:dyDescent="0.3">
      <c r="A100" s="20">
        <v>45756</v>
      </c>
      <c r="B100" s="5">
        <f>IFERROR(DATEDIF(Launch_Dates!$B$3,A100,"m"),"")</f>
        <v>57</v>
      </c>
      <c r="C100">
        <v>436577</v>
      </c>
    </row>
    <row r="101" spans="1:3" x14ac:dyDescent="0.3">
      <c r="A101" s="20">
        <v>45757</v>
      </c>
      <c r="B101" s="5">
        <f>IFERROR(DATEDIF(Launch_Dates!$B$3,A101,"m"),"")</f>
        <v>57</v>
      </c>
      <c r="C101">
        <v>437537</v>
      </c>
    </row>
    <row r="102" spans="1:3" x14ac:dyDescent="0.3">
      <c r="A102" s="20">
        <v>45758</v>
      </c>
      <c r="B102" s="5">
        <f>IFERROR(DATEDIF(Launch_Dates!$B$3,A102,"m"),"")</f>
        <v>57</v>
      </c>
      <c r="C102">
        <v>438180</v>
      </c>
    </row>
    <row r="103" spans="1:3" x14ac:dyDescent="0.3">
      <c r="A103" s="20">
        <v>45759</v>
      </c>
      <c r="B103" s="5">
        <f>IFERROR(DATEDIF(Launch_Dates!$B$3,A103,"m"),"")</f>
        <v>57</v>
      </c>
      <c r="C103">
        <v>438705</v>
      </c>
    </row>
    <row r="104" spans="1:3" x14ac:dyDescent="0.3">
      <c r="A104" s="20">
        <v>45760</v>
      </c>
      <c r="B104" s="5">
        <f>IFERROR(DATEDIF(Launch_Dates!$B$3,A104,"m"),"")</f>
        <v>57</v>
      </c>
      <c r="C104">
        <v>478657</v>
      </c>
    </row>
    <row r="105" spans="1:3" x14ac:dyDescent="0.3">
      <c r="A105" s="20">
        <v>45761</v>
      </c>
      <c r="B105" s="5">
        <f>IFERROR(DATEDIF(Launch_Dates!$B$3,A105,"m"),"")</f>
        <v>57</v>
      </c>
      <c r="C105">
        <v>439056</v>
      </c>
    </row>
    <row r="106" spans="1:3" x14ac:dyDescent="0.3">
      <c r="A106" s="20">
        <v>45762</v>
      </c>
      <c r="B106" s="5">
        <f>IFERROR(DATEDIF(Launch_Dates!$B$3,A106,"m"),"")</f>
        <v>57</v>
      </c>
      <c r="C106">
        <v>479740</v>
      </c>
    </row>
    <row r="107" spans="1:3" x14ac:dyDescent="0.3">
      <c r="A107" s="20">
        <v>45763</v>
      </c>
      <c r="B107" s="5">
        <f>IFERROR(DATEDIF(Launch_Dates!$B$3,A107,"m"),"")</f>
        <v>57</v>
      </c>
      <c r="C107">
        <v>440003</v>
      </c>
    </row>
    <row r="108" spans="1:3" x14ac:dyDescent="0.3">
      <c r="A108" s="20">
        <v>45764</v>
      </c>
      <c r="B108" s="5">
        <f>IFERROR(DATEDIF(Launch_Dates!$B$3,A108,"m"),"")</f>
        <v>57</v>
      </c>
      <c r="C108">
        <v>440513</v>
      </c>
    </row>
    <row r="109" spans="1:3" x14ac:dyDescent="0.3">
      <c r="A109" s="20">
        <v>45765</v>
      </c>
      <c r="B109" s="5">
        <f>IFERROR(DATEDIF(Launch_Dates!$B$3,A109,"m"),"")</f>
        <v>57</v>
      </c>
      <c r="C109">
        <v>440877</v>
      </c>
    </row>
    <row r="110" spans="1:3" x14ac:dyDescent="0.3">
      <c r="A110" s="20">
        <v>45766</v>
      </c>
      <c r="B110" s="5">
        <f>IFERROR(DATEDIF(Launch_Dates!$B$3,A110,"m"),"")</f>
        <v>57</v>
      </c>
      <c r="C110">
        <v>440953</v>
      </c>
    </row>
    <row r="111" spans="1:3" x14ac:dyDescent="0.3">
      <c r="A111" s="20">
        <v>45767</v>
      </c>
      <c r="B111" s="5">
        <f>IFERROR(DATEDIF(Launch_Dates!$B$3,A111,"m"),"")</f>
        <v>57</v>
      </c>
      <c r="C111">
        <v>441131</v>
      </c>
    </row>
    <row r="112" spans="1:3" x14ac:dyDescent="0.3">
      <c r="A112" s="20">
        <v>45768</v>
      </c>
      <c r="B112" s="5">
        <f>IFERROR(DATEDIF(Launch_Dates!$B$3,A112,"m"),"")</f>
        <v>57</v>
      </c>
      <c r="C112">
        <v>439380</v>
      </c>
    </row>
    <row r="113" spans="1:3" x14ac:dyDescent="0.3">
      <c r="A113" s="20">
        <v>45769</v>
      </c>
      <c r="B113" s="5">
        <f>IFERROR(DATEDIF(Launch_Dates!$B$3,A113,"m"),"")</f>
        <v>57</v>
      </c>
      <c r="C113">
        <v>443780</v>
      </c>
    </row>
    <row r="114" spans="1:3" x14ac:dyDescent="0.3">
      <c r="A114" s="20">
        <v>45770</v>
      </c>
      <c r="B114" s="5">
        <f>IFERROR(DATEDIF(Launch_Dates!$B$3,A114,"m"),"")</f>
        <v>57</v>
      </c>
      <c r="C114">
        <v>447449</v>
      </c>
    </row>
    <row r="115" spans="1:3" x14ac:dyDescent="0.3">
      <c r="A115" s="20">
        <v>45771</v>
      </c>
      <c r="B115" s="5">
        <f>IFERROR(DATEDIF(Launch_Dates!$B$3,A115,"m"),"")</f>
        <v>57</v>
      </c>
      <c r="C115">
        <v>448591</v>
      </c>
    </row>
    <row r="116" spans="1:3" x14ac:dyDescent="0.3">
      <c r="A116" s="20">
        <v>45772</v>
      </c>
      <c r="B116" s="5">
        <f>IFERROR(DATEDIF(Launch_Dates!$B$3,A116,"m"),"")</f>
        <v>57</v>
      </c>
      <c r="C116">
        <v>449555</v>
      </c>
    </row>
    <row r="117" spans="1:3" x14ac:dyDescent="0.3">
      <c r="A117" s="20">
        <v>45773</v>
      </c>
      <c r="B117" s="5">
        <f>IFERROR(DATEDIF(Launch_Dates!$B$3,A117,"m"),"")</f>
        <v>57</v>
      </c>
      <c r="C117">
        <v>493322</v>
      </c>
    </row>
    <row r="118" spans="1:3" x14ac:dyDescent="0.3">
      <c r="A118" s="20">
        <v>45774</v>
      </c>
      <c r="B118" s="5">
        <f>IFERROR(DATEDIF(Launch_Dates!$B$3,A118,"m"),"")</f>
        <v>57</v>
      </c>
      <c r="C118">
        <v>450605</v>
      </c>
    </row>
    <row r="119" spans="1:3" x14ac:dyDescent="0.3">
      <c r="A119" s="20">
        <v>45775</v>
      </c>
      <c r="B119" s="5">
        <f>IFERROR(DATEDIF(Launch_Dates!$B$3,A119,"m"),"")</f>
        <v>57</v>
      </c>
      <c r="C119">
        <v>451673</v>
      </c>
    </row>
    <row r="120" spans="1:3" x14ac:dyDescent="0.3">
      <c r="A120" s="20">
        <v>45776</v>
      </c>
      <c r="B120" s="5">
        <f>IFERROR(DATEDIF(Launch_Dates!$B$3,A120,"m"),"")</f>
        <v>57</v>
      </c>
      <c r="C120">
        <v>496630</v>
      </c>
    </row>
    <row r="121" spans="1:3" x14ac:dyDescent="0.3">
      <c r="A121" s="20">
        <v>45777</v>
      </c>
      <c r="B121" s="5">
        <f>IFERROR(DATEDIF(Launch_Dates!$B$3,A121,"m"),"")</f>
        <v>57</v>
      </c>
      <c r="C121">
        <v>509882</v>
      </c>
    </row>
    <row r="122" spans="1:3" x14ac:dyDescent="0.3">
      <c r="A122" s="20">
        <v>45778</v>
      </c>
      <c r="B122" s="5">
        <f>IFERROR(DATEDIF(Launch_Dates!$B$3,A122,"m"),"")</f>
        <v>58</v>
      </c>
      <c r="C122">
        <v>506647</v>
      </c>
    </row>
    <row r="123" spans="1:3" x14ac:dyDescent="0.3">
      <c r="A123" s="20">
        <v>45779</v>
      </c>
      <c r="B123" s="5">
        <f>IFERROR(DATEDIF(Launch_Dates!$B$3,A123,"m"),"")</f>
        <v>58</v>
      </c>
      <c r="C123">
        <v>507783</v>
      </c>
    </row>
    <row r="124" spans="1:3" x14ac:dyDescent="0.3">
      <c r="A124" s="20">
        <v>45780</v>
      </c>
      <c r="B124" s="5">
        <f>IFERROR(DATEDIF(Launch_Dates!$B$3,A124,"m"),"")</f>
        <v>58</v>
      </c>
      <c r="C124">
        <v>507423</v>
      </c>
    </row>
    <row r="125" spans="1:3" x14ac:dyDescent="0.3">
      <c r="A125" s="20">
        <v>45781</v>
      </c>
      <c r="B125" s="5">
        <f>IFERROR(DATEDIF(Launch_Dates!$B$3,A125,"m"),"")</f>
        <v>58</v>
      </c>
      <c r="C125">
        <v>507780</v>
      </c>
    </row>
    <row r="126" spans="1:3" x14ac:dyDescent="0.3">
      <c r="A126" s="20">
        <v>45782</v>
      </c>
      <c r="B126" s="5">
        <f>IFERROR(DATEDIF(Launch_Dates!$B$3,A126,"m"),"")</f>
        <v>58</v>
      </c>
      <c r="C126">
        <v>498002</v>
      </c>
    </row>
    <row r="127" spans="1:3" x14ac:dyDescent="0.3">
      <c r="A127" s="20">
        <v>45783</v>
      </c>
      <c r="B127" s="5">
        <f>IFERROR(DATEDIF(Launch_Dates!$B$3,A127,"m"),"")</f>
        <v>58</v>
      </c>
      <c r="C127">
        <v>511923</v>
      </c>
    </row>
    <row r="128" spans="1:3" x14ac:dyDescent="0.3">
      <c r="A128" s="20">
        <v>45784</v>
      </c>
      <c r="B128" s="5">
        <f>IFERROR(DATEDIF(Launch_Dates!$B$3,A128,"m"),"")</f>
        <v>58</v>
      </c>
      <c r="C128">
        <v>513012</v>
      </c>
    </row>
    <row r="129" spans="1:3" x14ac:dyDescent="0.3">
      <c r="A129" s="20">
        <v>45785</v>
      </c>
      <c r="B129" s="5">
        <f>IFERROR(DATEDIF(Launch_Dates!$B$3,A129,"m"),"")</f>
        <v>58</v>
      </c>
      <c r="C129">
        <v>514348</v>
      </c>
    </row>
    <row r="130" spans="1:3" x14ac:dyDescent="0.3">
      <c r="A130" s="20">
        <v>45786</v>
      </c>
      <c r="B130" s="5">
        <f>IFERROR(DATEDIF(Launch_Dates!$B$3,A130,"m"),"")</f>
        <v>58</v>
      </c>
      <c r="C130">
        <v>458280</v>
      </c>
    </row>
    <row r="131" spans="1:3" x14ac:dyDescent="0.3">
      <c r="A131" s="20">
        <v>45787</v>
      </c>
      <c r="B131" s="5">
        <f>IFERROR(DATEDIF(Launch_Dates!$B$3,A131,"m"),"")</f>
        <v>58</v>
      </c>
      <c r="C131">
        <v>459280</v>
      </c>
    </row>
    <row r="132" spans="1:3" x14ac:dyDescent="0.3">
      <c r="A132" s="20">
        <v>45788</v>
      </c>
      <c r="B132" s="5">
        <f>IFERROR(DATEDIF(Launch_Dates!$B$3,A132,"m"),"")</f>
        <v>58</v>
      </c>
      <c r="C132">
        <v>459533</v>
      </c>
    </row>
    <row r="133" spans="1:3" x14ac:dyDescent="0.3">
      <c r="A133" s="20">
        <v>45789</v>
      </c>
      <c r="B133" s="5">
        <f>IFERROR(DATEDIF(Launch_Dates!$B$3,A133,"m"),"")</f>
        <v>58</v>
      </c>
      <c r="C133">
        <v>517684</v>
      </c>
    </row>
    <row r="134" spans="1:3" x14ac:dyDescent="0.3">
      <c r="A134" s="20">
        <v>45790</v>
      </c>
      <c r="B134" s="5">
        <f>IFERROR(DATEDIF(Launch_Dates!$B$3,A134,"m"),"")</f>
        <v>58</v>
      </c>
      <c r="C134">
        <v>519963</v>
      </c>
    </row>
    <row r="135" spans="1:3" x14ac:dyDescent="0.3">
      <c r="A135" s="20">
        <v>45791</v>
      </c>
      <c r="B135" s="5">
        <f>IFERROR(DATEDIF(Launch_Dates!$B$3,A135,"m"),"")</f>
        <v>58</v>
      </c>
      <c r="C135">
        <v>520218</v>
      </c>
    </row>
    <row r="136" spans="1:3" x14ac:dyDescent="0.3">
      <c r="A136" s="20">
        <v>45792</v>
      </c>
      <c r="B136" s="5">
        <f>IFERROR(DATEDIF(Launch_Dates!$B$3,A136,"m"),"")</f>
        <v>58</v>
      </c>
      <c r="C136">
        <v>519493</v>
      </c>
    </row>
    <row r="137" spans="1:3" x14ac:dyDescent="0.3">
      <c r="A137" s="20">
        <v>45793</v>
      </c>
      <c r="B137" s="5">
        <f>IFERROR(DATEDIF(Launch_Dates!$B$3,A137,"m"),"")</f>
        <v>58</v>
      </c>
      <c r="C137">
        <v>521471</v>
      </c>
    </row>
    <row r="138" spans="1:3" x14ac:dyDescent="0.3">
      <c r="A138" s="20">
        <v>45794</v>
      </c>
      <c r="B138" s="5">
        <f>IFERROR(DATEDIF(Launch_Dates!$B$3,A138,"m"),"")</f>
        <v>58</v>
      </c>
      <c r="C138">
        <v>522064</v>
      </c>
    </row>
    <row r="139" spans="1:3" x14ac:dyDescent="0.3">
      <c r="A139" s="20">
        <v>45795</v>
      </c>
      <c r="B139" s="5">
        <f>IFERROR(DATEDIF(Launch_Dates!$B$3,A139,"m"),"")</f>
        <v>58</v>
      </c>
      <c r="C139">
        <v>462992</v>
      </c>
    </row>
    <row r="140" spans="1:3" x14ac:dyDescent="0.3">
      <c r="A140" s="20">
        <v>45796</v>
      </c>
      <c r="B140" s="5">
        <f>IFERROR(DATEDIF(Launch_Dates!$B$3,A140,"m"),"")</f>
        <v>58</v>
      </c>
      <c r="C140">
        <v>523083</v>
      </c>
    </row>
    <row r="141" spans="1:3" x14ac:dyDescent="0.3">
      <c r="A141" s="20">
        <v>45797</v>
      </c>
      <c r="B141" s="5">
        <f>IFERROR(DATEDIF(Launch_Dates!$B$3,A141,"m"),"")</f>
        <v>58</v>
      </c>
      <c r="C141">
        <v>523933</v>
      </c>
    </row>
    <row r="142" spans="1:3" x14ac:dyDescent="0.3">
      <c r="A142" s="20">
        <v>45798</v>
      </c>
      <c r="B142" s="5">
        <f>IFERROR(DATEDIF(Launch_Dates!$B$3,A142,"m"),"")</f>
        <v>58</v>
      </c>
      <c r="C142">
        <v>524731</v>
      </c>
    </row>
    <row r="143" spans="1:3" x14ac:dyDescent="0.3">
      <c r="A143" s="20">
        <v>45799</v>
      </c>
      <c r="B143" s="5">
        <f>IFERROR(DATEDIF(Launch_Dates!$B$3,A143,"m"),"")</f>
        <v>58</v>
      </c>
      <c r="C143">
        <v>525470</v>
      </c>
    </row>
    <row r="144" spans="1:3" x14ac:dyDescent="0.3">
      <c r="A144" s="20">
        <v>45800</v>
      </c>
      <c r="B144" s="5">
        <f>IFERROR(DATEDIF(Launch_Dates!$B$3,A144,"m"),"")</f>
        <v>58</v>
      </c>
      <c r="C144">
        <v>526177</v>
      </c>
    </row>
    <row r="145" spans="1:3" x14ac:dyDescent="0.3">
      <c r="A145" s="20">
        <v>45801</v>
      </c>
      <c r="B145" s="5">
        <f>IFERROR(DATEDIF(Launch_Dates!$B$3,A145,"m"),"")</f>
        <v>58</v>
      </c>
      <c r="C145">
        <v>528294</v>
      </c>
    </row>
    <row r="146" spans="1:3" x14ac:dyDescent="0.3">
      <c r="A146" s="20">
        <v>45802</v>
      </c>
      <c r="B146" s="5">
        <f>IFERROR(DATEDIF(Launch_Dates!$B$3,A146,"m"),"")</f>
        <v>58</v>
      </c>
      <c r="C146">
        <v>470655</v>
      </c>
    </row>
    <row r="147" spans="1:3" x14ac:dyDescent="0.3">
      <c r="A147" s="20">
        <v>45803</v>
      </c>
      <c r="B147" s="5">
        <f>IFERROR(DATEDIF(Launch_Dates!$B$3,A147,"m"),"")</f>
        <v>58</v>
      </c>
      <c r="C147">
        <v>532849</v>
      </c>
    </row>
    <row r="148" spans="1:3" x14ac:dyDescent="0.3">
      <c r="A148" s="20">
        <v>45804</v>
      </c>
      <c r="B148" s="5">
        <f>IFERROR(DATEDIF(Launch_Dates!$B$3,A148,"m"),"")</f>
        <v>58</v>
      </c>
      <c r="C148">
        <v>534486</v>
      </c>
    </row>
    <row r="149" spans="1:3" x14ac:dyDescent="0.3">
      <c r="A149" s="20">
        <v>45805</v>
      </c>
      <c r="B149" s="5">
        <f>IFERROR(DATEDIF(Launch_Dates!$B$3,A149,"m"),"")</f>
        <v>58</v>
      </c>
      <c r="C149">
        <v>534615</v>
      </c>
    </row>
    <row r="150" spans="1:3" x14ac:dyDescent="0.3">
      <c r="A150" s="20">
        <v>45806</v>
      </c>
      <c r="B150" s="5">
        <f>IFERROR(DATEDIF(Launch_Dates!$B$3,A150,"m"),"")</f>
        <v>58</v>
      </c>
      <c r="C150">
        <v>536879</v>
      </c>
    </row>
    <row r="151" spans="1:3" x14ac:dyDescent="0.3">
      <c r="A151" s="20">
        <v>45807</v>
      </c>
      <c r="B151" s="5">
        <f>IFERROR(DATEDIF(Launch_Dates!$B$3,A151,"m"),"")</f>
        <v>58</v>
      </c>
      <c r="C151">
        <v>537952</v>
      </c>
    </row>
    <row r="152" spans="1:3" x14ac:dyDescent="0.3">
      <c r="A152" s="20">
        <v>45808</v>
      </c>
      <c r="B152" s="5">
        <f>IFERROR(DATEDIF(Launch_Dates!$B$3,A152,"m"),"")</f>
        <v>58</v>
      </c>
      <c r="C152">
        <v>539178</v>
      </c>
    </row>
    <row r="153" spans="1:3" x14ac:dyDescent="0.3">
      <c r="A153" s="20">
        <v>45809</v>
      </c>
      <c r="B153" s="5">
        <f>IFERROR(DATEDIF(Launch_Dates!$B$3,A153,"m"),"")</f>
        <v>59</v>
      </c>
      <c r="C153">
        <v>534756</v>
      </c>
    </row>
    <row r="154" spans="1:3" x14ac:dyDescent="0.3">
      <c r="A154" s="20">
        <v>45810</v>
      </c>
      <c r="B154" s="5">
        <f>IFERROR(DATEDIF(Launch_Dates!$B$3,A154,"m"),"")</f>
        <v>59</v>
      </c>
      <c r="C154">
        <v>535651</v>
      </c>
    </row>
    <row r="155" spans="1:3" x14ac:dyDescent="0.3">
      <c r="A155" s="20">
        <v>45811</v>
      </c>
      <c r="B155" s="5">
        <f>IFERROR(DATEDIF(Launch_Dates!$B$3,A155,"m"),"")</f>
        <v>59</v>
      </c>
      <c r="C155">
        <v>537317</v>
      </c>
    </row>
    <row r="156" spans="1:3" x14ac:dyDescent="0.3">
      <c r="A156" s="20">
        <v>45812</v>
      </c>
      <c r="B156" s="5">
        <f>IFERROR(DATEDIF(Launch_Dates!$B$3,A156,"m"),"")</f>
        <v>59</v>
      </c>
      <c r="C156">
        <v>538750</v>
      </c>
    </row>
    <row r="157" spans="1:3" x14ac:dyDescent="0.3">
      <c r="A157" s="20">
        <v>45813</v>
      </c>
      <c r="B157" s="5">
        <f>IFERROR(DATEDIF(Launch_Dates!$B$3,A157,"m"),"")</f>
        <v>59</v>
      </c>
      <c r="C157">
        <v>537287</v>
      </c>
    </row>
    <row r="158" spans="1:3" x14ac:dyDescent="0.3">
      <c r="A158" s="20">
        <v>45814</v>
      </c>
      <c r="B158" s="5">
        <f>IFERROR(DATEDIF(Launch_Dates!$B$3,A158,"m"),"")</f>
        <v>59</v>
      </c>
      <c r="C158">
        <v>541196</v>
      </c>
    </row>
    <row r="159" spans="1:3" x14ac:dyDescent="0.3">
      <c r="A159" s="20">
        <v>45815</v>
      </c>
      <c r="B159" s="5">
        <f>IFERROR(DATEDIF(Launch_Dates!$B$3,A159,"m"),"")</f>
        <v>59</v>
      </c>
      <c r="C159">
        <v>542337</v>
      </c>
    </row>
    <row r="160" spans="1:3" x14ac:dyDescent="0.3">
      <c r="A160" s="20">
        <v>45816</v>
      </c>
      <c r="B160" s="5">
        <f>IFERROR(DATEDIF(Launch_Dates!$B$3,A160,"m"),"")</f>
        <v>59</v>
      </c>
      <c r="C160">
        <v>543500</v>
      </c>
    </row>
    <row r="161" spans="1:3" x14ac:dyDescent="0.3">
      <c r="A161" s="20">
        <v>45817</v>
      </c>
      <c r="B161" s="5">
        <f>IFERROR(DATEDIF(Launch_Dates!$B$3,A161,"m"),"")</f>
        <v>59</v>
      </c>
      <c r="C161">
        <v>541786</v>
      </c>
    </row>
    <row r="162" spans="1:3" x14ac:dyDescent="0.3">
      <c r="A162" s="20">
        <v>45818</v>
      </c>
      <c r="B162" s="5">
        <f>IFERROR(DATEDIF(Launch_Dates!$B$3,A162,"m"),"")</f>
        <v>59</v>
      </c>
      <c r="C162">
        <v>545976</v>
      </c>
    </row>
    <row r="163" spans="1:3" x14ac:dyDescent="0.3">
      <c r="A163" s="20">
        <v>45819</v>
      </c>
      <c r="B163" s="5">
        <f>IFERROR(DATEDIF(Launch_Dates!$B$3,A163,"m"),"")</f>
        <v>59</v>
      </c>
      <c r="C163">
        <v>544508</v>
      </c>
    </row>
    <row r="164" spans="1:3" x14ac:dyDescent="0.3">
      <c r="A164" s="20">
        <v>45820</v>
      </c>
      <c r="B164" s="5">
        <f>IFERROR(DATEDIF(Launch_Dates!$B$3,A164,"m"),"")</f>
        <v>59</v>
      </c>
      <c r="C164">
        <v>548609</v>
      </c>
    </row>
    <row r="165" spans="1:3" x14ac:dyDescent="0.3">
      <c r="A165" s="20">
        <v>45821</v>
      </c>
      <c r="B165" s="5">
        <f>IFERROR(DATEDIF(Launch_Dates!$B$3,A165,"m"),"")</f>
        <v>59</v>
      </c>
      <c r="C165">
        <v>550007</v>
      </c>
    </row>
    <row r="166" spans="1:3" x14ac:dyDescent="0.3">
      <c r="A166" s="20">
        <v>45822</v>
      </c>
      <c r="B166" s="5">
        <f>IFERROR(DATEDIF(Launch_Dates!$B$3,A166,"m"),"")</f>
        <v>59</v>
      </c>
      <c r="C166">
        <v>548449</v>
      </c>
    </row>
    <row r="167" spans="1:3" x14ac:dyDescent="0.3">
      <c r="A167" s="20">
        <v>45823</v>
      </c>
      <c r="B167" s="5">
        <f>IFERROR(DATEDIF(Launch_Dates!$B$3,A167,"m"),"")</f>
        <v>59</v>
      </c>
      <c r="C167">
        <v>552024</v>
      </c>
    </row>
    <row r="168" spans="1:3" x14ac:dyDescent="0.3">
      <c r="A168" s="20">
        <v>45824</v>
      </c>
      <c r="B168" s="5">
        <f>IFERROR(DATEDIF(Launch_Dates!$B$3,A168,"m"),"")</f>
        <v>59</v>
      </c>
      <c r="C168">
        <v>553373</v>
      </c>
    </row>
    <row r="169" spans="1:3" x14ac:dyDescent="0.3">
      <c r="A169" s="20">
        <v>45825</v>
      </c>
      <c r="B169" s="5">
        <f>IFERROR(DATEDIF(Launch_Dates!$B$3,A169,"m"),"")</f>
        <v>59</v>
      </c>
      <c r="C169">
        <v>554990</v>
      </c>
    </row>
    <row r="170" spans="1:3" x14ac:dyDescent="0.3">
      <c r="A170" s="20">
        <v>45826</v>
      </c>
      <c r="B170" s="5">
        <f>IFERROR(DATEDIF(Launch_Dates!$B$3,A170,"m"),"")</f>
        <v>59</v>
      </c>
      <c r="C170">
        <v>555023</v>
      </c>
    </row>
    <row r="171" spans="1:3" x14ac:dyDescent="0.3">
      <c r="A171" s="20">
        <v>45827</v>
      </c>
      <c r="B171" s="5">
        <f>IFERROR(DATEDIF(Launch_Dates!$B$3,A171,"m"),"")</f>
        <v>59</v>
      </c>
      <c r="C171">
        <v>555718</v>
      </c>
    </row>
    <row r="172" spans="1:3" x14ac:dyDescent="0.3">
      <c r="A172" s="20">
        <v>45828</v>
      </c>
      <c r="B172" s="5">
        <f>IFERROR(DATEDIF(Launch_Dates!$B$3,A172,"m"),"")</f>
        <v>59</v>
      </c>
      <c r="C172">
        <v>557034</v>
      </c>
    </row>
    <row r="173" spans="1:3" x14ac:dyDescent="0.3">
      <c r="A173" s="20">
        <v>45829</v>
      </c>
      <c r="B173" s="5">
        <f>IFERROR(DATEDIF(Launch_Dates!$B$3,A173,"m"),"")</f>
        <v>59</v>
      </c>
      <c r="C173">
        <v>558852</v>
      </c>
    </row>
    <row r="174" spans="1:3" x14ac:dyDescent="0.3">
      <c r="A174" s="20">
        <v>45830</v>
      </c>
      <c r="B174" s="5">
        <f>IFERROR(DATEDIF(Launch_Dates!$B$3,A174,"m"),"")</f>
        <v>59</v>
      </c>
      <c r="C174">
        <v>560569</v>
      </c>
    </row>
    <row r="175" spans="1:3" x14ac:dyDescent="0.3">
      <c r="A175" s="20">
        <v>45831</v>
      </c>
      <c r="B175" s="5">
        <f>IFERROR(DATEDIF(Launch_Dates!$B$3,A175,"m"),"")</f>
        <v>59</v>
      </c>
      <c r="C175">
        <v>562043</v>
      </c>
    </row>
    <row r="176" spans="1:3" x14ac:dyDescent="0.3">
      <c r="A176" s="20">
        <v>45832</v>
      </c>
      <c r="B176" s="5">
        <f>IFERROR(DATEDIF(Launch_Dates!$B$3,A176,"m"),"")</f>
        <v>59</v>
      </c>
      <c r="C176">
        <v>563954</v>
      </c>
    </row>
    <row r="177" spans="1:3" x14ac:dyDescent="0.3">
      <c r="A177" s="20">
        <v>45833</v>
      </c>
      <c r="B177" s="5">
        <f>IFERROR(DATEDIF(Launch_Dates!$B$3,A177,"m"),"")</f>
        <v>59</v>
      </c>
      <c r="C177">
        <v>565749</v>
      </c>
    </row>
    <row r="178" spans="1:3" x14ac:dyDescent="0.3">
      <c r="A178" s="20">
        <v>45834</v>
      </c>
      <c r="B178" s="5">
        <f>IFERROR(DATEDIF(Launch_Dates!$B$3,A178,"m"),"")</f>
        <v>59</v>
      </c>
      <c r="C178">
        <v>567357</v>
      </c>
    </row>
    <row r="179" spans="1:3" x14ac:dyDescent="0.3">
      <c r="A179" s="20">
        <v>45835</v>
      </c>
      <c r="B179" s="5">
        <f>IFERROR(DATEDIF(Launch_Dates!$B$3,A179,"m"),"")</f>
        <v>59</v>
      </c>
      <c r="C179">
        <v>569306</v>
      </c>
    </row>
    <row r="180" spans="1:3" x14ac:dyDescent="0.3">
      <c r="A180" s="20">
        <v>45836</v>
      </c>
      <c r="B180" s="5">
        <f>IFERROR(DATEDIF(Launch_Dates!$B$3,A180,"m"),"")</f>
        <v>59</v>
      </c>
      <c r="C180">
        <v>570761</v>
      </c>
    </row>
    <row r="181" spans="1:3" x14ac:dyDescent="0.3">
      <c r="A181" s="20">
        <v>45837</v>
      </c>
      <c r="B181" s="5">
        <f>IFERROR(DATEDIF(Launch_Dates!$B$3,A181,"m"),"")</f>
        <v>59</v>
      </c>
      <c r="C181">
        <v>503750</v>
      </c>
    </row>
    <row r="182" spans="1:3" x14ac:dyDescent="0.3">
      <c r="A182" s="20">
        <v>45838</v>
      </c>
      <c r="B182" s="5">
        <f>IFERROR(DATEDIF(Launch_Dates!$B$3,A182,"m"),"")</f>
        <v>59</v>
      </c>
      <c r="C182">
        <v>573057</v>
      </c>
    </row>
    <row r="183" spans="1:3" x14ac:dyDescent="0.3">
      <c r="A183" s="20">
        <v>45839</v>
      </c>
      <c r="B183" s="5">
        <f>IFERROR(DATEDIF(Launch_Dates!$B$3,A183,"m"),"")</f>
        <v>60</v>
      </c>
      <c r="C183">
        <v>566296</v>
      </c>
    </row>
    <row r="184" spans="1:3" x14ac:dyDescent="0.3">
      <c r="A184" s="20">
        <v>45840</v>
      </c>
      <c r="B184" s="5">
        <f>IFERROR(DATEDIF(Launch_Dates!$B$3,A184,"m"),"")</f>
        <v>60</v>
      </c>
      <c r="C184">
        <v>567975</v>
      </c>
    </row>
    <row r="185" spans="1:3" x14ac:dyDescent="0.3">
      <c r="A185" s="20">
        <v>45841</v>
      </c>
      <c r="B185" s="5">
        <f>IFERROR(DATEDIF(Launch_Dates!$B$3,A185,"m"),"")</f>
        <v>60</v>
      </c>
      <c r="C185">
        <v>499013</v>
      </c>
    </row>
    <row r="186" spans="1:3" x14ac:dyDescent="0.3">
      <c r="A186" s="20">
        <v>45842</v>
      </c>
      <c r="B186" s="5">
        <f>IFERROR(DATEDIF(Launch_Dates!$B$3,A186,"m"),"")</f>
        <v>60</v>
      </c>
      <c r="C186">
        <v>568366</v>
      </c>
    </row>
    <row r="187" spans="1:3" x14ac:dyDescent="0.3">
      <c r="A187" s="20">
        <v>45843</v>
      </c>
      <c r="B187" s="5">
        <f>IFERROR(DATEDIF(Launch_Dates!$B$3,A187,"m"),"")</f>
        <v>60</v>
      </c>
      <c r="C187">
        <v>572743</v>
      </c>
    </row>
    <row r="188" spans="1:3" x14ac:dyDescent="0.3">
      <c r="A188" s="20">
        <v>45844</v>
      </c>
      <c r="B188" s="5">
        <f>IFERROR(DATEDIF(Launch_Dates!$B$3,A188,"m"),"")</f>
        <v>60</v>
      </c>
      <c r="C188">
        <v>573851</v>
      </c>
    </row>
    <row r="189" spans="1:3" x14ac:dyDescent="0.3">
      <c r="A189" s="20">
        <v>45845</v>
      </c>
      <c r="B189" s="5">
        <f>IFERROR(DATEDIF(Launch_Dates!$B$3,A189,"m"),"")</f>
        <v>60</v>
      </c>
      <c r="C189">
        <v>574903</v>
      </c>
    </row>
    <row r="190" spans="1:3" x14ac:dyDescent="0.3">
      <c r="A190" s="20">
        <v>45846</v>
      </c>
      <c r="B190" s="5">
        <f>IFERROR(DATEDIF(Launch_Dates!$B$3,A190,"m"),"")</f>
        <v>60</v>
      </c>
      <c r="C190">
        <v>574233</v>
      </c>
    </row>
    <row r="191" spans="1:3" x14ac:dyDescent="0.3">
      <c r="A191" s="20">
        <v>45847</v>
      </c>
      <c r="B191" s="5">
        <f>IFERROR(DATEDIF(Launch_Dates!$B$3,A191,"m"),"")</f>
        <v>60</v>
      </c>
      <c r="C191">
        <v>576350</v>
      </c>
    </row>
    <row r="192" spans="1:3" x14ac:dyDescent="0.3">
      <c r="A192" s="20">
        <v>45848</v>
      </c>
      <c r="B192" s="5">
        <f>IFERROR(DATEDIF(Launch_Dates!$B$3,A192,"m"),"")</f>
        <v>60</v>
      </c>
      <c r="C192">
        <v>575541</v>
      </c>
    </row>
    <row r="193" spans="1:3" x14ac:dyDescent="0.3">
      <c r="A193" s="20">
        <v>45849</v>
      </c>
      <c r="B193" s="5">
        <f>IFERROR(DATEDIF(Launch_Dates!$B$3,A193,"m"),"")</f>
        <v>60</v>
      </c>
      <c r="C193">
        <v>578657</v>
      </c>
    </row>
    <row r="194" spans="1:3" x14ac:dyDescent="0.3">
      <c r="A194" s="20">
        <v>45850</v>
      </c>
      <c r="B194" s="5">
        <f>IFERROR(DATEDIF(Launch_Dates!$B$3,A194,"m"),"")</f>
        <v>60</v>
      </c>
      <c r="C194">
        <v>581590</v>
      </c>
    </row>
    <row r="195" spans="1:3" x14ac:dyDescent="0.3">
      <c r="A195" s="20">
        <v>45851</v>
      </c>
      <c r="B195" s="5">
        <f>IFERROR(DATEDIF(Launch_Dates!$B$3,A195,"m"),"")</f>
        <v>60</v>
      </c>
      <c r="C195">
        <v>580447</v>
      </c>
    </row>
    <row r="196" spans="1:3" x14ac:dyDescent="0.3">
      <c r="A196" s="20">
        <v>45852</v>
      </c>
      <c r="B196" s="5">
        <f>IFERROR(DATEDIF(Launch_Dates!$B$3,A196,"m"),"")</f>
        <v>60</v>
      </c>
      <c r="C196">
        <v>582422</v>
      </c>
    </row>
    <row r="197" spans="1:3" x14ac:dyDescent="0.3">
      <c r="A197" s="20">
        <v>45853</v>
      </c>
      <c r="B197" s="5">
        <f>IFERROR(DATEDIF(Launch_Dates!$B$3,A197,"m"),"")</f>
        <v>60</v>
      </c>
      <c r="C197">
        <v>581810</v>
      </c>
    </row>
    <row r="198" spans="1:3" x14ac:dyDescent="0.3">
      <c r="A198" s="20">
        <v>45854</v>
      </c>
      <c r="B198" s="5">
        <f>IFERROR(DATEDIF(Launch_Dates!$B$3,A198,"m"),"")</f>
        <v>60</v>
      </c>
      <c r="C198">
        <v>583939</v>
      </c>
    </row>
    <row r="199" spans="1:3" x14ac:dyDescent="0.3">
      <c r="A199" s="20">
        <v>45855</v>
      </c>
      <c r="B199" s="5">
        <f>IFERROR(DATEDIF(Launch_Dates!$B$3,A199,"m"),"")</f>
        <v>60</v>
      </c>
      <c r="C199">
        <v>584558</v>
      </c>
    </row>
    <row r="200" spans="1:3" x14ac:dyDescent="0.3">
      <c r="A200" s="20">
        <v>45856</v>
      </c>
      <c r="B200" s="5">
        <f>IFERROR(DATEDIF(Launch_Dates!$B$3,A200,"m"),"")</f>
        <v>60</v>
      </c>
      <c r="C200">
        <v>585309</v>
      </c>
    </row>
    <row r="201" spans="1:3" x14ac:dyDescent="0.3">
      <c r="A201" s="20">
        <v>45857</v>
      </c>
      <c r="B201" s="5">
        <f>IFERROR(DATEDIF(Launch_Dates!$B$3,A201,"m"),"")</f>
        <v>60</v>
      </c>
      <c r="C201">
        <v>588107</v>
      </c>
    </row>
    <row r="202" spans="1:3" x14ac:dyDescent="0.3">
      <c r="A202" s="20">
        <v>45858</v>
      </c>
      <c r="B202" s="5">
        <f>IFERROR(DATEDIF(Launch_Dates!$B$3,A202,"m"),"")</f>
        <v>60</v>
      </c>
      <c r="C202">
        <v>519215</v>
      </c>
    </row>
    <row r="203" spans="1:3" x14ac:dyDescent="0.3">
      <c r="A203" s="20">
        <v>45859</v>
      </c>
      <c r="B203" s="5">
        <f>IFERROR(DATEDIF(Launch_Dates!$B$3,A203,"m"),"")</f>
        <v>60</v>
      </c>
      <c r="C203">
        <v>590641</v>
      </c>
    </row>
    <row r="204" spans="1:3" x14ac:dyDescent="0.3">
      <c r="A204" s="20">
        <v>45860</v>
      </c>
      <c r="B204" s="5">
        <f>IFERROR(DATEDIF(Launch_Dates!$B$3,A204,"m"),"")</f>
        <v>60</v>
      </c>
      <c r="C204">
        <v>591623</v>
      </c>
    </row>
    <row r="205" spans="1:3" x14ac:dyDescent="0.3">
      <c r="A205" s="20">
        <v>45861</v>
      </c>
      <c r="B205" s="5">
        <f>IFERROR(DATEDIF(Launch_Dates!$B$3,A205,"m"),"")</f>
        <v>60</v>
      </c>
      <c r="C205">
        <v>587940</v>
      </c>
    </row>
    <row r="206" spans="1:3" x14ac:dyDescent="0.3">
      <c r="A206" s="20">
        <v>45862</v>
      </c>
      <c r="B206" s="5">
        <f>IFERROR(DATEDIF(Launch_Dates!$B$3,A206,"m"),"")</f>
        <v>60</v>
      </c>
      <c r="C206">
        <v>593226</v>
      </c>
    </row>
    <row r="207" spans="1:3" x14ac:dyDescent="0.3">
      <c r="A207" s="20">
        <v>45863</v>
      </c>
      <c r="B207" s="5">
        <f>IFERROR(DATEDIF(Launch_Dates!$B$3,A207,"m"),"")</f>
        <v>60</v>
      </c>
      <c r="C207">
        <v>597912</v>
      </c>
    </row>
    <row r="208" spans="1:3" x14ac:dyDescent="0.3">
      <c r="A208" s="20">
        <v>45864</v>
      </c>
      <c r="B208" s="5">
        <f>IFERROR(DATEDIF(Launch_Dates!$B$3,A208,"m"),"")</f>
        <v>60</v>
      </c>
      <c r="C208">
        <v>599131</v>
      </c>
    </row>
    <row r="209" spans="1:3" x14ac:dyDescent="0.3">
      <c r="A209" s="20">
        <v>45865</v>
      </c>
      <c r="B209" s="5">
        <f>IFERROR(DATEDIF(Launch_Dates!$B$3,A209,"m"),"")</f>
        <v>60</v>
      </c>
      <c r="C209">
        <v>600156</v>
      </c>
    </row>
    <row r="210" spans="1:3" x14ac:dyDescent="0.3">
      <c r="A210" s="20">
        <v>45866</v>
      </c>
      <c r="B210" s="5">
        <f>IFERROR(DATEDIF(Launch_Dates!$B$3,A210,"m"),"")</f>
        <v>60</v>
      </c>
      <c r="C210">
        <v>601447</v>
      </c>
    </row>
    <row r="211" spans="1:3" x14ac:dyDescent="0.3">
      <c r="A211" s="20">
        <v>45867</v>
      </c>
      <c r="B211" s="5">
        <f>IFERROR(DATEDIF(Launch_Dates!$B$3,A211,"m"),"")</f>
        <v>60</v>
      </c>
      <c r="C211">
        <v>603296</v>
      </c>
    </row>
    <row r="212" spans="1:3" x14ac:dyDescent="0.3">
      <c r="A212" s="20">
        <v>45868</v>
      </c>
      <c r="B212" s="5">
        <f>IFERROR(DATEDIF(Launch_Dates!$B$3,A212,"m"),"")</f>
        <v>60</v>
      </c>
      <c r="C212">
        <v>604871</v>
      </c>
    </row>
    <row r="213" spans="1:3" x14ac:dyDescent="0.3">
      <c r="A213" s="20">
        <v>45869</v>
      </c>
      <c r="B213" s="5">
        <f>IFERROR(DATEDIF(Launch_Dates!$B$3,A213,"m"),"")</f>
        <v>60</v>
      </c>
      <c r="C213">
        <v>605798</v>
      </c>
    </row>
    <row r="214" spans="1:3" x14ac:dyDescent="0.3">
      <c r="A214" s="20">
        <v>45870</v>
      </c>
      <c r="B214" s="5">
        <f>IFERROR(DATEDIF(Launch_Dates!$B$3,A214,"m"),"")</f>
        <v>61</v>
      </c>
      <c r="C214">
        <v>601868</v>
      </c>
    </row>
    <row r="215" spans="1:3" x14ac:dyDescent="0.3">
      <c r="A215" s="20">
        <v>45871</v>
      </c>
      <c r="B215" s="5">
        <f>IFERROR(DATEDIF(Launch_Dates!$B$3,A215,"m"),"")</f>
        <v>61</v>
      </c>
      <c r="C215">
        <v>602626</v>
      </c>
    </row>
    <row r="216" spans="1:3" x14ac:dyDescent="0.3">
      <c r="A216" s="20">
        <v>45872</v>
      </c>
      <c r="B216" s="5">
        <f>IFERROR(DATEDIF(Launch_Dates!$B$3,A216,"m"),"")</f>
        <v>61</v>
      </c>
      <c r="C216">
        <v>603209</v>
      </c>
    </row>
    <row r="217" spans="1:3" x14ac:dyDescent="0.3">
      <c r="A217" s="20">
        <v>45873</v>
      </c>
      <c r="B217" s="5">
        <f>IFERROR(DATEDIF(Launch_Dates!$B$3,A217,"m"),"")</f>
        <v>61</v>
      </c>
      <c r="C217">
        <v>603824</v>
      </c>
    </row>
    <row r="218" spans="1:3" x14ac:dyDescent="0.3">
      <c r="A218" s="20">
        <v>45874</v>
      </c>
      <c r="B218" s="5">
        <f>IFERROR(DATEDIF(Launch_Dates!$B$3,A218,"m"),"")</f>
        <v>61</v>
      </c>
      <c r="C218">
        <v>604836</v>
      </c>
    </row>
    <row r="219" spans="1:3" x14ac:dyDescent="0.3">
      <c r="A219" s="20">
        <v>45875</v>
      </c>
      <c r="B219" s="5">
        <f>IFERROR(DATEDIF(Launch_Dates!$B$3,A219,"m"),"")</f>
        <v>61</v>
      </c>
      <c r="C219">
        <v>603912</v>
      </c>
    </row>
    <row r="220" spans="1:3" x14ac:dyDescent="0.3">
      <c r="A220" s="20">
        <v>45876</v>
      </c>
      <c r="B220" s="5">
        <f>IFERROR(DATEDIF(Launch_Dates!$B$3,A220,"m"),"")</f>
        <v>61</v>
      </c>
      <c r="C220">
        <v>606444</v>
      </c>
    </row>
    <row r="221" spans="1:3" x14ac:dyDescent="0.3">
      <c r="A221" s="20">
        <v>45877</v>
      </c>
      <c r="B221" s="5">
        <f>IFERROR(DATEDIF(Launch_Dates!$B$3,A221,"m"),"")</f>
        <v>61</v>
      </c>
      <c r="C221">
        <v>607240</v>
      </c>
    </row>
    <row r="222" spans="1:3" x14ac:dyDescent="0.3">
      <c r="A222" s="20">
        <v>45878</v>
      </c>
      <c r="B222" s="5">
        <f>IFERROR(DATEDIF(Launch_Dates!$B$3,A222,"m"),"")</f>
        <v>61</v>
      </c>
      <c r="C222">
        <v>614457</v>
      </c>
    </row>
    <row r="223" spans="1:3" x14ac:dyDescent="0.3">
      <c r="A223" s="20">
        <v>45879</v>
      </c>
      <c r="B223" s="5">
        <f>IFERROR(DATEDIF(Launch_Dates!$B$3,A223,"m"),"")</f>
        <v>61</v>
      </c>
      <c r="C223">
        <v>615964</v>
      </c>
    </row>
    <row r="224" spans="1:3" x14ac:dyDescent="0.3">
      <c r="A224" s="20">
        <v>45880</v>
      </c>
      <c r="B224" s="5">
        <f>IFERROR(DATEDIF(Launch_Dates!$B$3,A224,"m"),"")</f>
        <v>61</v>
      </c>
      <c r="C224">
        <v>618677</v>
      </c>
    </row>
    <row r="225" spans="1:3" x14ac:dyDescent="0.3">
      <c r="A225" s="20">
        <v>45881</v>
      </c>
      <c r="B225" s="5">
        <f>IFERROR(DATEDIF(Launch_Dates!$B$3,A225,"m"),"")</f>
        <v>61</v>
      </c>
      <c r="C225">
        <v>620714</v>
      </c>
    </row>
    <row r="226" spans="1:3" x14ac:dyDescent="0.3">
      <c r="A226" s="20">
        <v>45882</v>
      </c>
      <c r="B226" s="5">
        <f>IFERROR(DATEDIF(Launch_Dates!$B$3,A226,"m"),"")</f>
        <v>61</v>
      </c>
      <c r="C226">
        <v>621355</v>
      </c>
    </row>
    <row r="227" spans="1:3" x14ac:dyDescent="0.3">
      <c r="A227" s="20">
        <v>45883</v>
      </c>
      <c r="B227" s="5">
        <f>IFERROR(DATEDIF(Launch_Dates!$B$3,A227,"m"),"")</f>
        <v>61</v>
      </c>
      <c r="C227">
        <v>625539</v>
      </c>
    </row>
    <row r="228" spans="1:3" x14ac:dyDescent="0.3">
      <c r="A228" s="20">
        <v>45884</v>
      </c>
      <c r="B228" s="5">
        <f>IFERROR(DATEDIF(Launch_Dates!$B$3,A228,"m"),"")</f>
        <v>61</v>
      </c>
      <c r="C228">
        <v>628091</v>
      </c>
    </row>
    <row r="229" spans="1:3" x14ac:dyDescent="0.3">
      <c r="A229" s="20">
        <v>45885</v>
      </c>
      <c r="B229" s="5">
        <f>IFERROR(DATEDIF(Launch_Dates!$B$3,A229,"m"),"")</f>
        <v>61</v>
      </c>
      <c r="C229">
        <v>630078</v>
      </c>
    </row>
    <row r="230" spans="1:3" x14ac:dyDescent="0.3">
      <c r="A230" s="20">
        <v>45886</v>
      </c>
      <c r="B230" s="5">
        <f>IFERROR(DATEDIF(Launch_Dates!$B$3,A230,"m"),"")</f>
        <v>61</v>
      </c>
      <c r="C230">
        <v>631159</v>
      </c>
    </row>
    <row r="231" spans="1:3" x14ac:dyDescent="0.3">
      <c r="A231" s="20">
        <v>45887</v>
      </c>
      <c r="B231" s="5">
        <f>IFERROR(DATEDIF(Launch_Dates!$B$3,A231,"m"),"")</f>
        <v>61</v>
      </c>
      <c r="C231">
        <v>632394</v>
      </c>
    </row>
    <row r="232" spans="1:3" x14ac:dyDescent="0.3">
      <c r="A232" s="20">
        <v>45888</v>
      </c>
      <c r="B232" s="5">
        <f>IFERROR(DATEDIF(Launch_Dates!$B$3,A232,"m"),"")</f>
        <v>61</v>
      </c>
      <c r="C232">
        <v>633172</v>
      </c>
    </row>
    <row r="233" spans="1:3" x14ac:dyDescent="0.3">
      <c r="A233" s="20">
        <v>45889</v>
      </c>
      <c r="B233" s="5">
        <f>IFERROR(DATEDIF(Launch_Dates!$B$3,A233,"m"),"")</f>
        <v>61</v>
      </c>
      <c r="C233">
        <v>635418</v>
      </c>
    </row>
    <row r="234" spans="1:3" x14ac:dyDescent="0.3">
      <c r="A234" s="20">
        <v>45890</v>
      </c>
      <c r="B234" s="5">
        <f>IFERROR(DATEDIF(Launch_Dates!$B$3,A234,"m"),"")</f>
        <v>61</v>
      </c>
      <c r="C234">
        <v>639371</v>
      </c>
    </row>
    <row r="235" spans="1:3" x14ac:dyDescent="0.3">
      <c r="A235" s="20">
        <v>45891</v>
      </c>
      <c r="B235" s="5">
        <f>IFERROR(DATEDIF(Launch_Dates!$B$3,A235,"m"),"")</f>
        <v>61</v>
      </c>
      <c r="C235">
        <v>639398</v>
      </c>
    </row>
    <row r="236" spans="1:3" x14ac:dyDescent="0.3">
      <c r="A236" s="20">
        <v>45892</v>
      </c>
      <c r="B236" s="5">
        <f>IFERROR(DATEDIF(Launch_Dates!$B$3,A236,"m"),"")</f>
        <v>61</v>
      </c>
      <c r="C236">
        <v>642562</v>
      </c>
    </row>
    <row r="237" spans="1:3" x14ac:dyDescent="0.3">
      <c r="A237" s="20">
        <v>45893</v>
      </c>
      <c r="B237" s="5">
        <f>IFERROR(DATEDIF(Launch_Dates!$B$3,A237,"m"),"")</f>
        <v>61</v>
      </c>
      <c r="C237">
        <v>643806</v>
      </c>
    </row>
    <row r="238" spans="1:3" x14ac:dyDescent="0.3">
      <c r="A238" s="20">
        <v>45894</v>
      </c>
      <c r="B238" s="5">
        <f>IFERROR(DATEDIF(Launch_Dates!$B$3,A238,"m"),"")</f>
        <v>61</v>
      </c>
      <c r="C238">
        <v>645162</v>
      </c>
    </row>
    <row r="239" spans="1:3" x14ac:dyDescent="0.3">
      <c r="A239" s="20">
        <v>45895</v>
      </c>
      <c r="B239" s="5">
        <f>IFERROR(DATEDIF(Launch_Dates!$B$3,A239,"m"),"")</f>
        <v>61</v>
      </c>
      <c r="C239">
        <v>647745</v>
      </c>
    </row>
    <row r="240" spans="1:3" x14ac:dyDescent="0.3">
      <c r="A240" s="20">
        <v>45896</v>
      </c>
      <c r="B240" s="5">
        <f>IFERROR(DATEDIF(Launch_Dates!$B$3,A240,"m"),"")</f>
        <v>61</v>
      </c>
      <c r="C240">
        <v>650185</v>
      </c>
    </row>
    <row r="241" spans="1:3" x14ac:dyDescent="0.3">
      <c r="A241" s="20">
        <v>45897</v>
      </c>
      <c r="B241" s="5">
        <f>IFERROR(DATEDIF(Launch_Dates!$B$3,A241,"m"),"")</f>
        <v>61</v>
      </c>
      <c r="C241">
        <v>654806</v>
      </c>
    </row>
    <row r="242" spans="1:3" x14ac:dyDescent="0.3">
      <c r="A242" s="20">
        <v>45898</v>
      </c>
      <c r="B242" s="5">
        <f>IFERROR(DATEDIF(Launch_Dates!$B$3,A242,"m"),"")</f>
        <v>61</v>
      </c>
      <c r="C242">
        <v>657231</v>
      </c>
    </row>
    <row r="243" spans="1:3" x14ac:dyDescent="0.3">
      <c r="A243" s="20">
        <v>45899</v>
      </c>
      <c r="B243" s="5">
        <f>IFERROR(DATEDIF(Launch_Dates!$B$3,A243,"m"),"")</f>
        <v>61</v>
      </c>
      <c r="C243">
        <v>657173</v>
      </c>
    </row>
    <row r="244" spans="1:3" x14ac:dyDescent="0.3">
      <c r="A244" s="20">
        <v>45900</v>
      </c>
      <c r="B244" s="5">
        <f>IFERROR(DATEDIF(Launch_Dates!$B$3,A244,"m"),"")</f>
        <v>61</v>
      </c>
      <c r="C244">
        <v>658538</v>
      </c>
    </row>
    <row r="245" spans="1:3" x14ac:dyDescent="0.3">
      <c r="A245" s="20">
        <v>45901</v>
      </c>
      <c r="B245" s="5">
        <f>IFERROR(DATEDIF(Launch_Dates!$B$3,A245,"m"),"")</f>
        <v>62</v>
      </c>
      <c r="C245">
        <v>650953</v>
      </c>
    </row>
    <row r="246" spans="1:3" x14ac:dyDescent="0.3">
      <c r="A246" s="20">
        <v>45902</v>
      </c>
      <c r="B246" s="5">
        <f>IFERROR(DATEDIF(Launch_Dates!$B$3,A246,"m"),"")</f>
        <v>62</v>
      </c>
      <c r="C246">
        <v>652939</v>
      </c>
    </row>
    <row r="247" spans="1:3" x14ac:dyDescent="0.3">
      <c r="A247" s="20">
        <v>45903</v>
      </c>
      <c r="B247" s="5">
        <f>IFERROR(DATEDIF(Launch_Dates!$B$3,A247,"m"),"")</f>
        <v>62</v>
      </c>
      <c r="C247">
        <v>637193</v>
      </c>
    </row>
    <row r="248" spans="1:3" x14ac:dyDescent="0.3">
      <c r="A248" s="20">
        <v>45904</v>
      </c>
      <c r="B248" s="5">
        <f>IFERROR(DATEDIF(Launch_Dates!$B$3,A248,"m"),"")</f>
        <v>62</v>
      </c>
      <c r="C248">
        <v>657143</v>
      </c>
    </row>
    <row r="249" spans="1:3" x14ac:dyDescent="0.3">
      <c r="A249" s="20">
        <v>45905</v>
      </c>
      <c r="B249" s="5">
        <f>IFERROR(DATEDIF(Launch_Dates!$B$3,A249,"m"),"")</f>
        <v>62</v>
      </c>
      <c r="C249">
        <v>659090</v>
      </c>
    </row>
    <row r="250" spans="1:3" x14ac:dyDescent="0.3">
      <c r="A250" s="20">
        <v>45906</v>
      </c>
      <c r="B250" s="5">
        <f>IFERROR(DATEDIF(Launch_Dates!$B$3,A250,"m"),"")</f>
        <v>62</v>
      </c>
      <c r="C250">
        <v>659687</v>
      </c>
    </row>
    <row r="251" spans="1:3" x14ac:dyDescent="0.3">
      <c r="A251" s="20">
        <v>45907</v>
      </c>
      <c r="B251" s="5">
        <f>IFERROR(DATEDIF(Launch_Dates!$B$3,A251,"m"),"")</f>
        <v>62</v>
      </c>
      <c r="C251">
        <v>659940</v>
      </c>
    </row>
    <row r="252" spans="1:3" x14ac:dyDescent="0.3">
      <c r="A252" s="20">
        <v>45908</v>
      </c>
      <c r="B252" s="5">
        <f>IFERROR(DATEDIF(Launch_Dates!$B$3,A252,"m"),"")</f>
        <v>62</v>
      </c>
      <c r="C252">
        <v>660576</v>
      </c>
    </row>
    <row r="253" spans="1:3" x14ac:dyDescent="0.3">
      <c r="A253" s="20">
        <v>45909</v>
      </c>
      <c r="B253" s="5">
        <f>IFERROR(DATEDIF(Launch_Dates!$B$3,A253,"m"),"")</f>
        <v>62</v>
      </c>
      <c r="C253">
        <v>662549</v>
      </c>
    </row>
    <row r="254" spans="1:3" x14ac:dyDescent="0.3">
      <c r="A254" s="20">
        <v>45910</v>
      </c>
      <c r="B254" s="5">
        <f>IFERROR(DATEDIF(Launch_Dates!$B$3,A254,"m"),"")</f>
        <v>62</v>
      </c>
      <c r="C254">
        <v>664228</v>
      </c>
    </row>
    <row r="255" spans="1:3" x14ac:dyDescent="0.3">
      <c r="A255" s="20">
        <v>45911</v>
      </c>
      <c r="B255" s="5">
        <f>IFERROR(DATEDIF(Launch_Dates!$B$3,A255,"m"),"")</f>
        <v>62</v>
      </c>
      <c r="C255">
        <v>666270</v>
      </c>
    </row>
    <row r="256" spans="1:3" x14ac:dyDescent="0.3">
      <c r="A256" s="20">
        <v>45912</v>
      </c>
      <c r="B256" s="5">
        <f>IFERROR(DATEDIF(Launch_Dates!$B$3,A256,"m"),"")</f>
        <v>62</v>
      </c>
      <c r="C256">
        <v>667997</v>
      </c>
    </row>
    <row r="257" spans="1:3" x14ac:dyDescent="0.3">
      <c r="A257" s="20">
        <v>45913</v>
      </c>
      <c r="B257" s="5">
        <f>IFERROR(DATEDIF(Launch_Dates!$B$3,A257,"m"),"")</f>
        <v>62</v>
      </c>
      <c r="C257">
        <v>669458</v>
      </c>
    </row>
    <row r="258" spans="1:3" x14ac:dyDescent="0.3">
      <c r="A258" s="20">
        <v>45914</v>
      </c>
      <c r="B258" s="5">
        <f>IFERROR(DATEDIF(Launch_Dates!$B$3,A258,"m"),"")</f>
        <v>62</v>
      </c>
      <c r="C258">
        <v>670510</v>
      </c>
    </row>
    <row r="259" spans="1:3" x14ac:dyDescent="0.3">
      <c r="A259" s="20">
        <v>45915</v>
      </c>
      <c r="B259" s="5">
        <f>IFERROR(DATEDIF(Launch_Dates!$B$3,A259,"m"),"")</f>
        <v>62</v>
      </c>
      <c r="C259">
        <v>671917</v>
      </c>
    </row>
    <row r="260" spans="1:3" x14ac:dyDescent="0.3">
      <c r="A260" s="20">
        <v>45916</v>
      </c>
      <c r="B260" s="5">
        <f>IFERROR(DATEDIF(Launch_Dates!$B$3,A260,"m"),"")</f>
        <v>62</v>
      </c>
      <c r="C260">
        <v>674048</v>
      </c>
    </row>
    <row r="261" spans="1:3" x14ac:dyDescent="0.3">
      <c r="A261" s="20">
        <v>45917</v>
      </c>
      <c r="B261" s="5">
        <f>IFERROR(DATEDIF(Launch_Dates!$B$3,A261,"m"),"")</f>
        <v>62</v>
      </c>
      <c r="C261">
        <v>675940</v>
      </c>
    </row>
    <row r="262" spans="1:3" x14ac:dyDescent="0.3">
      <c r="A262" s="20">
        <v>45918</v>
      </c>
      <c r="B262" s="5">
        <f>IFERROR(DATEDIF(Launch_Dates!$B$3,A262,"m"),"")</f>
        <v>62</v>
      </c>
      <c r="C262">
        <v>677449</v>
      </c>
    </row>
    <row r="263" spans="1:3" x14ac:dyDescent="0.3">
      <c r="A263" s="20">
        <v>45919</v>
      </c>
      <c r="B263" s="5">
        <f>IFERROR(DATEDIF(Launch_Dates!$B$3,A263,"m"),"")</f>
        <v>62</v>
      </c>
      <c r="C263">
        <v>678681</v>
      </c>
    </row>
    <row r="264" spans="1:3" x14ac:dyDescent="0.3">
      <c r="A264" s="20">
        <v>45920</v>
      </c>
      <c r="B264" s="5">
        <f>IFERROR(DATEDIF(Launch_Dates!$B$3,A264,"m"),"")</f>
        <v>62</v>
      </c>
      <c r="C264">
        <v>601266</v>
      </c>
    </row>
    <row r="265" spans="1:3" x14ac:dyDescent="0.3">
      <c r="A265" s="20">
        <v>45921</v>
      </c>
      <c r="B265" s="5">
        <f>IFERROR(DATEDIF(Launch_Dates!$B$3,A265,"m"),"")</f>
        <v>62</v>
      </c>
      <c r="C265">
        <v>683698</v>
      </c>
    </row>
    <row r="266" spans="1:3" x14ac:dyDescent="0.3">
      <c r="A266" s="20">
        <v>45922</v>
      </c>
      <c r="B266" s="5">
        <f>IFERROR(DATEDIF(Launch_Dates!$B$3,A266,"m"),"")</f>
        <v>62</v>
      </c>
      <c r="C266">
        <v>685091</v>
      </c>
    </row>
    <row r="267" spans="1:3" x14ac:dyDescent="0.3">
      <c r="A267" s="20">
        <v>45923</v>
      </c>
      <c r="B267" s="5">
        <f>IFERROR(DATEDIF(Launch_Dates!$B$3,A267,"m"),"")</f>
        <v>62</v>
      </c>
      <c r="C267">
        <v>687059</v>
      </c>
    </row>
    <row r="268" spans="1:3" x14ac:dyDescent="0.3">
      <c r="A268" s="20">
        <v>45924</v>
      </c>
      <c r="B268" s="5">
        <f>IFERROR(DATEDIF(Launch_Dates!$B$3,A268,"m"),"")</f>
        <v>62</v>
      </c>
      <c r="C268">
        <v>688730</v>
      </c>
    </row>
    <row r="269" spans="1:3" x14ac:dyDescent="0.3">
      <c r="A269" s="20">
        <v>45925</v>
      </c>
      <c r="B269" s="5">
        <f>IFERROR(DATEDIF(Launch_Dates!$B$3,A269,"m"),"")</f>
        <v>62</v>
      </c>
      <c r="C269">
        <v>678982</v>
      </c>
    </row>
    <row r="270" spans="1:3" x14ac:dyDescent="0.3">
      <c r="A270" s="20">
        <v>45926</v>
      </c>
      <c r="B270" s="5">
        <f>IFERROR(DATEDIF(Launch_Dates!$B$3,A270,"m"),"")</f>
        <v>62</v>
      </c>
      <c r="C270">
        <v>680574</v>
      </c>
    </row>
    <row r="271" spans="1:3" x14ac:dyDescent="0.3">
      <c r="A271" s="20">
        <v>45927</v>
      </c>
      <c r="B271" s="5">
        <f>IFERROR(DATEDIF(Launch_Dates!$B$3,A271,"m"),"")</f>
        <v>62</v>
      </c>
      <c r="C271">
        <v>693338</v>
      </c>
    </row>
    <row r="272" spans="1:3" x14ac:dyDescent="0.3">
      <c r="A272" s="20">
        <v>45928</v>
      </c>
      <c r="B272" s="5">
        <f>IFERROR(DATEDIF(Launch_Dates!$B$3,A272,"m"),"")</f>
        <v>62</v>
      </c>
      <c r="C272">
        <v>694238</v>
      </c>
    </row>
    <row r="273" spans="1:3" x14ac:dyDescent="0.3">
      <c r="A273" s="20">
        <v>45929</v>
      </c>
      <c r="B273" s="5">
        <f>IFERROR(DATEDIF(Launch_Dates!$B$3,A273,"m"),"")</f>
        <v>62</v>
      </c>
      <c r="C273">
        <v>695321</v>
      </c>
    </row>
    <row r="274" spans="1:3" x14ac:dyDescent="0.3">
      <c r="A274" s="20">
        <v>45930</v>
      </c>
      <c r="B274" s="5">
        <f>IFERROR(DATEDIF(Launch_Dates!$B$3,A274,"m"),"")</f>
        <v>62</v>
      </c>
      <c r="C274">
        <v>697290</v>
      </c>
    </row>
    <row r="275" spans="1:3" x14ac:dyDescent="0.3">
      <c r="A275" s="20">
        <v>45931</v>
      </c>
      <c r="B275" s="5">
        <f>IFERROR(DATEDIF(Launch_Dates!$B$3,A275,"m"),"")</f>
        <v>63</v>
      </c>
      <c r="C275">
        <v>689731</v>
      </c>
    </row>
    <row r="276" spans="1:3" x14ac:dyDescent="0.3">
      <c r="A276" s="20">
        <v>45932</v>
      </c>
      <c r="B276" s="5">
        <f>IFERROR(DATEDIF(Launch_Dates!$B$3,A276,"m"),"")</f>
        <v>63</v>
      </c>
      <c r="C276">
        <v>691116</v>
      </c>
    </row>
    <row r="277" spans="1:3" x14ac:dyDescent="0.3">
      <c r="A277" s="20">
        <v>45933</v>
      </c>
      <c r="B277" s="5">
        <f>IFERROR(DATEDIF(Launch_Dates!$B$3,A277,"m"),"")</f>
        <v>63</v>
      </c>
      <c r="C277">
        <v>691952</v>
      </c>
    </row>
    <row r="278" spans="1:3" x14ac:dyDescent="0.3">
      <c r="A278" s="20">
        <v>45934</v>
      </c>
      <c r="B278" s="5">
        <f>IFERROR(DATEDIF(Launch_Dates!$B$3,A278,"m"),"")</f>
        <v>63</v>
      </c>
      <c r="C278">
        <v>692559</v>
      </c>
    </row>
    <row r="279" spans="1:3" x14ac:dyDescent="0.3">
      <c r="A279" s="20">
        <v>45935</v>
      </c>
      <c r="B279" s="5">
        <f>IFERROR(DATEDIF(Launch_Dates!$B$3,A279,"m"),"")</f>
        <v>63</v>
      </c>
      <c r="C279">
        <v>693062</v>
      </c>
    </row>
    <row r="280" spans="1:3" x14ac:dyDescent="0.3">
      <c r="A280" s="20">
        <v>45936</v>
      </c>
      <c r="B280" s="5">
        <f>IFERROR(DATEDIF(Launch_Dates!$B$3,A280,"m"),"")</f>
        <v>63</v>
      </c>
      <c r="C280">
        <v>691415</v>
      </c>
    </row>
    <row r="281" spans="1:3" x14ac:dyDescent="0.3">
      <c r="A281" s="20">
        <v>45937</v>
      </c>
      <c r="B281" s="5">
        <f>IFERROR(DATEDIF(Launch_Dates!$B$3,A281,"m"),"")</f>
        <v>63</v>
      </c>
      <c r="C281">
        <v>694385</v>
      </c>
    </row>
    <row r="282" spans="1:3" x14ac:dyDescent="0.3">
      <c r="A282" s="20">
        <v>45938</v>
      </c>
      <c r="B282" s="5">
        <f>IFERROR(DATEDIF(Launch_Dates!$B$3,A282,"m"),"")</f>
        <v>63</v>
      </c>
      <c r="C282">
        <v>700085</v>
      </c>
    </row>
    <row r="283" spans="1:3" x14ac:dyDescent="0.3">
      <c r="A283" s="20">
        <v>45939</v>
      </c>
      <c r="B283" s="5">
        <f>IFERROR(DATEDIF(Launch_Dates!$B$3,A283,"m"),"")</f>
        <v>63</v>
      </c>
      <c r="C283">
        <v>701655</v>
      </c>
    </row>
    <row r="284" spans="1:3" x14ac:dyDescent="0.3">
      <c r="A284" s="20">
        <v>45940</v>
      </c>
      <c r="B284" s="5">
        <f>IFERROR(DATEDIF(Launch_Dates!$B$3,A284,"m"),"")</f>
        <v>63</v>
      </c>
      <c r="C284">
        <v>703517</v>
      </c>
    </row>
    <row r="285" spans="1:3" x14ac:dyDescent="0.3">
      <c r="A285" s="20">
        <v>45941</v>
      </c>
      <c r="B285" s="5">
        <f>IFERROR(DATEDIF(Launch_Dates!$B$3,A285,"m"),"")</f>
        <v>63</v>
      </c>
      <c r="C285">
        <v>704272</v>
      </c>
    </row>
    <row r="286" spans="1:3" x14ac:dyDescent="0.3">
      <c r="A286" s="20">
        <v>45942</v>
      </c>
      <c r="B286" s="5">
        <f>IFERROR(DATEDIF(Launch_Dates!$B$3,A286,"m"),"")</f>
        <v>63</v>
      </c>
      <c r="C286">
        <v>704861</v>
      </c>
    </row>
    <row r="287" spans="1:3" x14ac:dyDescent="0.3">
      <c r="A287" s="20">
        <v>45943</v>
      </c>
      <c r="B287" s="5">
        <f>IFERROR(DATEDIF(Launch_Dates!$B$3,A287,"m"),"")</f>
        <v>63</v>
      </c>
      <c r="C287">
        <v>705341</v>
      </c>
    </row>
    <row r="288" spans="1:3" x14ac:dyDescent="0.3">
      <c r="A288" s="20">
        <v>45944</v>
      </c>
      <c r="B288" s="5">
        <f>IFERROR(DATEDIF(Launch_Dates!$B$3,A288,"m"),"")</f>
        <v>63</v>
      </c>
      <c r="C288">
        <v>706452</v>
      </c>
    </row>
    <row r="289" spans="1:3" x14ac:dyDescent="0.3">
      <c r="A289" s="20">
        <v>45945</v>
      </c>
      <c r="B289" s="5">
        <f>IFERROR(DATEDIF(Launch_Dates!$B$3,A289,"m"),"")</f>
        <v>63</v>
      </c>
      <c r="C289">
        <v>707803</v>
      </c>
    </row>
    <row r="290" spans="1:3" x14ac:dyDescent="0.3">
      <c r="A290" s="20">
        <v>45946</v>
      </c>
      <c r="B290" s="5">
        <f>IFERROR(DATEDIF(Launch_Dates!$B$3,A290,"m"),"")</f>
        <v>63</v>
      </c>
      <c r="C290">
        <v>709288</v>
      </c>
    </row>
    <row r="291" spans="1:3" x14ac:dyDescent="0.3">
      <c r="A291" s="20">
        <v>45947</v>
      </c>
      <c r="B291" s="5">
        <f>IFERROR(DATEDIF(Launch_Dates!$B$3,A291,"m"),"")</f>
        <v>63</v>
      </c>
      <c r="C291">
        <v>710468</v>
      </c>
    </row>
    <row r="292" spans="1:3" x14ac:dyDescent="0.3">
      <c r="A292" s="20">
        <v>45948</v>
      </c>
      <c r="B292" s="5">
        <f>IFERROR(DATEDIF(Launch_Dates!$B$3,A292,"m"),"")</f>
        <v>63</v>
      </c>
      <c r="C292">
        <v>722786</v>
      </c>
    </row>
    <row r="293" spans="1:3" x14ac:dyDescent="0.3">
      <c r="A293" s="20">
        <v>45949</v>
      </c>
      <c r="B293" s="5">
        <f>IFERROR(DATEDIF(Launch_Dates!$B$3,A293,"m"),"")</f>
        <v>63</v>
      </c>
      <c r="C293">
        <v>715110</v>
      </c>
    </row>
    <row r="294" spans="1:3" x14ac:dyDescent="0.3">
      <c r="A294" s="20">
        <v>45950</v>
      </c>
      <c r="B294" s="5">
        <f>IFERROR(DATEDIF(Launch_Dates!$B$3,A294,"m"),"")</f>
        <v>63</v>
      </c>
      <c r="C294">
        <v>720034</v>
      </c>
    </row>
    <row r="295" spans="1:3" x14ac:dyDescent="0.3">
      <c r="A295" s="20">
        <v>45951</v>
      </c>
      <c r="B295" s="5">
        <f>IFERROR(DATEDIF(Launch_Dates!$B$3,A295,"m"),"")</f>
        <v>63</v>
      </c>
      <c r="C295">
        <v>723093</v>
      </c>
    </row>
    <row r="296" spans="1:3" x14ac:dyDescent="0.3">
      <c r="A296" s="20">
        <v>45952</v>
      </c>
      <c r="B296" s="5">
        <f>IFERROR(DATEDIF(Launch_Dates!$B$3,A296,"m"),"")</f>
        <v>63</v>
      </c>
      <c r="C296">
        <v>692641</v>
      </c>
    </row>
    <row r="297" spans="1:3" x14ac:dyDescent="0.3">
      <c r="A297" s="20">
        <v>45953</v>
      </c>
      <c r="B297" s="5">
        <f>IFERROR(DATEDIF(Launch_Dates!$B$3,A297,"m"),"")</f>
        <v>63</v>
      </c>
      <c r="C297">
        <v>695076</v>
      </c>
    </row>
    <row r="298" spans="1:3" x14ac:dyDescent="0.3">
      <c r="A298" s="20">
        <v>45954</v>
      </c>
      <c r="B298" s="5">
        <f>IFERROR(DATEDIF(Launch_Dates!$B$3,A298,"m"),"")</f>
        <v>63</v>
      </c>
      <c r="C298">
        <v>695386</v>
      </c>
    </row>
    <row r="299" spans="1:3" x14ac:dyDescent="0.3">
      <c r="A299" s="20">
        <v>45955</v>
      </c>
      <c r="B299" s="5">
        <f>IFERROR(DATEDIF(Launch_Dates!$B$3,A299,"m"),"")</f>
        <v>63</v>
      </c>
      <c r="C299">
        <v>734906</v>
      </c>
    </row>
    <row r="300" spans="1:3" x14ac:dyDescent="0.3">
      <c r="A300" s="20">
        <v>45956</v>
      </c>
      <c r="B300" s="5">
        <f>IFERROR(DATEDIF(Launch_Dates!$B$3,A300,"m"),"")</f>
        <v>63</v>
      </c>
      <c r="C300">
        <v>735713</v>
      </c>
    </row>
    <row r="301" spans="1:3" x14ac:dyDescent="0.3">
      <c r="A301" s="20">
        <v>45957</v>
      </c>
      <c r="B301" s="5">
        <f>IFERROR(DATEDIF(Launch_Dates!$B$3,A301,"m"),"")</f>
        <v>63</v>
      </c>
      <c r="C301">
        <v>644391</v>
      </c>
    </row>
    <row r="302" spans="1:3" x14ac:dyDescent="0.3">
      <c r="A302" s="20">
        <v>45958</v>
      </c>
      <c r="B302" s="5">
        <f>IFERROR(DATEDIF(Launch_Dates!$B$3,A302,"m"),"")</f>
        <v>63</v>
      </c>
      <c r="C302">
        <v>651301</v>
      </c>
    </row>
    <row r="303" spans="1:3" x14ac:dyDescent="0.3">
      <c r="A303" s="20">
        <v>45959</v>
      </c>
      <c r="B303" s="5">
        <f>IFERROR(DATEDIF(Launch_Dates!$B$3,A303,"m"),"")</f>
        <v>63</v>
      </c>
      <c r="C303">
        <v>651701</v>
      </c>
    </row>
    <row r="304" spans="1:3" x14ac:dyDescent="0.3">
      <c r="A304" s="20">
        <v>45960</v>
      </c>
      <c r="B304" s="5">
        <f>IFERROR(DATEDIF(Launch_Dates!$B$3,A304,"m"),"")</f>
        <v>63</v>
      </c>
      <c r="C304">
        <v>741052</v>
      </c>
    </row>
    <row r="305" spans="1:3" x14ac:dyDescent="0.3">
      <c r="A305" s="20">
        <v>45961</v>
      </c>
      <c r="B305" s="5">
        <f>IFERROR(DATEDIF(Launch_Dates!$B$3,A305,"m"),"")</f>
        <v>63</v>
      </c>
      <c r="C305">
        <v>751931</v>
      </c>
    </row>
    <row r="306" spans="1:3" x14ac:dyDescent="0.3">
      <c r="A306" s="20">
        <v>45962</v>
      </c>
      <c r="B306" s="5">
        <f>IFERROR(DATEDIF(Launch_Dates!$B$3,A306,"m"),"")</f>
        <v>64</v>
      </c>
      <c r="C306">
        <v>748044</v>
      </c>
    </row>
    <row r="307" spans="1:3" x14ac:dyDescent="0.3">
      <c r="A307" s="20">
        <v>45963</v>
      </c>
      <c r="B307" s="5">
        <f>IFERROR(DATEDIF(Launch_Dates!$B$3,A307,"m"),"")</f>
        <v>64</v>
      </c>
      <c r="C307">
        <v>750746</v>
      </c>
    </row>
    <row r="308" spans="1:3" x14ac:dyDescent="0.3">
      <c r="A308" s="20">
        <v>45964</v>
      </c>
      <c r="B308" s="5">
        <f>IFERROR(DATEDIF(Launch_Dates!$B$3,A308,"m"),"")</f>
        <v>64</v>
      </c>
      <c r="C308">
        <v>753942</v>
      </c>
    </row>
    <row r="309" spans="1:3" x14ac:dyDescent="0.3">
      <c r="A309" s="20">
        <v>45965</v>
      </c>
      <c r="B309" s="5">
        <f>IFERROR(DATEDIF(Launch_Dates!$B$3,A309,"m"),"")</f>
        <v>64</v>
      </c>
      <c r="C309">
        <v>755869</v>
      </c>
    </row>
    <row r="310" spans="1:3" x14ac:dyDescent="0.3">
      <c r="A310" s="20">
        <v>45966</v>
      </c>
      <c r="B310" s="5">
        <f>IFERROR(DATEDIF(Launch_Dates!$B$3,A310,"m"),"")</f>
        <v>64</v>
      </c>
      <c r="C310">
        <v>759343</v>
      </c>
    </row>
    <row r="311" spans="1:3" x14ac:dyDescent="0.3">
      <c r="A311" s="20">
        <v>45967</v>
      </c>
      <c r="B311" s="5">
        <f>IFERROR(DATEDIF(Launch_Dates!$B$3,A311,"m"),"")</f>
        <v>64</v>
      </c>
      <c r="C311">
        <v>763278</v>
      </c>
    </row>
    <row r="312" spans="1:3" x14ac:dyDescent="0.3">
      <c r="A312" s="20">
        <v>45968</v>
      </c>
      <c r="B312" s="5">
        <f>IFERROR(DATEDIF(Launch_Dates!$B$3,A312,"m"),"")</f>
        <v>64</v>
      </c>
      <c r="C312">
        <v>765042</v>
      </c>
    </row>
    <row r="313" spans="1:3" x14ac:dyDescent="0.3">
      <c r="A313" s="20">
        <v>45969</v>
      </c>
      <c r="B313" s="5">
        <f>IFERROR(DATEDIF(Launch_Dates!$B$3,A313,"m"),"")</f>
        <v>64</v>
      </c>
      <c r="C313">
        <v>770915</v>
      </c>
    </row>
    <row r="314" spans="1:3" x14ac:dyDescent="0.3">
      <c r="A314" s="20">
        <v>45970</v>
      </c>
      <c r="B314" s="5">
        <f>IFERROR(DATEDIF(Launch_Dates!$B$3,A314,"m"),"")</f>
        <v>64</v>
      </c>
      <c r="C314">
        <v>680097</v>
      </c>
    </row>
    <row r="315" spans="1:3" x14ac:dyDescent="0.3">
      <c r="A315" s="20">
        <v>45971</v>
      </c>
      <c r="B315" s="5">
        <f>IFERROR(DATEDIF(Launch_Dates!$B$3,A315,"m"),"")</f>
        <v>64</v>
      </c>
      <c r="C315">
        <v>778126</v>
      </c>
    </row>
    <row r="316" spans="1:3" x14ac:dyDescent="0.3">
      <c r="A316" s="20">
        <v>45972</v>
      </c>
      <c r="B316" s="5">
        <f>IFERROR(DATEDIF(Launch_Dates!$B$3,A316,"m"),"")</f>
        <v>64</v>
      </c>
      <c r="C316">
        <v>781031</v>
      </c>
    </row>
    <row r="317" spans="1:3" x14ac:dyDescent="0.3">
      <c r="A317" s="20">
        <v>45973</v>
      </c>
      <c r="B317" s="5">
        <f>IFERROR(DATEDIF(Launch_Dates!$B$3,A317,"m"),"")</f>
        <v>64</v>
      </c>
      <c r="C317">
        <v>787466</v>
      </c>
    </row>
    <row r="318" spans="1:3" x14ac:dyDescent="0.3">
      <c r="A318" s="20">
        <v>45974</v>
      </c>
      <c r="B318" s="5">
        <f>IFERROR(DATEDIF(Launch_Dates!$B$3,A318,"m"),"")</f>
        <v>64</v>
      </c>
      <c r="C318">
        <v>789118</v>
      </c>
    </row>
    <row r="319" spans="1:3" x14ac:dyDescent="0.3">
      <c r="A319" s="20">
        <v>45975</v>
      </c>
      <c r="B319" s="5">
        <f>IFERROR(DATEDIF(Launch_Dates!$B$3,A319,"m"),"")</f>
        <v>64</v>
      </c>
      <c r="C319">
        <v>790506</v>
      </c>
    </row>
    <row r="320" spans="1:3" x14ac:dyDescent="0.3">
      <c r="A320" s="20">
        <v>45976</v>
      </c>
      <c r="B320" s="5">
        <f>IFERROR(DATEDIF(Launch_Dates!$B$3,A320,"m"),"")</f>
        <v>64</v>
      </c>
      <c r="C320">
        <v>797450</v>
      </c>
    </row>
    <row r="321" spans="1:3" x14ac:dyDescent="0.3">
      <c r="A321" s="20">
        <v>45977</v>
      </c>
      <c r="B321" s="5">
        <f>IFERROR(DATEDIF(Launch_Dates!$B$3,A321,"m"),"")</f>
        <v>64</v>
      </c>
      <c r="C321">
        <v>801347</v>
      </c>
    </row>
    <row r="322" spans="1:3" x14ac:dyDescent="0.3">
      <c r="A322" s="20">
        <v>45978</v>
      </c>
      <c r="B322" s="5">
        <f>IFERROR(DATEDIF(Launch_Dates!$B$3,A322,"m"),"")</f>
        <v>64</v>
      </c>
      <c r="C322">
        <v>802891</v>
      </c>
    </row>
    <row r="323" spans="1:3" x14ac:dyDescent="0.3">
      <c r="A323" s="20">
        <v>45979</v>
      </c>
      <c r="B323" s="5">
        <f>IFERROR(DATEDIF(Launch_Dates!$B$3,A323,"m"),"")</f>
        <v>64</v>
      </c>
      <c r="C323">
        <v>806303</v>
      </c>
    </row>
    <row r="324" spans="1:3" x14ac:dyDescent="0.3">
      <c r="A324" s="20">
        <v>45980</v>
      </c>
      <c r="B324" s="5">
        <f>IFERROR(DATEDIF(Launch_Dates!$B$3,A324,"m"),"")</f>
        <v>64</v>
      </c>
      <c r="C324">
        <v>809859</v>
      </c>
    </row>
    <row r="325" spans="1:3" x14ac:dyDescent="0.3">
      <c r="A325" s="20">
        <v>45981</v>
      </c>
      <c r="B325" s="5">
        <f>IFERROR(DATEDIF(Launch_Dates!$B$3,A325,"m"),"")</f>
        <v>64</v>
      </c>
      <c r="C325">
        <v>813129</v>
      </c>
    </row>
    <row r="326" spans="1:3" x14ac:dyDescent="0.3">
      <c r="A326" s="20">
        <v>45982</v>
      </c>
      <c r="B326" s="5">
        <f>IFERROR(DATEDIF(Launch_Dates!$B$3,A326,"m"),"")</f>
        <v>64</v>
      </c>
      <c r="C326">
        <v>815236</v>
      </c>
    </row>
    <row r="327" spans="1:3" x14ac:dyDescent="0.3">
      <c r="A327" s="20">
        <v>45983</v>
      </c>
      <c r="B327" s="5">
        <f>IFERROR(DATEDIF(Launch_Dates!$B$3,A327,"m"),"")</f>
        <v>64</v>
      </c>
      <c r="C327">
        <v>818251</v>
      </c>
    </row>
    <row r="328" spans="1:3" x14ac:dyDescent="0.3">
      <c r="A328" s="20">
        <v>45984</v>
      </c>
      <c r="B328" s="5">
        <f>IFERROR(DATEDIF(Launch_Dates!$B$3,A328,"m"),"")</f>
        <v>64</v>
      </c>
      <c r="C328">
        <v>820893</v>
      </c>
    </row>
    <row r="329" spans="1:3" x14ac:dyDescent="0.3">
      <c r="A329" s="20">
        <v>45985</v>
      </c>
      <c r="B329" s="5">
        <f>IFERROR(DATEDIF(Launch_Dates!$B$3,A329,"m"),"")</f>
        <v>64</v>
      </c>
      <c r="C329">
        <v>822481</v>
      </c>
    </row>
    <row r="330" spans="1:3" x14ac:dyDescent="0.3">
      <c r="A330" s="20">
        <v>45986</v>
      </c>
      <c r="B330" s="5">
        <f>IFERROR(DATEDIF(Launch_Dates!$B$3,A330,"m"),"")</f>
        <v>64</v>
      </c>
      <c r="C330">
        <v>824224</v>
      </c>
    </row>
    <row r="331" spans="1:3" x14ac:dyDescent="0.3">
      <c r="A331" s="20">
        <v>45987</v>
      </c>
      <c r="B331" s="5">
        <f>IFERROR(DATEDIF(Launch_Dates!$B$3,A331,"m"),"")</f>
        <v>64</v>
      </c>
      <c r="C331">
        <v>825654</v>
      </c>
    </row>
    <row r="332" spans="1:3" x14ac:dyDescent="0.3">
      <c r="A332" s="20">
        <v>45988</v>
      </c>
      <c r="B332" s="5">
        <f>IFERROR(DATEDIF(Launch_Dates!$B$3,A332,"m"),"")</f>
        <v>64</v>
      </c>
      <c r="C332">
        <v>828034</v>
      </c>
    </row>
    <row r="333" spans="1:3" x14ac:dyDescent="0.3">
      <c r="A333" s="20">
        <v>45989</v>
      </c>
      <c r="B333" s="5">
        <f>IFERROR(DATEDIF(Launch_Dates!$B$3,A333,"m"),"")</f>
        <v>64</v>
      </c>
      <c r="C333">
        <v>829842</v>
      </c>
    </row>
    <row r="334" spans="1:3" x14ac:dyDescent="0.3">
      <c r="A334" s="20">
        <v>45990</v>
      </c>
      <c r="B334" s="5">
        <f>IFERROR(DATEDIF(Launch_Dates!$B$3,A334,"m"),"")</f>
        <v>64</v>
      </c>
      <c r="C334">
        <v>831262</v>
      </c>
    </row>
    <row r="335" spans="1:3" x14ac:dyDescent="0.3">
      <c r="A335" s="20">
        <v>45991</v>
      </c>
      <c r="B335" s="5">
        <f>IFERROR(DATEDIF(Launch_Dates!$B$3,A335,"m"),"")</f>
        <v>64</v>
      </c>
      <c r="C335">
        <v>831879</v>
      </c>
    </row>
    <row r="336" spans="1:3" x14ac:dyDescent="0.3">
      <c r="A336" s="20">
        <v>45992</v>
      </c>
      <c r="B336" s="5">
        <f>IFERROR(DATEDIF(Launch_Dates!$B$3,A336,"m"),"")</f>
        <v>65</v>
      </c>
      <c r="C336">
        <v>826998</v>
      </c>
    </row>
    <row r="337" spans="1:3" x14ac:dyDescent="0.3">
      <c r="A337" s="20">
        <v>45993</v>
      </c>
      <c r="B337" s="5">
        <f>IFERROR(DATEDIF(Launch_Dates!$B$3,A337,"m"),"")</f>
        <v>65</v>
      </c>
      <c r="C337">
        <v>832009</v>
      </c>
    </row>
    <row r="338" spans="1:3" x14ac:dyDescent="0.3">
      <c r="A338" s="20">
        <v>45994</v>
      </c>
      <c r="B338" s="5">
        <f>IFERROR(DATEDIF(Launch_Dates!$B$3,A338,"m"),"")</f>
        <v>65</v>
      </c>
      <c r="C338">
        <v>834852</v>
      </c>
    </row>
    <row r="339" spans="1:3" x14ac:dyDescent="0.3">
      <c r="A339" s="20">
        <v>45995</v>
      </c>
      <c r="B339" s="5">
        <f>IFERROR(DATEDIF(Launch_Dates!$B$3,A339,"m"),"")</f>
        <v>65</v>
      </c>
      <c r="C339">
        <v>836465</v>
      </c>
    </row>
    <row r="340" spans="1:3" x14ac:dyDescent="0.3">
      <c r="A340" s="20">
        <v>45996</v>
      </c>
      <c r="B340" s="5">
        <f>IFERROR(DATEDIF(Launch_Dates!$B$3,A340,"m"),"")</f>
        <v>65</v>
      </c>
      <c r="C340">
        <v>848607</v>
      </c>
    </row>
    <row r="341" spans="1:3" x14ac:dyDescent="0.3">
      <c r="A341" s="20">
        <v>45997</v>
      </c>
      <c r="B341" s="5">
        <f>IFERROR(DATEDIF(Launch_Dates!$B$3,A341,"m"),"")</f>
        <v>65</v>
      </c>
      <c r="C341">
        <v>850329</v>
      </c>
    </row>
    <row r="342" spans="1:3" x14ac:dyDescent="0.3">
      <c r="A342" s="20">
        <v>45998</v>
      </c>
      <c r="B342" s="5">
        <f>IFERROR(DATEDIF(Launch_Dates!$B$3,A342,"m"),"")</f>
        <v>65</v>
      </c>
      <c r="C342">
        <v>746357</v>
      </c>
    </row>
    <row r="343" spans="1:3" x14ac:dyDescent="0.3">
      <c r="A343" s="20">
        <v>45999</v>
      </c>
      <c r="B343" s="5">
        <f>IFERROR(DATEDIF(Launch_Dates!$B$3,A343,"m"),"")</f>
        <v>65</v>
      </c>
      <c r="C343">
        <v>853425</v>
      </c>
    </row>
    <row r="344" spans="1:3" x14ac:dyDescent="0.3">
      <c r="A344" s="20">
        <v>46000</v>
      </c>
      <c r="B344" s="5">
        <f>IFERROR(DATEDIF(Launch_Dates!$B$3,A344,"m"),"")</f>
        <v>65</v>
      </c>
      <c r="C344">
        <v>855301</v>
      </c>
    </row>
    <row r="345" spans="1:3" x14ac:dyDescent="0.3">
      <c r="A345" s="20">
        <v>46001</v>
      </c>
      <c r="B345" s="5">
        <f>IFERROR(DATEDIF(Launch_Dates!$B$3,A345,"m"),"")</f>
        <v>65</v>
      </c>
      <c r="C345">
        <v>843144</v>
      </c>
    </row>
    <row r="346" spans="1:3" x14ac:dyDescent="0.3">
      <c r="A346" s="20">
        <v>46002</v>
      </c>
      <c r="B346" s="5">
        <f>IFERROR(DATEDIF(Launch_Dates!$B$3,A346,"m"),"")</f>
        <v>65</v>
      </c>
      <c r="C346">
        <v>866166</v>
      </c>
    </row>
    <row r="347" spans="1:3" x14ac:dyDescent="0.3">
      <c r="A347" s="20">
        <v>46003</v>
      </c>
      <c r="B347" s="5">
        <f>IFERROR(DATEDIF(Launch_Dates!$B$3,A347,"m"),"")</f>
        <v>65</v>
      </c>
      <c r="C347">
        <v>856614</v>
      </c>
    </row>
    <row r="348" spans="1:3" x14ac:dyDescent="0.3">
      <c r="A348" s="20">
        <v>46004</v>
      </c>
      <c r="B348" s="5">
        <f>IFERROR(DATEDIF(Launch_Dates!$B$3,A348,"m"),"")</f>
        <v>65</v>
      </c>
      <c r="C348">
        <v>853127</v>
      </c>
    </row>
    <row r="349" spans="1:3" x14ac:dyDescent="0.3">
      <c r="A349" s="20">
        <v>46005</v>
      </c>
      <c r="B349" s="5">
        <f>IFERROR(DATEDIF(Launch_Dates!$B$3,A349,"m"),"")</f>
        <v>65</v>
      </c>
      <c r="C349">
        <v>846468</v>
      </c>
    </row>
    <row r="350" spans="1:3" x14ac:dyDescent="0.3">
      <c r="A350" s="20">
        <v>46006</v>
      </c>
      <c r="B350" s="5">
        <f>IFERROR(DATEDIF(Launch_Dates!$B$3,A350,"m"),"")</f>
        <v>65</v>
      </c>
      <c r="C350">
        <v>845186</v>
      </c>
    </row>
    <row r="351" spans="1:3" x14ac:dyDescent="0.3">
      <c r="A351" s="20">
        <v>46007</v>
      </c>
      <c r="B351" s="5">
        <f>IFERROR(DATEDIF(Launch_Dates!$B$3,A351,"m"),"")</f>
        <v>65</v>
      </c>
      <c r="C351">
        <v>850215</v>
      </c>
    </row>
    <row r="352" spans="1:3" x14ac:dyDescent="0.3">
      <c r="A352" s="20">
        <v>46008</v>
      </c>
      <c r="B352" s="5">
        <f>IFERROR(DATEDIF(Launch_Dates!$B$3,A352,"m"),"")</f>
        <v>65</v>
      </c>
      <c r="C352">
        <v>852134</v>
      </c>
    </row>
    <row r="353" spans="1:3" x14ac:dyDescent="0.3">
      <c r="A353" s="20">
        <v>46009</v>
      </c>
      <c r="B353" s="5">
        <f>IFERROR(DATEDIF(Launch_Dates!$B$3,A353,"m"),"")</f>
        <v>65</v>
      </c>
      <c r="C353">
        <v>855438</v>
      </c>
    </row>
    <row r="354" spans="1:3" x14ac:dyDescent="0.3">
      <c r="A354" s="20">
        <v>46010</v>
      </c>
      <c r="B354" s="5">
        <f>IFERROR(DATEDIF(Launch_Dates!$B$3,A354,"m"),"")</f>
        <v>65</v>
      </c>
      <c r="C354">
        <v>858429</v>
      </c>
    </row>
    <row r="355" spans="1:3" x14ac:dyDescent="0.3">
      <c r="A355" s="20">
        <v>46011</v>
      </c>
      <c r="B355" s="5">
        <f>IFERROR(DATEDIF(Launch_Dates!$B$3,A355,"m"),"")</f>
        <v>65</v>
      </c>
      <c r="C355">
        <v>751251</v>
      </c>
    </row>
    <row r="356" spans="1:3" x14ac:dyDescent="0.3">
      <c r="A356" s="20">
        <v>46012</v>
      </c>
      <c r="B356" s="5">
        <f>IFERROR(DATEDIF(Launch_Dates!$B$3,A356,"m"),"")</f>
        <v>65</v>
      </c>
      <c r="C356">
        <v>860990</v>
      </c>
    </row>
    <row r="357" spans="1:3" x14ac:dyDescent="0.3">
      <c r="A357" s="20">
        <v>46013</v>
      </c>
      <c r="B357" s="5">
        <f>IFERROR(DATEDIF(Launch_Dates!$B$3,A357,"m"),"")</f>
        <v>65</v>
      </c>
      <c r="C357">
        <v>863720</v>
      </c>
    </row>
    <row r="358" spans="1:3" x14ac:dyDescent="0.3">
      <c r="A358" s="20">
        <v>46014</v>
      </c>
      <c r="B358" s="5">
        <f>IFERROR(DATEDIF(Launch_Dates!$B$3,A358,"m"),"")</f>
        <v>65</v>
      </c>
      <c r="C358">
        <v>867217</v>
      </c>
    </row>
    <row r="359" spans="1:3" x14ac:dyDescent="0.3">
      <c r="A359" s="20">
        <v>46015</v>
      </c>
      <c r="B359" s="5">
        <f>IFERROR(DATEDIF(Launch_Dates!$B$3,A359,"m"),"")</f>
        <v>65</v>
      </c>
      <c r="C359">
        <v>866393</v>
      </c>
    </row>
    <row r="360" spans="1:3" x14ac:dyDescent="0.3">
      <c r="A360" s="20">
        <v>46016</v>
      </c>
      <c r="B360" s="5">
        <f>IFERROR(DATEDIF(Launch_Dates!$B$3,A360,"m"),"")</f>
        <v>65</v>
      </c>
      <c r="C360">
        <v>869870</v>
      </c>
    </row>
    <row r="361" spans="1:3" x14ac:dyDescent="0.3">
      <c r="A361" s="20">
        <v>46017</v>
      </c>
      <c r="B361" s="5">
        <f>IFERROR(DATEDIF(Launch_Dates!$B$3,A361,"m"),"")</f>
        <v>65</v>
      </c>
      <c r="C361">
        <v>870776</v>
      </c>
    </row>
    <row r="362" spans="1:3" x14ac:dyDescent="0.3">
      <c r="A362" s="20">
        <v>46018</v>
      </c>
      <c r="B362" s="5">
        <f>IFERROR(DATEDIF(Launch_Dates!$B$3,A362,"m"),"")</f>
        <v>65</v>
      </c>
      <c r="C362">
        <v>872794</v>
      </c>
    </row>
    <row r="363" spans="1:3" x14ac:dyDescent="0.3">
      <c r="A363" s="20">
        <v>46019</v>
      </c>
      <c r="B363" s="5">
        <f>IFERROR(DATEDIF(Launch_Dates!$B$3,A363,"m"),"")</f>
        <v>65</v>
      </c>
      <c r="C363">
        <v>875608</v>
      </c>
    </row>
    <row r="364" spans="1:3" x14ac:dyDescent="0.3">
      <c r="A364" s="20">
        <v>46020</v>
      </c>
      <c r="B364" s="5">
        <f>IFERROR(DATEDIF(Launch_Dates!$B$3,A364,"m"),"")</f>
        <v>65</v>
      </c>
      <c r="C364">
        <v>878260</v>
      </c>
    </row>
    <row r="365" spans="1:3" x14ac:dyDescent="0.3">
      <c r="A365" s="20">
        <v>46021</v>
      </c>
      <c r="B365" s="5">
        <f>IFERROR(DATEDIF(Launch_Dates!$B$3,A365,"m"),"")</f>
        <v>65</v>
      </c>
      <c r="C365">
        <v>881454</v>
      </c>
    </row>
    <row r="366" spans="1:3" x14ac:dyDescent="0.3">
      <c r="A366" s="20">
        <v>46022</v>
      </c>
      <c r="B366" s="5">
        <f>IFERROR(DATEDIF(Launch_Dates!$B$3,A366,"m"),"")</f>
        <v>65</v>
      </c>
      <c r="C366">
        <v>878446</v>
      </c>
    </row>
    <row r="367" spans="1:3" x14ac:dyDescent="0.3">
      <c r="A367" s="20">
        <v>46023</v>
      </c>
      <c r="B367" s="5">
        <f>IFERROR(DATEDIF(Launch_Dates!$B$3,A367,"m"),"")</f>
        <v>66</v>
      </c>
      <c r="C367">
        <v>871241</v>
      </c>
    </row>
    <row r="368" spans="1:3" x14ac:dyDescent="0.3">
      <c r="A368" s="20">
        <v>46024</v>
      </c>
      <c r="B368" s="5">
        <f>IFERROR(DATEDIF(Launch_Dates!$B$3,A368,"m"),"")</f>
        <v>66</v>
      </c>
      <c r="C368">
        <v>873258</v>
      </c>
    </row>
    <row r="369" spans="1:3" x14ac:dyDescent="0.3">
      <c r="A369" s="20">
        <v>46025</v>
      </c>
      <c r="B369" s="5">
        <f>IFERROR(DATEDIF(Launch_Dates!$B$3,A369,"m"),"")</f>
        <v>66</v>
      </c>
      <c r="C369">
        <v>874399</v>
      </c>
    </row>
    <row r="370" spans="1:3" x14ac:dyDescent="0.3">
      <c r="A370" s="20">
        <v>46026</v>
      </c>
      <c r="B370" s="5">
        <f>IFERROR(DATEDIF(Launch_Dates!$B$3,A370,"m"),"")</f>
        <v>66</v>
      </c>
      <c r="C370">
        <v>768820</v>
      </c>
    </row>
    <row r="371" spans="1:3" x14ac:dyDescent="0.3">
      <c r="A371" s="20">
        <v>46027</v>
      </c>
      <c r="B371" s="5">
        <f>IFERROR(DATEDIF(Launch_Dates!$B$3,A371,"m"),"")</f>
        <v>66</v>
      </c>
      <c r="C371">
        <v>881166</v>
      </c>
    </row>
    <row r="372" spans="1:3" x14ac:dyDescent="0.3">
      <c r="A372" s="20">
        <v>46028</v>
      </c>
      <c r="B372" s="5">
        <f>IFERROR(DATEDIF(Launch_Dates!$B$3,A372,"m"),"")</f>
        <v>66</v>
      </c>
      <c r="C372">
        <v>882640</v>
      </c>
    </row>
    <row r="373" spans="1:3" x14ac:dyDescent="0.3">
      <c r="A373" s="20">
        <v>46029</v>
      </c>
      <c r="B373" s="5">
        <f>IFERROR(DATEDIF(Launch_Dates!$B$3,A373,"m"),"")</f>
        <v>66</v>
      </c>
      <c r="C373">
        <v>883036</v>
      </c>
    </row>
    <row r="374" spans="1:3" x14ac:dyDescent="0.3">
      <c r="A374" s="20">
        <v>46030</v>
      </c>
      <c r="B374" s="5">
        <f>IFERROR(DATEDIF(Launch_Dates!$B$3,A374,"m"),"")</f>
        <v>66</v>
      </c>
      <c r="C374">
        <v>886601</v>
      </c>
    </row>
    <row r="375" spans="1:3" x14ac:dyDescent="0.3">
      <c r="A375" s="20">
        <v>46031</v>
      </c>
      <c r="B375" s="5">
        <f>IFERROR(DATEDIF(Launch_Dates!$B$3,A375,"m"),"")</f>
        <v>66</v>
      </c>
      <c r="C375">
        <v>889954</v>
      </c>
    </row>
    <row r="376" spans="1:3" x14ac:dyDescent="0.3">
      <c r="A376" s="20">
        <v>46032</v>
      </c>
      <c r="B376" s="5">
        <f>IFERROR(DATEDIF(Launch_Dates!$B$3,A376,"m"),"")</f>
        <v>66</v>
      </c>
      <c r="C376">
        <v>892050</v>
      </c>
    </row>
    <row r="377" spans="1:3" x14ac:dyDescent="0.3">
      <c r="A377" s="20">
        <v>46033</v>
      </c>
      <c r="B377" s="5">
        <f>IFERROR(DATEDIF(Launch_Dates!$B$3,A377,"m"),"")</f>
        <v>66</v>
      </c>
      <c r="C377">
        <v>894930</v>
      </c>
    </row>
    <row r="378" spans="1:3" x14ac:dyDescent="0.3">
      <c r="A378" s="20">
        <v>46034</v>
      </c>
      <c r="B378" s="5">
        <f>IFERROR(DATEDIF(Launch_Dates!$B$3,A378,"m"),"")</f>
        <v>66</v>
      </c>
      <c r="C378">
        <v>896331</v>
      </c>
    </row>
    <row r="379" spans="1:3" x14ac:dyDescent="0.3">
      <c r="A379" s="20">
        <v>46035</v>
      </c>
      <c r="B379" s="5">
        <f>IFERROR(DATEDIF(Launch_Dates!$B$3,A379,"m"),"")</f>
        <v>66</v>
      </c>
      <c r="C379">
        <v>901350</v>
      </c>
    </row>
    <row r="380" spans="1:3" x14ac:dyDescent="0.3">
      <c r="A380" s="20">
        <v>46036</v>
      </c>
      <c r="B380" s="5">
        <f>IFERROR(DATEDIF(Launch_Dates!$B$3,A380,"m"),"")</f>
        <v>66</v>
      </c>
      <c r="C380">
        <v>903356</v>
      </c>
    </row>
    <row r="381" spans="1:3" x14ac:dyDescent="0.3">
      <c r="A381" s="20">
        <v>46037</v>
      </c>
      <c r="B381" s="5">
        <f>IFERROR(DATEDIF(Launch_Dates!$B$3,A381,"m"),"")</f>
        <v>66</v>
      </c>
      <c r="C381">
        <v>886341</v>
      </c>
    </row>
    <row r="382" spans="1:3" x14ac:dyDescent="0.3">
      <c r="A382" s="20">
        <v>46038</v>
      </c>
      <c r="B382" s="5">
        <f>IFERROR(DATEDIF(Launch_Dates!$B$3,A382,"m"),"")</f>
        <v>66</v>
      </c>
      <c r="C382">
        <v>909112</v>
      </c>
    </row>
    <row r="383" spans="1:3" x14ac:dyDescent="0.3">
      <c r="A383" s="20">
        <v>46039</v>
      </c>
      <c r="B383" s="5">
        <f>IFERROR(DATEDIF(Launch_Dates!$B$3,A383,"m"),"")</f>
        <v>66</v>
      </c>
      <c r="C383">
        <v>798888</v>
      </c>
    </row>
    <row r="384" spans="1:3" x14ac:dyDescent="0.3">
      <c r="A384" s="20">
        <v>46040</v>
      </c>
      <c r="B384" s="5">
        <f>IFERROR(DATEDIF(Launch_Dates!$B$3,A384,"m"),"")</f>
        <v>66</v>
      </c>
      <c r="C384">
        <v>915051</v>
      </c>
    </row>
    <row r="385" spans="1:3" x14ac:dyDescent="0.3">
      <c r="A385" s="20">
        <v>46041</v>
      </c>
      <c r="B385" s="5">
        <f>IFERROR(DATEDIF(Launch_Dates!$B$3,A385,"m"),"")</f>
        <v>66</v>
      </c>
      <c r="C385">
        <v>914628</v>
      </c>
    </row>
    <row r="386" spans="1:3" x14ac:dyDescent="0.3">
      <c r="A386" s="20">
        <v>46042</v>
      </c>
      <c r="B386" s="5">
        <f>IFERROR(DATEDIF(Launch_Dates!$B$3,A386,"m"),"")</f>
        <v>66</v>
      </c>
      <c r="C386">
        <v>913315</v>
      </c>
    </row>
    <row r="387" spans="1:3" x14ac:dyDescent="0.3">
      <c r="A387" s="20">
        <v>46043</v>
      </c>
      <c r="B387" s="5">
        <f>IFERROR(DATEDIF(Launch_Dates!$B$3,A387,"m"),"")</f>
        <v>66</v>
      </c>
      <c r="C387">
        <v>916745</v>
      </c>
    </row>
    <row r="388" spans="1:3" x14ac:dyDescent="0.3">
      <c r="A388" s="20">
        <v>46044</v>
      </c>
      <c r="B388" s="5">
        <f>IFERROR(DATEDIF(Launch_Dates!$B$3,A388,"m"),"")</f>
        <v>66</v>
      </c>
      <c r="C388">
        <v>920122</v>
      </c>
    </row>
    <row r="389" spans="1:3" x14ac:dyDescent="0.3">
      <c r="A389" s="20">
        <v>46045</v>
      </c>
      <c r="B389" s="5">
        <f>IFERROR(DATEDIF(Launch_Dates!$B$3,A389,"m"),"")</f>
        <v>66</v>
      </c>
      <c r="C389">
        <v>923583</v>
      </c>
    </row>
    <row r="390" spans="1:3" x14ac:dyDescent="0.3">
      <c r="A390" s="20">
        <v>46046</v>
      </c>
      <c r="B390" s="5">
        <f>IFERROR(DATEDIF(Launch_Dates!$B$3,A390,"m"),"")</f>
        <v>66</v>
      </c>
      <c r="C390">
        <v>925578</v>
      </c>
    </row>
    <row r="391" spans="1:3" x14ac:dyDescent="0.3">
      <c r="A391" s="20">
        <v>46047</v>
      </c>
      <c r="B391" s="5">
        <f>IFERROR(DATEDIF(Launch_Dates!$B$3,A391,"m"),"")</f>
        <v>66</v>
      </c>
      <c r="C391">
        <v>928258</v>
      </c>
    </row>
    <row r="392" spans="1:3" x14ac:dyDescent="0.3">
      <c r="A392" s="20">
        <v>46048</v>
      </c>
      <c r="B392" s="5">
        <f>IFERROR(DATEDIF(Launch_Dates!$B$3,A392,"m"),"")</f>
        <v>66</v>
      </c>
      <c r="C392">
        <v>813845</v>
      </c>
    </row>
    <row r="393" spans="1:3" x14ac:dyDescent="0.3">
      <c r="A393" s="20">
        <v>46049</v>
      </c>
      <c r="B393" s="5">
        <f>IFERROR(DATEDIF(Launch_Dates!$B$3,A393,"m"),"")</f>
        <v>66</v>
      </c>
      <c r="C393">
        <v>931755</v>
      </c>
    </row>
    <row r="394" spans="1:3" x14ac:dyDescent="0.3">
      <c r="A394" s="20">
        <v>46050</v>
      </c>
      <c r="B394" s="5">
        <f>IFERROR(DATEDIF(Launch_Dates!$B$3,A394,"m"),"")</f>
        <v>66</v>
      </c>
      <c r="C394">
        <v>932868</v>
      </c>
    </row>
    <row r="395" spans="1:3" x14ac:dyDescent="0.3">
      <c r="A395" s="20">
        <v>46051</v>
      </c>
      <c r="B395" s="5">
        <f>IFERROR(DATEDIF(Launch_Dates!$B$3,A395,"m"),"")</f>
        <v>66</v>
      </c>
      <c r="C395">
        <v>935019</v>
      </c>
    </row>
    <row r="396" spans="1:3" x14ac:dyDescent="0.3">
      <c r="A396" s="20">
        <v>46052</v>
      </c>
      <c r="B396" s="5">
        <f>IFERROR(DATEDIF(Launch_Dates!$B$3,A396,"m"),"")</f>
        <v>66</v>
      </c>
      <c r="C396">
        <v>920301</v>
      </c>
    </row>
    <row r="397" spans="1:3" x14ac:dyDescent="0.3">
      <c r="A397" s="20">
        <v>46053</v>
      </c>
      <c r="B397" s="5">
        <f>IFERROR(DATEDIF(Launch_Dates!$B$3,A397,"m"),"")</f>
        <v>66</v>
      </c>
      <c r="C397">
        <v>948575</v>
      </c>
    </row>
    <row r="398" spans="1:3" x14ac:dyDescent="0.3">
      <c r="A398" s="20">
        <v>46054</v>
      </c>
      <c r="B398" s="5">
        <f>IFERROR(DATEDIF(Launch_Dates!$B$3,A398,"m"),"")</f>
        <v>67</v>
      </c>
      <c r="C398">
        <v>825426</v>
      </c>
    </row>
    <row r="399" spans="1:3" x14ac:dyDescent="0.3">
      <c r="A399" s="20">
        <v>46055</v>
      </c>
      <c r="B399" s="5">
        <f>IFERROR(DATEDIF(Launch_Dates!$B$3,A399,"m"),"")</f>
        <v>67</v>
      </c>
      <c r="C399">
        <v>945434</v>
      </c>
    </row>
    <row r="400" spans="1:3" x14ac:dyDescent="0.3">
      <c r="A400" s="20">
        <v>46056</v>
      </c>
      <c r="B400" s="5">
        <f>IFERROR(DATEDIF(Launch_Dates!$B$3,A400,"m"),"")</f>
        <v>67</v>
      </c>
      <c r="C400">
        <v>949894</v>
      </c>
    </row>
    <row r="401" spans="1:3" x14ac:dyDescent="0.3">
      <c r="A401" s="20">
        <v>46057</v>
      </c>
      <c r="B401" s="5">
        <f>IFERROR(DATEDIF(Launch_Dates!$B$3,A401,"m"),"")</f>
        <v>67</v>
      </c>
      <c r="C401">
        <v>834562</v>
      </c>
    </row>
    <row r="402" spans="1:3" x14ac:dyDescent="0.3">
      <c r="A402" s="20">
        <v>46058</v>
      </c>
      <c r="B402" s="5">
        <f>IFERROR(DATEDIF(Launch_Dates!$B$3,A402,"m"),"")</f>
        <v>67</v>
      </c>
      <c r="C402">
        <v>956410</v>
      </c>
    </row>
    <row r="403" spans="1:3" x14ac:dyDescent="0.3">
      <c r="A403" s="20">
        <v>46059</v>
      </c>
      <c r="B403" s="5">
        <f>IFERROR(DATEDIF(Launch_Dates!$B$3,A403,"m"),"")</f>
        <v>67</v>
      </c>
      <c r="C403">
        <v>960366</v>
      </c>
    </row>
    <row r="404" spans="1:3" x14ac:dyDescent="0.3">
      <c r="A404" s="20">
        <v>46060</v>
      </c>
      <c r="B404" s="5">
        <f>IFERROR(DATEDIF(Launch_Dates!$B$3,A404,"m"),"")</f>
        <v>67</v>
      </c>
      <c r="C404">
        <v>962961</v>
      </c>
    </row>
    <row r="405" spans="1:3" x14ac:dyDescent="0.3">
      <c r="A405" s="20">
        <v>46061</v>
      </c>
      <c r="B405" s="5">
        <f>IFERROR(DATEDIF(Launch_Dates!$B$3,A405,"m"),"")</f>
        <v>67</v>
      </c>
      <c r="C405">
        <v>964763</v>
      </c>
    </row>
    <row r="406" spans="1:3" x14ac:dyDescent="0.3">
      <c r="A406" s="20">
        <v>46062</v>
      </c>
      <c r="B406" s="5">
        <f>IFERROR(DATEDIF(Launch_Dates!$B$3,A406,"m"),"")</f>
        <v>67</v>
      </c>
      <c r="C406">
        <v>969233</v>
      </c>
    </row>
    <row r="407" spans="1:3" x14ac:dyDescent="0.3">
      <c r="A407" s="20">
        <v>46063</v>
      </c>
      <c r="B407" s="5">
        <f>IFERROR(DATEDIF(Launch_Dates!$B$3,A407,"m"),"")</f>
        <v>67</v>
      </c>
      <c r="C407">
        <v>972563</v>
      </c>
    </row>
    <row r="408" spans="1:3" x14ac:dyDescent="0.3">
      <c r="A408" s="20">
        <v>46064</v>
      </c>
      <c r="B408" s="5">
        <f>IFERROR(DATEDIF(Launch_Dates!$B$3,A408,"m"),"")</f>
        <v>67</v>
      </c>
      <c r="C408">
        <v>973876</v>
      </c>
    </row>
    <row r="409" spans="1:3" x14ac:dyDescent="0.3">
      <c r="A409" s="20">
        <v>46065</v>
      </c>
      <c r="B409" s="5">
        <f>IFERROR(DATEDIF(Launch_Dates!$B$3,A409,"m"),"")</f>
        <v>67</v>
      </c>
      <c r="C409">
        <v>977367</v>
      </c>
    </row>
    <row r="410" spans="1:3" x14ac:dyDescent="0.3">
      <c r="A410" s="20">
        <v>46066</v>
      </c>
      <c r="B410" s="5">
        <f>IFERROR(DATEDIF(Launch_Dates!$B$3,A410,"m"),"")</f>
        <v>67</v>
      </c>
      <c r="C410">
        <v>980522</v>
      </c>
    </row>
    <row r="411" spans="1:3" x14ac:dyDescent="0.3">
      <c r="A411" s="20">
        <v>46067</v>
      </c>
      <c r="B411" s="5">
        <f>IFERROR(DATEDIF(Launch_Dates!$B$3,A411,"m"),"")</f>
        <v>67</v>
      </c>
      <c r="C411">
        <v>982582</v>
      </c>
    </row>
    <row r="412" spans="1:3" x14ac:dyDescent="0.3">
      <c r="A412" s="20">
        <v>46068</v>
      </c>
      <c r="B412" s="5">
        <f>IFERROR(DATEDIF(Launch_Dates!$B$3,A412,"m"),"")</f>
        <v>67</v>
      </c>
      <c r="C412">
        <v>985690</v>
      </c>
    </row>
    <row r="413" spans="1:3" x14ac:dyDescent="0.3">
      <c r="A413" s="20">
        <v>46069</v>
      </c>
      <c r="B413" s="5">
        <f>IFERROR(DATEDIF(Launch_Dates!$B$3,A413,"m"),"")</f>
        <v>67</v>
      </c>
      <c r="C413">
        <v>988584</v>
      </c>
    </row>
    <row r="414" spans="1:3" x14ac:dyDescent="0.3">
      <c r="A414" s="20">
        <v>46070</v>
      </c>
      <c r="B414" s="5">
        <f>IFERROR(DATEDIF(Launch_Dates!$B$3,A414,"m"),"")</f>
        <v>67</v>
      </c>
      <c r="C414">
        <v>992393</v>
      </c>
    </row>
    <row r="415" spans="1:3" x14ac:dyDescent="0.3">
      <c r="A415" s="20">
        <v>46071</v>
      </c>
      <c r="B415" s="5">
        <f>IFERROR(DATEDIF(Launch_Dates!$B$3,A415,"m"),"")</f>
        <v>67</v>
      </c>
      <c r="C415">
        <v>870069</v>
      </c>
    </row>
    <row r="416" spans="1:3" x14ac:dyDescent="0.3">
      <c r="A416" s="20">
        <v>46072</v>
      </c>
      <c r="B416" s="5">
        <f>IFERROR(DATEDIF(Launch_Dates!$B$3,A416,"m"),"")</f>
        <v>67</v>
      </c>
      <c r="C416">
        <v>997103</v>
      </c>
    </row>
    <row r="417" spans="1:3" x14ac:dyDescent="0.3">
      <c r="A417" s="20">
        <v>46073</v>
      </c>
      <c r="B417" s="5">
        <f>IFERROR(DATEDIF(Launch_Dates!$B$3,A417,"m"),"")</f>
        <v>67</v>
      </c>
      <c r="C417">
        <v>890200</v>
      </c>
    </row>
    <row r="418" spans="1:3" x14ac:dyDescent="0.3">
      <c r="A418" s="20">
        <v>46074</v>
      </c>
      <c r="B418" s="5">
        <f>IFERROR(DATEDIF(Launch_Dates!$B$3,A418,"m"),"")</f>
        <v>67</v>
      </c>
      <c r="C418">
        <v>878307</v>
      </c>
    </row>
    <row r="419" spans="1:3" x14ac:dyDescent="0.3">
      <c r="A419" s="20">
        <v>46075</v>
      </c>
      <c r="B419" s="5">
        <f>IFERROR(DATEDIF(Launch_Dates!$B$3,A419,"m"),"")</f>
        <v>67</v>
      </c>
      <c r="C419">
        <v>879471</v>
      </c>
    </row>
    <row r="420" spans="1:3" x14ac:dyDescent="0.3">
      <c r="A420" s="20">
        <v>46076</v>
      </c>
      <c r="B420" s="5">
        <f>IFERROR(DATEDIF(Launch_Dates!$B$3,A420,"m"),"")</f>
        <v>67</v>
      </c>
      <c r="C420">
        <v>883738</v>
      </c>
    </row>
    <row r="421" spans="1:3" x14ac:dyDescent="0.3">
      <c r="A421" s="20">
        <v>46077</v>
      </c>
      <c r="B421" s="5">
        <f>IFERROR(DATEDIF(Launch_Dates!$B$3,A421,"m"),"")</f>
        <v>67</v>
      </c>
      <c r="C421">
        <v>886955</v>
      </c>
    </row>
    <row r="422" spans="1:3" x14ac:dyDescent="0.3">
      <c r="A422" s="20">
        <v>46078</v>
      </c>
      <c r="B422" s="5">
        <f>IFERROR(DATEDIF(Launch_Dates!$B$3,A422,"m"),"")</f>
        <v>67</v>
      </c>
      <c r="C422">
        <v>888436</v>
      </c>
    </row>
    <row r="423" spans="1:3" x14ac:dyDescent="0.3">
      <c r="A423" s="20">
        <v>46079</v>
      </c>
      <c r="B423" s="5">
        <f>IFERROR(DATEDIF(Launch_Dates!$B$3,A423,"m"),"")</f>
        <v>67</v>
      </c>
      <c r="C423">
        <v>891386</v>
      </c>
    </row>
    <row r="424" spans="1:3" x14ac:dyDescent="0.3">
      <c r="A424" s="20">
        <v>46080</v>
      </c>
      <c r="B424" s="5">
        <f>IFERROR(DATEDIF(Launch_Dates!$B$3,A424,"m"),"")</f>
        <v>67</v>
      </c>
      <c r="C424">
        <v>894547</v>
      </c>
    </row>
    <row r="425" spans="1:3" x14ac:dyDescent="0.3">
      <c r="A425" s="20">
        <v>46081</v>
      </c>
      <c r="B425" s="5">
        <f>IFERROR(DATEDIF(Launch_Dates!$B$3,A425,"m"),"")</f>
        <v>67</v>
      </c>
      <c r="C425">
        <v>895329</v>
      </c>
    </row>
    <row r="426" spans="1:3" x14ac:dyDescent="0.3">
      <c r="A426" s="20">
        <v>46082</v>
      </c>
      <c r="B426" s="5">
        <f>IFERROR(DATEDIF(Launch_Dates!$B$3,A426,"m"),"")</f>
        <v>68</v>
      </c>
      <c r="C426">
        <v>1017692</v>
      </c>
    </row>
    <row r="427" spans="1:3" x14ac:dyDescent="0.3">
      <c r="A427" s="20">
        <v>46083</v>
      </c>
      <c r="B427" s="5">
        <f>IFERROR(DATEDIF(Launch_Dates!$B$3,A427,"m"),"")</f>
        <v>68</v>
      </c>
      <c r="C427">
        <v>890764</v>
      </c>
    </row>
    <row r="428" spans="1:3" x14ac:dyDescent="0.3">
      <c r="A428" s="20">
        <v>46084</v>
      </c>
      <c r="B428" s="5">
        <f>IFERROR(DATEDIF(Launch_Dates!$B$3,A428,"m"),"")</f>
        <v>68</v>
      </c>
      <c r="C428">
        <v>1023520</v>
      </c>
    </row>
    <row r="429" spans="1:3" x14ac:dyDescent="0.3">
      <c r="A429" s="20">
        <v>46085</v>
      </c>
      <c r="B429" s="5">
        <f>IFERROR(DATEDIF(Launch_Dates!$B$3,A429,"m"),"")</f>
        <v>68</v>
      </c>
      <c r="C429">
        <v>1024946</v>
      </c>
    </row>
    <row r="430" spans="1:3" x14ac:dyDescent="0.3">
      <c r="A430" s="20">
        <v>46086</v>
      </c>
      <c r="B430" s="5">
        <f>IFERROR(DATEDIF(Launch_Dates!$B$3,A430,"m"),"")</f>
        <v>68</v>
      </c>
      <c r="C430">
        <v>1027938</v>
      </c>
    </row>
    <row r="431" spans="1:3" x14ac:dyDescent="0.3">
      <c r="A431" s="20">
        <v>46087</v>
      </c>
      <c r="B431" s="5">
        <f>IFERROR(DATEDIF(Launch_Dates!$B$3,A431,"m"),"")</f>
        <v>68</v>
      </c>
      <c r="C431">
        <v>1031261</v>
      </c>
    </row>
    <row r="432" spans="1:3" x14ac:dyDescent="0.3">
      <c r="A432" s="20">
        <v>46088</v>
      </c>
      <c r="B432" s="5">
        <f>IFERROR(DATEDIF(Launch_Dates!$B$3,A432,"m"),"")</f>
        <v>68</v>
      </c>
      <c r="C432">
        <v>1033748</v>
      </c>
    </row>
    <row r="433" spans="1:3" x14ac:dyDescent="0.3">
      <c r="A433" s="20">
        <v>46089</v>
      </c>
      <c r="B433" s="5">
        <f>IFERROR(DATEDIF(Launch_Dates!$B$3,A433,"m"),"")</f>
        <v>68</v>
      </c>
      <c r="C433">
        <v>1036213</v>
      </c>
    </row>
    <row r="434" spans="1:3" x14ac:dyDescent="0.3">
      <c r="A434" s="20">
        <v>46090</v>
      </c>
      <c r="B434" s="5">
        <f>IFERROR(DATEDIF(Launch_Dates!$B$3,A434,"m"),"")</f>
        <v>68</v>
      </c>
      <c r="C434">
        <v>1030346</v>
      </c>
    </row>
    <row r="435" spans="1:3" x14ac:dyDescent="0.3">
      <c r="A435" s="20">
        <v>46091</v>
      </c>
      <c r="B435" s="5">
        <f>IFERROR(DATEDIF(Launch_Dates!$B$3,A435,"m"),"")</f>
        <v>68</v>
      </c>
      <c r="C435">
        <v>1036215</v>
      </c>
    </row>
    <row r="436" spans="1:3" x14ac:dyDescent="0.3">
      <c r="A436" s="20">
        <v>46092</v>
      </c>
      <c r="B436" s="5">
        <f>IFERROR(DATEDIF(Launch_Dates!$B$3,A436,"m"),"")</f>
        <v>68</v>
      </c>
      <c r="C436">
        <v>1045423</v>
      </c>
    </row>
    <row r="437" spans="1:3" x14ac:dyDescent="0.3">
      <c r="A437" s="20">
        <v>46093</v>
      </c>
      <c r="B437" s="5">
        <f>IFERROR(DATEDIF(Launch_Dates!$B$3,A437,"m"),"")</f>
        <v>68</v>
      </c>
      <c r="C437">
        <v>1049027</v>
      </c>
    </row>
    <row r="438" spans="1:3" x14ac:dyDescent="0.3">
      <c r="A438" s="20">
        <v>46094</v>
      </c>
      <c r="B438" s="5">
        <f>IFERROR(DATEDIF(Launch_Dates!$B$3,A438,"m"),"")</f>
        <v>68</v>
      </c>
      <c r="C438">
        <v>1041191</v>
      </c>
    </row>
    <row r="439" spans="1:3" x14ac:dyDescent="0.3">
      <c r="A439" s="20">
        <v>46095</v>
      </c>
      <c r="B439" s="5">
        <f>IFERROR(DATEDIF(Launch_Dates!$B$3,A439,"m"),"")</f>
        <v>68</v>
      </c>
      <c r="C439">
        <v>1052078</v>
      </c>
    </row>
    <row r="440" spans="1:3" x14ac:dyDescent="0.3">
      <c r="A440" s="20">
        <v>46096</v>
      </c>
      <c r="B440" s="5">
        <f>IFERROR(DATEDIF(Launch_Dates!$B$3,A440,"m"),"")</f>
        <v>68</v>
      </c>
      <c r="C440">
        <v>1054763</v>
      </c>
    </row>
    <row r="441" spans="1:3" x14ac:dyDescent="0.3">
      <c r="A441" s="20">
        <v>46097</v>
      </c>
      <c r="B441" s="5">
        <f>IFERROR(DATEDIF(Launch_Dates!$B$3,A441,"m"),"")</f>
        <v>68</v>
      </c>
      <c r="C441">
        <v>1056155</v>
      </c>
    </row>
    <row r="442" spans="1:3" x14ac:dyDescent="0.3">
      <c r="A442" s="20">
        <v>46098</v>
      </c>
      <c r="B442" s="5">
        <f>IFERROR(DATEDIF(Launch_Dates!$B$3,A442,"m"),"")</f>
        <v>68</v>
      </c>
      <c r="C442">
        <v>1060826</v>
      </c>
    </row>
    <row r="443" spans="1:3" x14ac:dyDescent="0.3">
      <c r="A443" s="20">
        <v>46099</v>
      </c>
      <c r="B443" s="5">
        <f>IFERROR(DATEDIF(Launch_Dates!$B$3,A443,"m"),"")</f>
        <v>68</v>
      </c>
      <c r="C443">
        <v>1064130</v>
      </c>
    </row>
    <row r="444" spans="1:3" x14ac:dyDescent="0.3">
      <c r="A444" s="20">
        <v>46100</v>
      </c>
      <c r="B444" s="5">
        <f>IFERROR(DATEDIF(Launch_Dates!$B$3,A444,"m"),"")</f>
        <v>68</v>
      </c>
      <c r="C444">
        <v>1067394</v>
      </c>
    </row>
    <row r="445" spans="1:3" x14ac:dyDescent="0.3">
      <c r="A445" s="20">
        <v>46101</v>
      </c>
      <c r="B445" s="5">
        <f>IFERROR(DATEDIF(Launch_Dates!$B$3,A445,"m"),"")</f>
        <v>68</v>
      </c>
      <c r="C445">
        <v>1070997</v>
      </c>
    </row>
    <row r="446" spans="1:3" x14ac:dyDescent="0.3">
      <c r="A446" s="20">
        <v>46102</v>
      </c>
      <c r="B446" s="5">
        <f>IFERROR(DATEDIF(Launch_Dates!$B$3,A446,"m"),"")</f>
        <v>68</v>
      </c>
      <c r="C446">
        <v>1071789</v>
      </c>
    </row>
    <row r="447" spans="1:3" x14ac:dyDescent="0.3">
      <c r="A447" s="20">
        <v>46103</v>
      </c>
      <c r="B447" s="5">
        <f>IFERROR(DATEDIF(Launch_Dates!$B$3,A447,"m"),"")</f>
        <v>68</v>
      </c>
      <c r="C447">
        <v>1072737</v>
      </c>
    </row>
    <row r="448" spans="1:3" x14ac:dyDescent="0.3">
      <c r="A448" s="20">
        <v>46104</v>
      </c>
      <c r="B448" s="5">
        <f>IFERROR(DATEDIF(Launch_Dates!$B$3,A448,"m"),"")</f>
        <v>68</v>
      </c>
      <c r="C448">
        <v>1075853</v>
      </c>
    </row>
    <row r="449" spans="1:3" x14ac:dyDescent="0.3">
      <c r="A449" s="20">
        <v>46105</v>
      </c>
      <c r="B449" s="5">
        <f>IFERROR(DATEDIF(Launch_Dates!$B$3,A449,"m"),"")</f>
        <v>68</v>
      </c>
      <c r="C449">
        <v>1079568</v>
      </c>
    </row>
    <row r="450" spans="1:3" x14ac:dyDescent="0.3">
      <c r="A450" s="20">
        <v>46106</v>
      </c>
      <c r="B450" s="5">
        <f>IFERROR(DATEDIF(Launch_Dates!$B$3,A450,"m"),"")</f>
        <v>68</v>
      </c>
      <c r="C450">
        <v>1080908</v>
      </c>
    </row>
    <row r="451" spans="1:3" x14ac:dyDescent="0.3">
      <c r="A451" s="20">
        <v>46107</v>
      </c>
      <c r="B451" s="5">
        <f>IFERROR(DATEDIF(Launch_Dates!$B$3,A451,"m"),"")</f>
        <v>68</v>
      </c>
      <c r="C451">
        <v>1084025</v>
      </c>
    </row>
    <row r="452" spans="1:3" x14ac:dyDescent="0.3">
      <c r="A452" s="20">
        <v>46108</v>
      </c>
      <c r="B452" s="5">
        <f>IFERROR(DATEDIF(Launch_Dates!$B$3,A452,"m"),"")</f>
        <v>68</v>
      </c>
      <c r="C452">
        <v>1086862</v>
      </c>
    </row>
    <row r="453" spans="1:3" x14ac:dyDescent="0.3">
      <c r="A453" s="20">
        <v>46109</v>
      </c>
      <c r="B453" s="5">
        <f>IFERROR(DATEDIF(Launch_Dates!$B$3,A453,"m"),"")</f>
        <v>68</v>
      </c>
      <c r="C453">
        <v>1088269</v>
      </c>
    </row>
    <row r="454" spans="1:3" x14ac:dyDescent="0.3">
      <c r="A454" s="20">
        <v>46110</v>
      </c>
      <c r="B454" s="5">
        <f>IFERROR(DATEDIF(Launch_Dates!$B$3,A454,"m"),"")</f>
        <v>68</v>
      </c>
      <c r="C454">
        <v>1090461</v>
      </c>
    </row>
    <row r="455" spans="1:3" x14ac:dyDescent="0.3">
      <c r="A455" s="20">
        <v>46111</v>
      </c>
      <c r="B455" s="5">
        <f>IFERROR(DATEDIF(Launch_Dates!$B$3,A455,"m"),"")</f>
        <v>68</v>
      </c>
      <c r="C455">
        <v>1092957</v>
      </c>
    </row>
    <row r="456" spans="1:3" x14ac:dyDescent="0.3">
      <c r="A456" s="20">
        <v>46112</v>
      </c>
      <c r="B456" s="5">
        <f>IFERROR(DATEDIF(Launch_Dates!$B$3,A456,"m"),"")</f>
        <v>68</v>
      </c>
      <c r="C456">
        <v>1096748</v>
      </c>
    </row>
    <row r="457" spans="1:3" x14ac:dyDescent="0.3">
      <c r="A457" s="20">
        <v>46113</v>
      </c>
      <c r="B457" s="5">
        <f>IFERROR(DATEDIF(Launch_Dates!$B$3,A457,"m"),"")</f>
        <v>69</v>
      </c>
      <c r="C457">
        <v>1086101</v>
      </c>
    </row>
    <row r="458" spans="1:3" x14ac:dyDescent="0.3">
      <c r="A458" s="20">
        <v>46114</v>
      </c>
      <c r="B458" s="5">
        <f>IFERROR(DATEDIF(Launch_Dates!$B$3,A458,"m"),"")</f>
        <v>69</v>
      </c>
      <c r="C458">
        <v>948427</v>
      </c>
    </row>
    <row r="459" spans="1:3" x14ac:dyDescent="0.3">
      <c r="A459" s="20">
        <v>46115</v>
      </c>
      <c r="B459" s="5">
        <f>IFERROR(DATEDIF(Launch_Dates!$B$3,A459,"m"),"")</f>
        <v>69</v>
      </c>
      <c r="C459">
        <v>1093572</v>
      </c>
    </row>
    <row r="460" spans="1:3" x14ac:dyDescent="0.3">
      <c r="A460" s="20">
        <v>46116</v>
      </c>
      <c r="B460" s="5">
        <f>IFERROR(DATEDIF(Launch_Dates!$B$3,A460,"m"),"")</f>
        <v>69</v>
      </c>
      <c r="C460">
        <v>1095914</v>
      </c>
    </row>
    <row r="461" spans="1:3" x14ac:dyDescent="0.3">
      <c r="A461" s="20">
        <v>46117</v>
      </c>
      <c r="B461" s="5">
        <f>IFERROR(DATEDIF(Launch_Dates!$B$3,A461,"m"),"")</f>
        <v>69</v>
      </c>
      <c r="C461">
        <v>959075</v>
      </c>
    </row>
    <row r="462" spans="1:3" x14ac:dyDescent="0.3">
      <c r="A462" s="20">
        <v>46118</v>
      </c>
      <c r="B462" s="5">
        <f>IFERROR(DATEDIF(Launch_Dates!$B$3,A462,"m"),"")</f>
        <v>69</v>
      </c>
      <c r="C462">
        <v>1100515</v>
      </c>
    </row>
    <row r="463" spans="1:3" x14ac:dyDescent="0.3">
      <c r="A463" s="20">
        <v>46119</v>
      </c>
      <c r="B463" s="5">
        <f>IFERROR(DATEDIF(Launch_Dates!$B$3,A463,"m"),"")</f>
        <v>69</v>
      </c>
      <c r="C463">
        <v>965775</v>
      </c>
    </row>
    <row r="464" spans="1:3" x14ac:dyDescent="0.3">
      <c r="A464" s="20">
        <v>46120</v>
      </c>
      <c r="B464" s="5">
        <f>IFERROR(DATEDIF(Launch_Dates!$B$3,A464,"m"),"")</f>
        <v>69</v>
      </c>
      <c r="C464">
        <v>1105656</v>
      </c>
    </row>
    <row r="465" spans="1:3" x14ac:dyDescent="0.3">
      <c r="A465" s="20">
        <v>46121</v>
      </c>
      <c r="B465" s="5">
        <f>IFERROR(DATEDIF(Launch_Dates!$B$3,A465,"m"),"")</f>
        <v>69</v>
      </c>
      <c r="C465">
        <v>1110802</v>
      </c>
    </row>
    <row r="466" spans="1:3" x14ac:dyDescent="0.3">
      <c r="A466" s="20">
        <v>46122</v>
      </c>
      <c r="B466" s="5">
        <f>IFERROR(DATEDIF(Launch_Dates!$B$3,A466,"m"),"")</f>
        <v>69</v>
      </c>
      <c r="C466">
        <v>976250</v>
      </c>
    </row>
    <row r="467" spans="1:3" x14ac:dyDescent="0.3">
      <c r="A467" s="20">
        <v>46123</v>
      </c>
      <c r="B467" s="5">
        <f>IFERROR(DATEDIF(Launch_Dates!$B$3,A467,"m"),"")</f>
        <v>69</v>
      </c>
      <c r="C467">
        <v>1119043</v>
      </c>
    </row>
    <row r="468" spans="1:3" x14ac:dyDescent="0.3">
      <c r="A468" s="20">
        <v>46124</v>
      </c>
      <c r="B468" s="5">
        <f>IFERROR(DATEDIF(Launch_Dates!$B$3,A468,"m"),"")</f>
        <v>69</v>
      </c>
      <c r="C468">
        <v>1122456</v>
      </c>
    </row>
    <row r="469" spans="1:3" x14ac:dyDescent="0.3">
      <c r="A469" s="20">
        <v>46125</v>
      </c>
      <c r="B469" s="5">
        <f>IFERROR(DATEDIF(Launch_Dates!$B$3,A469,"m"),"")</f>
        <v>69</v>
      </c>
      <c r="C469">
        <v>984386</v>
      </c>
    </row>
    <row r="470" spans="1:3" x14ac:dyDescent="0.3">
      <c r="A470" s="20">
        <v>46126</v>
      </c>
      <c r="B470" s="5">
        <f>IFERROR(DATEDIF(Launch_Dates!$B$3,A470,"m"),"")</f>
        <v>69</v>
      </c>
      <c r="C470">
        <v>987967</v>
      </c>
    </row>
    <row r="471" spans="1:3" x14ac:dyDescent="0.3">
      <c r="A471" s="20">
        <v>46127</v>
      </c>
      <c r="B471" s="5">
        <f>IFERROR(DATEDIF(Launch_Dates!$B$3,A471,"m"),"")</f>
        <v>69</v>
      </c>
      <c r="C471">
        <v>1133415</v>
      </c>
    </row>
    <row r="472" spans="1:3" x14ac:dyDescent="0.3">
      <c r="A472" s="20">
        <v>46128</v>
      </c>
      <c r="B472" s="5">
        <f>IFERROR(DATEDIF(Launch_Dates!$B$3,A472,"m"),"")</f>
        <v>69</v>
      </c>
      <c r="C472">
        <v>1134982</v>
      </c>
    </row>
    <row r="473" spans="1:3" x14ac:dyDescent="0.3">
      <c r="A473" s="20">
        <v>46129</v>
      </c>
      <c r="B473" s="5">
        <f>IFERROR(DATEDIF(Launch_Dates!$B$3,A473,"m"),"")</f>
        <v>69</v>
      </c>
      <c r="C473">
        <v>1129857</v>
      </c>
    </row>
    <row r="474" spans="1:3" x14ac:dyDescent="0.3">
      <c r="A474" s="20">
        <v>46130</v>
      </c>
      <c r="B474" s="5">
        <f>IFERROR(DATEDIF(Launch_Dates!$B$3,A474,"m"),"")</f>
        <v>69</v>
      </c>
      <c r="C474">
        <v>1140438</v>
      </c>
    </row>
    <row r="475" spans="1:3" x14ac:dyDescent="0.3">
      <c r="A475" s="20">
        <v>46131</v>
      </c>
      <c r="B475" s="5">
        <f>IFERROR(DATEDIF(Launch_Dates!$B$3,A475,"m"),"")</f>
        <v>69</v>
      </c>
      <c r="C475">
        <v>1142807</v>
      </c>
    </row>
    <row r="476" spans="1:3" x14ac:dyDescent="0.3">
      <c r="A476" s="20">
        <v>46132</v>
      </c>
      <c r="B476" s="5">
        <f>IFERROR(DATEDIF(Launch_Dates!$B$3,A476,"m"),"")</f>
        <v>69</v>
      </c>
      <c r="C476">
        <v>1145639</v>
      </c>
    </row>
    <row r="477" spans="1:3" x14ac:dyDescent="0.3">
      <c r="A477" s="20">
        <v>46133</v>
      </c>
      <c r="B477" s="5">
        <f>IFERROR(DATEDIF(Launch_Dates!$B$3,A477,"m"),"")</f>
        <v>69</v>
      </c>
      <c r="C477">
        <v>1154100</v>
      </c>
    </row>
    <row r="478" spans="1:3" x14ac:dyDescent="0.3">
      <c r="A478" s="20">
        <v>46134</v>
      </c>
      <c r="B478" s="5">
        <f>IFERROR(DATEDIF(Launch_Dates!$B$3,A478,"m"),"")</f>
        <v>69</v>
      </c>
      <c r="C478">
        <v>1157706</v>
      </c>
    </row>
    <row r="479" spans="1:3" x14ac:dyDescent="0.3">
      <c r="A479" s="20">
        <v>46135</v>
      </c>
      <c r="B479" s="5">
        <f>IFERROR(DATEDIF(Launch_Dates!$B$3,A479,"m"),"")</f>
        <v>69</v>
      </c>
      <c r="C479">
        <v>1164450</v>
      </c>
    </row>
    <row r="480" spans="1:3" x14ac:dyDescent="0.3">
      <c r="A480" s="20">
        <v>46136</v>
      </c>
      <c r="B480" s="5">
        <f>IFERROR(DATEDIF(Launch_Dates!$B$3,A480,"m"),"")</f>
        <v>69</v>
      </c>
      <c r="C480">
        <v>1170880</v>
      </c>
    </row>
    <row r="481" spans="1:3" x14ac:dyDescent="0.3">
      <c r="A481" s="20">
        <v>46137</v>
      </c>
      <c r="B481" s="5">
        <f>IFERROR(DATEDIF(Launch_Dates!$B$3,A481,"m"),"")</f>
        <v>69</v>
      </c>
      <c r="C481">
        <v>1177838</v>
      </c>
    </row>
    <row r="482" spans="1:3" x14ac:dyDescent="0.3">
      <c r="A482" s="20">
        <v>46138</v>
      </c>
      <c r="B482" s="5">
        <f>IFERROR(DATEDIF(Launch_Dates!$B$3,A482,"m"),"")</f>
        <v>69</v>
      </c>
      <c r="C482">
        <v>1182197</v>
      </c>
    </row>
    <row r="483" spans="1:3" x14ac:dyDescent="0.3">
      <c r="A483" s="20">
        <v>46139</v>
      </c>
      <c r="B483" s="5">
        <f>IFERROR(DATEDIF(Launch_Dates!$B$3,A483,"m"),"")</f>
        <v>69</v>
      </c>
      <c r="C483">
        <v>1185973</v>
      </c>
    </row>
    <row r="484" spans="1:3" x14ac:dyDescent="0.3">
      <c r="A484" s="20">
        <v>46140</v>
      </c>
      <c r="B484" s="5">
        <f>IFERROR(DATEDIF(Launch_Dates!$B$3,A484,"m"),"")</f>
        <v>69</v>
      </c>
      <c r="C484">
        <v>1190596</v>
      </c>
    </row>
    <row r="485" spans="1:3" x14ac:dyDescent="0.3">
      <c r="A485" s="20">
        <v>46141</v>
      </c>
      <c r="B485" s="5">
        <f>IFERROR(DATEDIF(Launch_Dates!$B$3,A485,"m"),"")</f>
        <v>69</v>
      </c>
      <c r="C485">
        <v>1193360</v>
      </c>
    </row>
    <row r="486" spans="1:3" x14ac:dyDescent="0.3">
      <c r="A486" s="20">
        <v>46142</v>
      </c>
      <c r="B486" s="5">
        <f>IFERROR(DATEDIF(Launch_Dates!$B$3,A486,"m"),"")</f>
        <v>69</v>
      </c>
      <c r="C486">
        <v>1187920</v>
      </c>
    </row>
    <row r="487" spans="1:3" x14ac:dyDescent="0.3">
      <c r="A487" s="20">
        <v>46143</v>
      </c>
      <c r="B487" s="5">
        <f>IFERROR(DATEDIF(Launch_Dates!$B$3,A487,"m"),"")</f>
        <v>70</v>
      </c>
      <c r="C487">
        <v>1184388</v>
      </c>
    </row>
    <row r="488" spans="1:3" x14ac:dyDescent="0.3">
      <c r="A488" s="20">
        <v>46144</v>
      </c>
      <c r="B488" s="5">
        <f>IFERROR(DATEDIF(Launch_Dates!$B$3,A488,"m"),"")</f>
        <v>70</v>
      </c>
      <c r="C488">
        <v>1187418</v>
      </c>
    </row>
    <row r="489" spans="1:3" x14ac:dyDescent="0.3">
      <c r="A489" s="20">
        <v>46145</v>
      </c>
      <c r="B489" s="5">
        <f>IFERROR(DATEDIF(Launch_Dates!$B$3,A489,"m"),"")</f>
        <v>70</v>
      </c>
      <c r="C489">
        <v>1190530</v>
      </c>
    </row>
    <row r="490" spans="1:3" x14ac:dyDescent="0.3">
      <c r="A490" s="20">
        <v>46146</v>
      </c>
      <c r="B490" s="5">
        <f>IFERROR(DATEDIF(Launch_Dates!$B$3,A490,"m"),"")</f>
        <v>70</v>
      </c>
      <c r="C490">
        <v>1194892</v>
      </c>
    </row>
    <row r="491" spans="1:3" x14ac:dyDescent="0.3">
      <c r="A491" s="20">
        <v>46147</v>
      </c>
      <c r="B491" s="5">
        <f>IFERROR(DATEDIF(Launch_Dates!$B$3,A491,"m"),"")</f>
        <v>70</v>
      </c>
      <c r="C491">
        <v>1198755</v>
      </c>
    </row>
    <row r="492" spans="1:3" x14ac:dyDescent="0.3">
      <c r="A492" s="20">
        <v>46148</v>
      </c>
      <c r="B492" s="5">
        <f>IFERROR(DATEDIF(Launch_Dates!$B$3,A492,"m"),"")</f>
        <v>70</v>
      </c>
      <c r="C492">
        <v>1201249</v>
      </c>
    </row>
    <row r="493" spans="1:3" x14ac:dyDescent="0.3">
      <c r="A493" s="20">
        <v>46149</v>
      </c>
      <c r="B493" s="5">
        <f>IFERROR(DATEDIF(Launch_Dates!$B$3,A493,"m"),"")</f>
        <v>70</v>
      </c>
      <c r="C493">
        <v>1197908</v>
      </c>
    </row>
    <row r="494" spans="1:3" x14ac:dyDescent="0.3">
      <c r="A494" s="20">
        <v>46150</v>
      </c>
      <c r="B494" s="5">
        <f>IFERROR(DATEDIF(Launch_Dates!$B$3,A494,"m"),"")</f>
        <v>70</v>
      </c>
      <c r="C494">
        <v>1194318</v>
      </c>
    </row>
    <row r="495" spans="1:3" x14ac:dyDescent="0.3">
      <c r="A495" s="20">
        <v>46151</v>
      </c>
      <c r="B495" s="5">
        <f>IFERROR(DATEDIF(Launch_Dates!$B$3,A495,"m"),"")</f>
        <v>70</v>
      </c>
      <c r="C495">
        <v>1196497</v>
      </c>
    </row>
    <row r="496" spans="1:3" x14ac:dyDescent="0.3">
      <c r="A496" s="20">
        <v>46152</v>
      </c>
      <c r="B496" s="5">
        <f>IFERROR(DATEDIF(Launch_Dates!$B$3,A496,"m"),"")</f>
        <v>70</v>
      </c>
      <c r="C496">
        <v>1197857</v>
      </c>
    </row>
    <row r="497" spans="1:3" x14ac:dyDescent="0.3">
      <c r="A497" s="20">
        <v>46153</v>
      </c>
      <c r="B497" s="5">
        <f>IFERROR(DATEDIF(Launch_Dates!$B$3,A497,"m"),"")</f>
        <v>70</v>
      </c>
      <c r="C497">
        <v>1202833</v>
      </c>
    </row>
    <row r="498" spans="1:3" x14ac:dyDescent="0.3">
      <c r="A498" s="20">
        <v>46154</v>
      </c>
      <c r="B498" s="5">
        <f>IFERROR(DATEDIF(Launch_Dates!$B$3,A498,"m"),"")</f>
        <v>70</v>
      </c>
      <c r="C498">
        <v>1207169</v>
      </c>
    </row>
    <row r="499" spans="1:3" x14ac:dyDescent="0.3">
      <c r="A499" s="20">
        <v>46155</v>
      </c>
      <c r="B499" s="5">
        <f>IFERROR(DATEDIF(Launch_Dates!$B$3,A499,"m"),"")</f>
        <v>70</v>
      </c>
      <c r="C499">
        <v>1057514</v>
      </c>
    </row>
    <row r="500" spans="1:3" x14ac:dyDescent="0.3">
      <c r="A500" s="20">
        <v>46156</v>
      </c>
      <c r="B500" s="5">
        <f>IFERROR(DATEDIF(Launch_Dates!$B$3,A500,"m"),"")</f>
        <v>70</v>
      </c>
      <c r="C500">
        <v>1216210</v>
      </c>
    </row>
    <row r="501" spans="1:3" x14ac:dyDescent="0.3">
      <c r="A501" s="20">
        <v>46157</v>
      </c>
      <c r="B501" s="5">
        <f>IFERROR(DATEDIF(Launch_Dates!$B$3,A501,"m"),"")</f>
        <v>70</v>
      </c>
      <c r="C501">
        <v>1218717</v>
      </c>
    </row>
    <row r="502" spans="1:3" x14ac:dyDescent="0.3">
      <c r="A502" s="20">
        <v>46158</v>
      </c>
      <c r="B502" s="5">
        <f>IFERROR(DATEDIF(Launch_Dates!$B$3,A502,"m"),"")</f>
        <v>70</v>
      </c>
      <c r="C502">
        <v>1218082</v>
      </c>
    </row>
    <row r="503" spans="1:3" x14ac:dyDescent="0.3">
      <c r="A503" s="20">
        <v>46159</v>
      </c>
      <c r="B503" s="5">
        <f>IFERROR(DATEDIF(Launch_Dates!$B$3,A503,"m"),"")</f>
        <v>70</v>
      </c>
      <c r="C503">
        <v>1220141</v>
      </c>
    </row>
    <row r="504" spans="1:3" x14ac:dyDescent="0.3">
      <c r="A504" s="20">
        <v>46160</v>
      </c>
      <c r="B504" s="5">
        <f>IFERROR(DATEDIF(Launch_Dates!$B$3,A504,"m"),"")</f>
        <v>70</v>
      </c>
      <c r="C504">
        <v>1222043</v>
      </c>
    </row>
    <row r="505" spans="1:3" x14ac:dyDescent="0.3">
      <c r="A505" s="20">
        <v>46161</v>
      </c>
      <c r="B505" s="5">
        <f>IFERROR(DATEDIF(Launch_Dates!$B$3,A505,"m"),"")</f>
        <v>70</v>
      </c>
      <c r="C505">
        <v>1073372</v>
      </c>
    </row>
    <row r="506" spans="1:3" x14ac:dyDescent="0.3">
      <c r="A506" s="20">
        <v>46162</v>
      </c>
      <c r="B506" s="5">
        <f>IFERROR(DATEDIF(Launch_Dates!$B$3,A506,"m"),"")</f>
        <v>70</v>
      </c>
      <c r="C506">
        <v>1229395</v>
      </c>
    </row>
    <row r="507" spans="1:3" x14ac:dyDescent="0.3">
      <c r="A507" s="20">
        <v>46163</v>
      </c>
      <c r="B507" s="5">
        <f>IFERROR(DATEDIF(Launch_Dates!$B$3,A507,"m"),"")</f>
        <v>70</v>
      </c>
      <c r="C507">
        <v>1234197</v>
      </c>
    </row>
    <row r="508" spans="1:3" x14ac:dyDescent="0.3">
      <c r="A508" s="20">
        <v>46164</v>
      </c>
      <c r="B508" s="5">
        <f>IFERROR(DATEDIF(Launch_Dates!$B$3,A508,"m"),"")</f>
        <v>70</v>
      </c>
      <c r="C508">
        <v>1238542</v>
      </c>
    </row>
    <row r="509" spans="1:3" x14ac:dyDescent="0.3">
      <c r="A509" s="20">
        <v>46165</v>
      </c>
      <c r="B509" s="5">
        <f>IFERROR(DATEDIF(Launch_Dates!$B$3,A509,"m"),"")</f>
        <v>70</v>
      </c>
      <c r="C509">
        <v>1243900</v>
      </c>
    </row>
    <row r="510" spans="1:3" x14ac:dyDescent="0.3">
      <c r="A510" s="20">
        <v>46166</v>
      </c>
      <c r="B510" s="5">
        <f>IFERROR(DATEDIF(Launch_Dates!$B$3,A510,"m"),"")</f>
        <v>70</v>
      </c>
      <c r="C510">
        <v>1246182</v>
      </c>
    </row>
    <row r="511" spans="1:3" x14ac:dyDescent="0.3">
      <c r="A511" s="20">
        <v>46167</v>
      </c>
      <c r="B511" s="5">
        <f>IFERROR(DATEDIF(Launch_Dates!$B$3,A511,"m"),"")</f>
        <v>70</v>
      </c>
      <c r="C511">
        <v>1250279</v>
      </c>
    </row>
    <row r="512" spans="1:3" x14ac:dyDescent="0.3">
      <c r="A512" s="20">
        <v>46168</v>
      </c>
      <c r="B512" s="5">
        <f>IFERROR(DATEDIF(Launch_Dates!$B$3,A512,"m"),"")</f>
        <v>70</v>
      </c>
      <c r="C512">
        <v>1254908</v>
      </c>
    </row>
    <row r="513" spans="1:3" x14ac:dyDescent="0.3">
      <c r="A513" s="20">
        <v>46169</v>
      </c>
      <c r="B513" s="5">
        <f>IFERROR(DATEDIF(Launch_Dates!$B$3,A513,"m"),"")</f>
        <v>70</v>
      </c>
      <c r="C513">
        <v>1258507</v>
      </c>
    </row>
    <row r="514" spans="1:3" x14ac:dyDescent="0.3">
      <c r="A514" s="20">
        <v>46170</v>
      </c>
      <c r="B514" s="5">
        <f>IFERROR(DATEDIF(Launch_Dates!$B$3,A514,"m"),"")</f>
        <v>70</v>
      </c>
      <c r="C514">
        <v>1259973</v>
      </c>
    </row>
    <row r="515" spans="1:3" x14ac:dyDescent="0.3">
      <c r="A515" s="20">
        <v>46171</v>
      </c>
      <c r="B515" s="5">
        <f>IFERROR(DATEDIF(Launch_Dates!$B$3,A515,"m"),"")</f>
        <v>70</v>
      </c>
      <c r="C515">
        <v>1259973</v>
      </c>
    </row>
    <row r="516" spans="1:3" x14ac:dyDescent="0.3">
      <c r="A516" s="20">
        <v>46172</v>
      </c>
      <c r="B516" s="5">
        <f>IFERROR(DATEDIF(Launch_Dates!$B$3,A516,"m"),"")</f>
        <v>70</v>
      </c>
      <c r="C516">
        <v>1252084</v>
      </c>
    </row>
    <row r="517" spans="1:3" x14ac:dyDescent="0.3">
      <c r="A517" s="20">
        <v>46173</v>
      </c>
      <c r="B517" s="5">
        <f>IFERROR(DATEDIF(Launch_Dates!$B$3,A517,"m"),"")</f>
        <v>70</v>
      </c>
      <c r="C517">
        <v>1252022</v>
      </c>
    </row>
    <row r="518" spans="1:3" x14ac:dyDescent="0.3">
      <c r="A518" s="20">
        <v>46174</v>
      </c>
      <c r="B518" s="5">
        <f>IFERROR(DATEDIF(Launch_Dates!$B$3,A518,"m"),"")</f>
        <v>71</v>
      </c>
      <c r="C518">
        <v>1252216</v>
      </c>
    </row>
    <row r="519" spans="1:3" x14ac:dyDescent="0.3">
      <c r="A519" s="20">
        <v>46175</v>
      </c>
      <c r="B519" s="5">
        <f>IFERROR(DATEDIF(Launch_Dates!$B$3,A519,"m"),"")</f>
        <v>71</v>
      </c>
      <c r="C519">
        <v>1256926</v>
      </c>
    </row>
    <row r="520" spans="1:3" x14ac:dyDescent="0.3">
      <c r="A520" s="20">
        <v>46176</v>
      </c>
      <c r="B520" s="5">
        <f>IFERROR(DATEDIF(Launch_Dates!$B$3,A520,"m"),"")</f>
        <v>71</v>
      </c>
      <c r="C520">
        <v>1268039</v>
      </c>
    </row>
    <row r="521" spans="1:3" x14ac:dyDescent="0.3">
      <c r="A521" s="20">
        <v>46177</v>
      </c>
      <c r="B521" s="5">
        <f>IFERROR(DATEDIF(Launch_Dates!$B$3,A521,"m"),"")</f>
        <v>71</v>
      </c>
      <c r="C521">
        <v>1268908</v>
      </c>
    </row>
    <row r="522" spans="1:3" x14ac:dyDescent="0.3">
      <c r="A522" s="20">
        <v>46178</v>
      </c>
      <c r="B522" s="5">
        <f>IFERROR(DATEDIF(Launch_Dates!$B$3,A522,"m"),"")</f>
        <v>71</v>
      </c>
      <c r="C522">
        <v>1272009</v>
      </c>
    </row>
    <row r="523" spans="1:3" x14ac:dyDescent="0.3">
      <c r="A523" s="20">
        <v>46179</v>
      </c>
      <c r="B523" s="5">
        <f>IFERROR(DATEDIF(Launch_Dates!$B$3,A523,"m"),"")</f>
        <v>71</v>
      </c>
      <c r="C523">
        <v>1272502</v>
      </c>
    </row>
    <row r="524" spans="1:3" x14ac:dyDescent="0.3">
      <c r="A524" s="20">
        <v>46180</v>
      </c>
      <c r="B524" s="5">
        <f>IFERROR(DATEDIF(Launch_Dates!$B$3,A524,"m"),"")</f>
        <v>71</v>
      </c>
      <c r="C524">
        <v>1116727</v>
      </c>
    </row>
    <row r="525" spans="1:3" x14ac:dyDescent="0.3">
      <c r="A525" s="20">
        <v>46181</v>
      </c>
      <c r="B525" s="5">
        <f>IFERROR(DATEDIF(Launch_Dates!$B$3,A525,"m"),"")</f>
        <v>71</v>
      </c>
      <c r="C525">
        <v>1280032</v>
      </c>
    </row>
    <row r="526" spans="1:3" x14ac:dyDescent="0.3">
      <c r="A526" s="20">
        <v>46182</v>
      </c>
      <c r="B526" s="5">
        <f>IFERROR(DATEDIF(Launch_Dates!$B$3,A526,"m"),"")</f>
        <v>71</v>
      </c>
      <c r="C526">
        <v>1282245</v>
      </c>
    </row>
    <row r="527" spans="1:3" x14ac:dyDescent="0.3">
      <c r="A527" s="20">
        <v>46183</v>
      </c>
      <c r="B527" s="5">
        <f>IFERROR(DATEDIF(Launch_Dates!$B$3,A527,"m"),"")</f>
        <v>71</v>
      </c>
      <c r="C527">
        <v>1285313</v>
      </c>
    </row>
    <row r="528" spans="1:3" x14ac:dyDescent="0.3">
      <c r="A528" s="20">
        <v>46184</v>
      </c>
      <c r="B528" s="5">
        <f>IFERROR(DATEDIF(Launch_Dates!$B$3,A528,"m"),"")</f>
        <v>71</v>
      </c>
      <c r="C528">
        <v>1289120</v>
      </c>
    </row>
    <row r="529" spans="1:3" x14ac:dyDescent="0.3">
      <c r="A529" s="20">
        <v>46185</v>
      </c>
      <c r="B529" s="5">
        <f>IFERROR(DATEDIF(Launch_Dates!$B$3,A529,"m"),"")</f>
        <v>71</v>
      </c>
      <c r="C529">
        <v>1292790</v>
      </c>
    </row>
    <row r="530" spans="1:3" x14ac:dyDescent="0.3">
      <c r="A530" s="20">
        <v>46186</v>
      </c>
      <c r="B530" s="5">
        <f>IFERROR(DATEDIF(Launch_Dates!$B$3,A530,"m"),"")</f>
        <v>71</v>
      </c>
      <c r="C530">
        <v>1296711</v>
      </c>
    </row>
    <row r="531" spans="1:3" x14ac:dyDescent="0.3">
      <c r="A531" s="20">
        <v>46187</v>
      </c>
      <c r="B531" s="5">
        <f>IFERROR(DATEDIF(Launch_Dates!$B$3,A531,"m"),"")</f>
        <v>71</v>
      </c>
      <c r="C531">
        <v>1298588</v>
      </c>
    </row>
    <row r="532" spans="1:3" x14ac:dyDescent="0.3">
      <c r="A532" s="20">
        <v>46188</v>
      </c>
      <c r="B532" s="5">
        <f>IFERROR(DATEDIF(Launch_Dates!$B$3,A532,"m"),"")</f>
        <v>71</v>
      </c>
      <c r="C532">
        <v>1135386</v>
      </c>
    </row>
    <row r="533" spans="1:3" x14ac:dyDescent="0.3">
      <c r="A533" s="20">
        <v>46189</v>
      </c>
      <c r="B533" s="5">
        <f>IFERROR(DATEDIF(Launch_Dates!$B$3,A533,"m"),"")</f>
        <v>71</v>
      </c>
      <c r="C533">
        <v>1303153</v>
      </c>
    </row>
    <row r="534" spans="1:3" x14ac:dyDescent="0.3">
      <c r="A534" s="20">
        <v>46190</v>
      </c>
      <c r="B534" s="5">
        <f>IFERROR(DATEDIF(Launch_Dates!$B$3,A534,"m"),"")</f>
        <v>71</v>
      </c>
      <c r="C534">
        <v>1308465</v>
      </c>
    </row>
    <row r="535" spans="1:3" x14ac:dyDescent="0.3">
      <c r="A535" s="20">
        <v>46191</v>
      </c>
      <c r="B535" s="5">
        <f>IFERROR(DATEDIF(Launch_Dates!$B$3,A535,"m"),"")</f>
        <v>71</v>
      </c>
      <c r="C535">
        <v>1307757</v>
      </c>
    </row>
    <row r="536" spans="1:3" x14ac:dyDescent="0.3">
      <c r="A536" s="20">
        <v>46192</v>
      </c>
      <c r="B536" s="5">
        <f>IFERROR(DATEDIF(Launch_Dates!$B$3,A536,"m"),"")</f>
        <v>71</v>
      </c>
      <c r="C536">
        <v>1311331</v>
      </c>
    </row>
    <row r="537" spans="1:3" x14ac:dyDescent="0.3">
      <c r="A537" s="20">
        <v>46193</v>
      </c>
      <c r="B537" s="5">
        <f>IFERROR(DATEDIF(Launch_Dates!$B$3,A537,"m"),"")</f>
        <v>71</v>
      </c>
      <c r="C537">
        <v>1313273</v>
      </c>
    </row>
    <row r="538" spans="1:3" x14ac:dyDescent="0.3">
      <c r="A538" s="20">
        <v>46194</v>
      </c>
      <c r="B538" s="5">
        <f>IFERROR(DATEDIF(Launch_Dates!$B$3,A538,"m"),"")</f>
        <v>71</v>
      </c>
      <c r="C538">
        <v>1317735</v>
      </c>
    </row>
    <row r="539" spans="1:3" x14ac:dyDescent="0.3">
      <c r="A539" s="20">
        <v>46195</v>
      </c>
      <c r="B539" s="5">
        <f>IFERROR(DATEDIF(Launch_Dates!$B$3,A539,"m"),"")</f>
        <v>71</v>
      </c>
      <c r="C539">
        <v>1320542</v>
      </c>
    </row>
    <row r="540" spans="1:3" x14ac:dyDescent="0.3">
      <c r="A540" s="20">
        <v>46196</v>
      </c>
      <c r="B540" s="5">
        <f>IFERROR(DATEDIF(Launch_Dates!$B$3,A540,"m"),"")</f>
        <v>71</v>
      </c>
      <c r="C540">
        <v>1323767</v>
      </c>
    </row>
    <row r="541" spans="1:3" x14ac:dyDescent="0.3">
      <c r="A541" s="20">
        <v>46197</v>
      </c>
      <c r="B541" s="5">
        <f>IFERROR(DATEDIF(Launch_Dates!$B$3,A541,"m"),"")</f>
        <v>71</v>
      </c>
      <c r="C541">
        <v>1325927</v>
      </c>
    </row>
    <row r="542" spans="1:3" x14ac:dyDescent="0.3">
      <c r="A542" s="20">
        <v>46198</v>
      </c>
      <c r="B542" s="5">
        <f>IFERROR(DATEDIF(Launch_Dates!$B$3,A542,"m"),"")</f>
        <v>71</v>
      </c>
      <c r="C542">
        <v>1329577</v>
      </c>
    </row>
    <row r="543" spans="1:3" x14ac:dyDescent="0.3">
      <c r="A543" s="20">
        <v>46199</v>
      </c>
      <c r="B543" s="5">
        <f>IFERROR(DATEDIF(Launch_Dates!$B$3,A543,"m"),"")</f>
        <v>71</v>
      </c>
      <c r="C543">
        <v>1333008</v>
      </c>
    </row>
    <row r="544" spans="1:3" x14ac:dyDescent="0.3">
      <c r="A544" s="20">
        <v>46200</v>
      </c>
      <c r="B544" s="5">
        <f>IFERROR(DATEDIF(Launch_Dates!$B$3,A544,"m"),"")</f>
        <v>71</v>
      </c>
      <c r="C544">
        <v>1334897</v>
      </c>
    </row>
    <row r="545" spans="1:3" x14ac:dyDescent="0.3">
      <c r="A545" s="20">
        <v>46201</v>
      </c>
      <c r="B545" s="5">
        <f>IFERROR(DATEDIF(Launch_Dates!$B$3,A545,"m"),"")</f>
        <v>71</v>
      </c>
      <c r="C545">
        <v>1338134</v>
      </c>
    </row>
    <row r="546" spans="1:3" x14ac:dyDescent="0.3">
      <c r="A546" s="20">
        <v>46202</v>
      </c>
      <c r="B546" s="5">
        <f>IFERROR(DATEDIF(Launch_Dates!$B$3,A546,"m"),"")</f>
        <v>71</v>
      </c>
      <c r="C546">
        <v>1341383</v>
      </c>
    </row>
    <row r="547" spans="1:3" x14ac:dyDescent="0.3">
      <c r="A547" s="20">
        <v>46203</v>
      </c>
      <c r="B547" s="5">
        <f>IFERROR(DATEDIF(Launch_Dates!$B$3,A547,"m"),"")</f>
        <v>71</v>
      </c>
      <c r="C547">
        <v>1347328</v>
      </c>
    </row>
    <row r="548" spans="1:3" x14ac:dyDescent="0.3">
      <c r="A548" s="20">
        <v>46204</v>
      </c>
      <c r="B548" s="5">
        <f>IFERROR(DATEDIF(Launch_Dates!$B$3,A548,"m"),"")</f>
        <v>72</v>
      </c>
      <c r="C548">
        <v>1345357</v>
      </c>
    </row>
    <row r="549" spans="1:3" x14ac:dyDescent="0.3">
      <c r="A549" s="20">
        <v>46205</v>
      </c>
      <c r="B549" s="5">
        <f>IFERROR(DATEDIF(Launch_Dates!$B$3,A549,"m"),"")</f>
        <v>72</v>
      </c>
      <c r="C549">
        <v>1348532</v>
      </c>
    </row>
    <row r="550" spans="1:3" x14ac:dyDescent="0.3">
      <c r="A550" s="20">
        <v>46206</v>
      </c>
      <c r="B550" s="5">
        <f>IFERROR(DATEDIF(Launch_Dates!$B$3,A550,"m"),"")</f>
        <v>72</v>
      </c>
      <c r="C550">
        <v>1351263</v>
      </c>
    </row>
    <row r="551" spans="1:3" x14ac:dyDescent="0.3">
      <c r="A551" s="20">
        <v>46207</v>
      </c>
      <c r="B551" s="5">
        <f>IFERROR(DATEDIF(Launch_Dates!$B$3,A551,"m"),"")</f>
        <v>72</v>
      </c>
      <c r="C551">
        <v>1355891</v>
      </c>
    </row>
    <row r="552" spans="1:3" x14ac:dyDescent="0.3">
      <c r="A552" s="20">
        <v>46208</v>
      </c>
      <c r="B552" s="5">
        <f>IFERROR(DATEDIF(Launch_Dates!$B$3,A552,"m"),"")</f>
        <v>72</v>
      </c>
      <c r="C552">
        <v>1359486</v>
      </c>
    </row>
    <row r="553" spans="1:3" x14ac:dyDescent="0.3">
      <c r="A553" s="20">
        <v>46209</v>
      </c>
      <c r="B553" s="5">
        <f>IFERROR(DATEDIF(Launch_Dates!$B$3,A553,"m"),"")</f>
        <v>72</v>
      </c>
      <c r="C553">
        <v>1362765</v>
      </c>
    </row>
    <row r="554" spans="1:3" x14ac:dyDescent="0.3">
      <c r="A554" s="20">
        <v>46210</v>
      </c>
      <c r="B554" s="5">
        <f>IFERROR(DATEDIF(Launch_Dates!$B$3,A554,"m"),"")</f>
        <v>72</v>
      </c>
      <c r="C554">
        <v>1366030</v>
      </c>
    </row>
    <row r="555" spans="1:3" x14ac:dyDescent="0.3">
      <c r="A555" s="20">
        <v>46211</v>
      </c>
      <c r="B555" s="5">
        <f>IFERROR(DATEDIF(Launch_Dates!$B$3,A555,"m"),"")</f>
        <v>72</v>
      </c>
      <c r="C555">
        <v>1366639</v>
      </c>
    </row>
    <row r="556" spans="1:3" x14ac:dyDescent="0.3">
      <c r="A556" s="20">
        <v>46212</v>
      </c>
      <c r="B556" s="5">
        <f>IFERROR(DATEDIF(Launch_Dates!$B$3,A556,"m"),"")</f>
        <v>72</v>
      </c>
      <c r="C556">
        <v>1369272</v>
      </c>
    </row>
    <row r="557" spans="1:3" x14ac:dyDescent="0.3">
      <c r="A557" s="20">
        <v>46213</v>
      </c>
      <c r="B557" s="5">
        <f>IFERROR(DATEDIF(Launch_Dates!$B$3,A557,"m"),"")</f>
        <v>72</v>
      </c>
      <c r="C557">
        <v>1374140</v>
      </c>
    </row>
    <row r="558" spans="1:3" x14ac:dyDescent="0.3">
      <c r="A558" s="20">
        <v>46214</v>
      </c>
      <c r="B558" s="5">
        <f>IFERROR(DATEDIF(Launch_Dates!$B$3,A558,"m"),"")</f>
        <v>72</v>
      </c>
      <c r="C558">
        <v>1378833</v>
      </c>
    </row>
    <row r="559" spans="1:3" x14ac:dyDescent="0.3">
      <c r="A559" s="20">
        <v>46215</v>
      </c>
      <c r="B559" s="5">
        <f>IFERROR(DATEDIF(Launch_Dates!$B$3,A559,"m"),"")</f>
        <v>72</v>
      </c>
      <c r="C559">
        <v>1204805</v>
      </c>
    </row>
    <row r="560" spans="1:3" x14ac:dyDescent="0.3">
      <c r="A560" s="20">
        <v>46216</v>
      </c>
      <c r="B560" s="5">
        <f>IFERROR(DATEDIF(Launch_Dates!$B$3,A560,"m"),"")</f>
        <v>72</v>
      </c>
      <c r="C560">
        <v>1385016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D44C8-A658-47B9-9F29-93F1418E65D3}">
  <dimension ref="A1:N140"/>
  <sheetViews>
    <sheetView topLeftCell="A133" zoomScaleNormal="100" workbookViewId="0">
      <selection activeCell="D65" sqref="D65"/>
    </sheetView>
  </sheetViews>
  <sheetFormatPr defaultRowHeight="14.4" x14ac:dyDescent="0.3"/>
  <cols>
    <col min="1" max="1" width="9.6640625" bestFit="1" customWidth="1"/>
    <col min="2" max="2" width="20.6640625" style="5" bestFit="1" customWidth="1"/>
    <col min="3" max="3" width="28.21875" bestFit="1" customWidth="1"/>
    <col min="4" max="4" width="13.5546875" bestFit="1" customWidth="1"/>
    <col min="5" max="6" width="14.88671875" bestFit="1" customWidth="1"/>
    <col min="7" max="7" width="13.5546875" bestFit="1" customWidth="1"/>
    <col min="8" max="8" width="25.88671875" style="29" bestFit="1" customWidth="1"/>
    <col min="9" max="9" width="16.77734375" bestFit="1" customWidth="1"/>
    <col min="10" max="10" width="25" bestFit="1" customWidth="1"/>
    <col min="11" max="11" width="35.21875" customWidth="1"/>
    <col min="12" max="12" width="29.44140625" style="5" bestFit="1" customWidth="1"/>
    <col min="13" max="13" width="12" style="5" customWidth="1"/>
    <col min="14" max="14" width="33.33203125" style="5" customWidth="1"/>
  </cols>
  <sheetData>
    <row r="1" spans="1:14" x14ac:dyDescent="0.3">
      <c r="A1" s="9" t="s">
        <v>216</v>
      </c>
      <c r="B1" s="14" t="s">
        <v>377</v>
      </c>
      <c r="C1" s="9" t="s">
        <v>359</v>
      </c>
      <c r="D1" s="9" t="s">
        <v>384</v>
      </c>
      <c r="F1" s="15" t="s">
        <v>0</v>
      </c>
      <c r="G1" s="15" t="s">
        <v>388</v>
      </c>
      <c r="H1" s="28" t="s">
        <v>389</v>
      </c>
      <c r="K1" s="16" t="s">
        <v>201</v>
      </c>
      <c r="L1" s="18" t="s">
        <v>286</v>
      </c>
      <c r="M1" s="18" t="s">
        <v>58</v>
      </c>
      <c r="N1" s="18" t="s">
        <v>403</v>
      </c>
    </row>
    <row r="2" spans="1:14" x14ac:dyDescent="0.3">
      <c r="A2" t="s">
        <v>195</v>
      </c>
      <c r="B2" s="5">
        <v>75</v>
      </c>
      <c r="C2" t="s">
        <v>385</v>
      </c>
      <c r="D2" s="7">
        <v>1520925954</v>
      </c>
      <c r="F2" t="s">
        <v>6</v>
      </c>
      <c r="G2" t="s">
        <v>390</v>
      </c>
      <c r="H2" s="29">
        <v>341.50038254800154</v>
      </c>
      <c r="K2" t="s">
        <v>287</v>
      </c>
      <c r="L2" s="5">
        <v>46107</v>
      </c>
      <c r="M2" s="5" t="s">
        <v>288</v>
      </c>
      <c r="N2" s="5">
        <v>-114</v>
      </c>
    </row>
    <row r="3" spans="1:14" x14ac:dyDescent="0.3">
      <c r="A3" t="s">
        <v>195</v>
      </c>
      <c r="B3" s="5">
        <v>76</v>
      </c>
      <c r="C3" t="s">
        <v>385</v>
      </c>
      <c r="D3" s="7">
        <v>1494386712</v>
      </c>
      <c r="F3" t="s">
        <v>6</v>
      </c>
      <c r="G3" t="s">
        <v>391</v>
      </c>
      <c r="H3" s="29">
        <v>90.418541946583701</v>
      </c>
      <c r="K3" t="s">
        <v>404</v>
      </c>
      <c r="L3" s="5">
        <v>46023</v>
      </c>
      <c r="M3" s="5" t="s">
        <v>289</v>
      </c>
      <c r="N3" s="5">
        <v>-198</v>
      </c>
    </row>
    <row r="4" spans="1:14" x14ac:dyDescent="0.3">
      <c r="A4" t="s">
        <v>195</v>
      </c>
      <c r="B4" s="5">
        <v>77</v>
      </c>
      <c r="C4" t="s">
        <v>385</v>
      </c>
      <c r="D4" s="7">
        <v>1564131601</v>
      </c>
      <c r="F4" t="s">
        <v>6</v>
      </c>
      <c r="G4" t="s">
        <v>392</v>
      </c>
      <c r="H4" s="29">
        <v>168.80551107535061</v>
      </c>
      <c r="K4" t="s">
        <v>405</v>
      </c>
      <c r="L4" s="5">
        <v>46569</v>
      </c>
      <c r="M4" s="5" t="s">
        <v>289</v>
      </c>
      <c r="N4" s="5">
        <v>348</v>
      </c>
    </row>
    <row r="5" spans="1:14" x14ac:dyDescent="0.3">
      <c r="A5" t="s">
        <v>195</v>
      </c>
      <c r="B5" s="5">
        <v>78</v>
      </c>
      <c r="C5" t="s">
        <v>385</v>
      </c>
      <c r="D5" s="7">
        <v>1581848583</v>
      </c>
      <c r="F5" t="s">
        <v>37</v>
      </c>
      <c r="G5" t="s">
        <v>390</v>
      </c>
      <c r="H5" s="29">
        <v>375.95938868483023</v>
      </c>
    </row>
    <row r="6" spans="1:14" x14ac:dyDescent="0.3">
      <c r="A6" t="s">
        <v>195</v>
      </c>
      <c r="B6" s="5">
        <v>79</v>
      </c>
      <c r="C6" t="s">
        <v>385</v>
      </c>
      <c r="D6" s="7">
        <v>1603209493</v>
      </c>
      <c r="F6" t="s">
        <v>37</v>
      </c>
      <c r="G6" t="s">
        <v>391</v>
      </c>
      <c r="H6" s="29">
        <v>93.989847171207558</v>
      </c>
    </row>
    <row r="7" spans="1:14" x14ac:dyDescent="0.3">
      <c r="A7" t="s">
        <v>195</v>
      </c>
      <c r="B7" s="5">
        <v>80</v>
      </c>
      <c r="C7" t="s">
        <v>385</v>
      </c>
      <c r="D7" s="7">
        <v>1747365142</v>
      </c>
      <c r="F7" t="s">
        <v>37</v>
      </c>
      <c r="G7" t="s">
        <v>392</v>
      </c>
      <c r="H7" s="29">
        <v>169.18172490817363</v>
      </c>
    </row>
    <row r="8" spans="1:14" x14ac:dyDescent="0.3">
      <c r="A8" t="s">
        <v>195</v>
      </c>
      <c r="B8" s="5">
        <v>81</v>
      </c>
      <c r="C8" t="s">
        <v>385</v>
      </c>
      <c r="D8" s="7">
        <v>1747874987</v>
      </c>
      <c r="F8" t="s">
        <v>40</v>
      </c>
      <c r="G8" t="s">
        <v>390</v>
      </c>
      <c r="H8" s="29">
        <v>222.85671584904711</v>
      </c>
      <c r="K8" s="17" t="s">
        <v>0</v>
      </c>
      <c r="L8" s="19" t="s">
        <v>406</v>
      </c>
      <c r="M8" s="19" t="s">
        <v>407</v>
      </c>
    </row>
    <row r="9" spans="1:14" x14ac:dyDescent="0.3">
      <c r="A9" t="s">
        <v>195</v>
      </c>
      <c r="B9" s="5">
        <v>82</v>
      </c>
      <c r="C9" t="s">
        <v>385</v>
      </c>
      <c r="D9" s="7">
        <v>1853825146</v>
      </c>
      <c r="F9" t="s">
        <v>40</v>
      </c>
      <c r="G9" t="s">
        <v>391</v>
      </c>
      <c r="H9" s="29">
        <v>55.714178962261776</v>
      </c>
      <c r="K9" t="s">
        <v>6</v>
      </c>
      <c r="L9" s="5">
        <v>5</v>
      </c>
      <c r="M9" s="5">
        <v>5</v>
      </c>
    </row>
    <row r="10" spans="1:14" x14ac:dyDescent="0.3">
      <c r="A10" t="s">
        <v>195</v>
      </c>
      <c r="B10" s="5">
        <v>83</v>
      </c>
      <c r="C10" t="s">
        <v>385</v>
      </c>
      <c r="D10" s="7">
        <v>1909058414</v>
      </c>
      <c r="F10" t="s">
        <v>40</v>
      </c>
      <c r="G10" t="s">
        <v>392</v>
      </c>
      <c r="H10" s="29">
        <v>100.28552213207121</v>
      </c>
      <c r="K10" t="s">
        <v>37</v>
      </c>
      <c r="L10" s="5">
        <v>5</v>
      </c>
      <c r="M10" s="5">
        <v>5</v>
      </c>
    </row>
    <row r="11" spans="1:14" x14ac:dyDescent="0.3">
      <c r="A11" t="s">
        <v>195</v>
      </c>
      <c r="B11" s="5">
        <v>84</v>
      </c>
      <c r="C11" t="s">
        <v>385</v>
      </c>
      <c r="D11" s="7">
        <v>1780842248</v>
      </c>
      <c r="F11" t="s">
        <v>43</v>
      </c>
      <c r="G11" t="s">
        <v>390</v>
      </c>
      <c r="H11" s="29">
        <v>218.09497554954862</v>
      </c>
      <c r="K11" t="s">
        <v>40</v>
      </c>
      <c r="L11" s="5">
        <v>5</v>
      </c>
      <c r="M11" s="5">
        <v>4</v>
      </c>
    </row>
    <row r="12" spans="1:14" x14ac:dyDescent="0.3">
      <c r="A12" t="s">
        <v>195</v>
      </c>
      <c r="B12" s="5">
        <v>85</v>
      </c>
      <c r="C12" t="s">
        <v>385</v>
      </c>
      <c r="D12" s="7">
        <v>1990052545</v>
      </c>
      <c r="F12" t="s">
        <v>43</v>
      </c>
      <c r="G12" t="s">
        <v>391</v>
      </c>
      <c r="H12" s="29">
        <v>54.523743887387155</v>
      </c>
      <c r="K12" t="s">
        <v>43</v>
      </c>
      <c r="L12" s="5">
        <v>2</v>
      </c>
      <c r="M12" s="5">
        <v>3</v>
      </c>
    </row>
    <row r="13" spans="1:14" x14ac:dyDescent="0.3">
      <c r="A13" t="s">
        <v>195</v>
      </c>
      <c r="B13" s="5">
        <v>86</v>
      </c>
      <c r="C13" t="s">
        <v>385</v>
      </c>
      <c r="D13" s="7">
        <v>1952040978</v>
      </c>
      <c r="F13" t="s">
        <v>43</v>
      </c>
      <c r="G13" t="s">
        <v>392</v>
      </c>
      <c r="H13" s="29">
        <v>98.142738997296888</v>
      </c>
      <c r="K13" t="s">
        <v>46</v>
      </c>
      <c r="L13" s="5">
        <v>3</v>
      </c>
      <c r="M13" s="5">
        <v>3</v>
      </c>
    </row>
    <row r="14" spans="1:14" x14ac:dyDescent="0.3">
      <c r="A14" t="s">
        <v>195</v>
      </c>
      <c r="B14" s="5">
        <v>87</v>
      </c>
      <c r="C14" t="s">
        <v>385</v>
      </c>
      <c r="D14" s="7">
        <v>1998627582</v>
      </c>
      <c r="F14" t="s">
        <v>46</v>
      </c>
      <c r="G14" t="s">
        <v>390</v>
      </c>
      <c r="H14" s="29">
        <v>243.99375389605754</v>
      </c>
      <c r="K14" t="s">
        <v>12</v>
      </c>
      <c r="L14" s="5">
        <v>3</v>
      </c>
      <c r="M14" s="5">
        <v>2</v>
      </c>
    </row>
    <row r="15" spans="1:14" x14ac:dyDescent="0.3">
      <c r="A15" t="s">
        <v>195</v>
      </c>
      <c r="B15" s="5">
        <v>88</v>
      </c>
      <c r="C15" t="s">
        <v>385</v>
      </c>
      <c r="D15" s="7">
        <v>1971558351</v>
      </c>
      <c r="F15" t="s">
        <v>46</v>
      </c>
      <c r="G15" t="s">
        <v>391</v>
      </c>
      <c r="H15" s="29">
        <v>60.998438474014385</v>
      </c>
    </row>
    <row r="16" spans="1:14" x14ac:dyDescent="0.3">
      <c r="A16" t="s">
        <v>195</v>
      </c>
      <c r="B16" s="5">
        <v>89</v>
      </c>
      <c r="C16" t="s">
        <v>385</v>
      </c>
      <c r="D16" s="7">
        <v>2040365267</v>
      </c>
      <c r="F16" t="s">
        <v>46</v>
      </c>
      <c r="G16" t="s">
        <v>392</v>
      </c>
      <c r="H16" s="29">
        <v>109.79718925322589</v>
      </c>
    </row>
    <row r="17" spans="1:14" x14ac:dyDescent="0.3">
      <c r="A17" t="s">
        <v>195</v>
      </c>
      <c r="B17" s="5">
        <v>90</v>
      </c>
      <c r="C17" t="s">
        <v>385</v>
      </c>
      <c r="D17" s="7">
        <v>2070105099</v>
      </c>
      <c r="F17" t="s">
        <v>12</v>
      </c>
      <c r="G17" t="s">
        <v>390</v>
      </c>
      <c r="H17" s="29">
        <v>45.399195347832915</v>
      </c>
      <c r="K17" s="9" t="s">
        <v>408</v>
      </c>
      <c r="L17" s="9" t="s">
        <v>52</v>
      </c>
      <c r="M17" s="9" t="s">
        <v>53</v>
      </c>
      <c r="N17" s="9" t="s">
        <v>203</v>
      </c>
    </row>
    <row r="18" spans="1:14" x14ac:dyDescent="0.3">
      <c r="A18" t="s">
        <v>195</v>
      </c>
      <c r="B18" s="5">
        <v>91</v>
      </c>
      <c r="C18" t="s">
        <v>385</v>
      </c>
      <c r="D18" s="7">
        <v>2019432214</v>
      </c>
      <c r="F18" t="s">
        <v>12</v>
      </c>
      <c r="G18" t="s">
        <v>391</v>
      </c>
      <c r="H18" s="29">
        <v>25.221775193240511</v>
      </c>
      <c r="K18" t="s">
        <v>409</v>
      </c>
      <c r="L18" s="7">
        <f>'Raw_Canada_Baseline'!B2</f>
        <v>9000000</v>
      </c>
      <c r="M18" t="s">
        <v>60</v>
      </c>
      <c r="N18" t="s">
        <v>410</v>
      </c>
    </row>
    <row r="19" spans="1:14" x14ac:dyDescent="0.3">
      <c r="A19" t="s">
        <v>195</v>
      </c>
      <c r="B19" s="5">
        <v>92</v>
      </c>
      <c r="C19" t="s">
        <v>385</v>
      </c>
      <c r="D19" s="7">
        <v>2168402057</v>
      </c>
      <c r="F19" t="s">
        <v>12</v>
      </c>
      <c r="G19" t="s">
        <v>392</v>
      </c>
      <c r="H19" s="29">
        <v>62.045566975371656</v>
      </c>
      <c r="K19" t="s">
        <v>411</v>
      </c>
      <c r="L19">
        <f ca="1">_xlfn.XLOOKUP("Phase 1/Read",Calc_Chart3_Milestones!A:A,Calc_Chart3_Milestones!D:D)</f>
        <v>-198</v>
      </c>
      <c r="M19" t="s">
        <v>412</v>
      </c>
      <c r="N19" t="s">
        <v>413</v>
      </c>
    </row>
    <row r="20" spans="1:14" x14ac:dyDescent="0.3">
      <c r="A20" t="s">
        <v>195</v>
      </c>
      <c r="B20" s="5">
        <v>93</v>
      </c>
      <c r="C20" t="s">
        <v>385</v>
      </c>
      <c r="D20" s="7">
        <v>2211669970</v>
      </c>
      <c r="K20" t="s">
        <v>414</v>
      </c>
      <c r="L20" s="29">
        <f>SUM(Calc_Chart2_RevenueProductLine!C:C)</f>
        <v>2536.9291908515024</v>
      </c>
      <c r="M20" t="s">
        <v>415</v>
      </c>
      <c r="N20" t="s">
        <v>416</v>
      </c>
    </row>
    <row r="21" spans="1:14" x14ac:dyDescent="0.3">
      <c r="A21" t="s">
        <v>195</v>
      </c>
      <c r="B21" s="5">
        <v>94</v>
      </c>
      <c r="C21" t="s">
        <v>385</v>
      </c>
      <c r="D21" s="7">
        <v>2344465731</v>
      </c>
    </row>
    <row r="22" spans="1:14" x14ac:dyDescent="0.3">
      <c r="A22" t="s">
        <v>195</v>
      </c>
      <c r="B22" s="5">
        <v>95</v>
      </c>
      <c r="C22" t="s">
        <v>385</v>
      </c>
      <c r="D22" s="7">
        <v>2404347087</v>
      </c>
    </row>
    <row r="23" spans="1:14" x14ac:dyDescent="0.3">
      <c r="A23" t="s">
        <v>195</v>
      </c>
      <c r="B23" s="5">
        <v>96</v>
      </c>
      <c r="C23" t="s">
        <v>385</v>
      </c>
      <c r="D23" s="7">
        <v>2233344488</v>
      </c>
    </row>
    <row r="24" spans="1:14" x14ac:dyDescent="0.3">
      <c r="A24" t="s">
        <v>195</v>
      </c>
      <c r="B24" s="5">
        <v>97</v>
      </c>
      <c r="C24" t="s">
        <v>385</v>
      </c>
      <c r="D24" s="7">
        <v>2539426430</v>
      </c>
    </row>
    <row r="25" spans="1:14" x14ac:dyDescent="0.3">
      <c r="A25" t="s">
        <v>195</v>
      </c>
      <c r="B25" s="5">
        <v>98</v>
      </c>
      <c r="C25" t="s">
        <v>385</v>
      </c>
      <c r="D25" s="7">
        <v>2510984372</v>
      </c>
    </row>
    <row r="26" spans="1:14" x14ac:dyDescent="0.3">
      <c r="A26" t="s">
        <v>195</v>
      </c>
      <c r="B26" s="5">
        <v>99</v>
      </c>
      <c r="C26" t="s">
        <v>385</v>
      </c>
      <c r="D26" s="7">
        <v>2685988494</v>
      </c>
    </row>
    <row r="27" spans="1:14" x14ac:dyDescent="0.3">
      <c r="A27" t="s">
        <v>315</v>
      </c>
      <c r="B27" s="5">
        <v>54</v>
      </c>
      <c r="C27" t="s">
        <v>386</v>
      </c>
      <c r="D27" s="7">
        <v>378614.80645161303</v>
      </c>
    </row>
    <row r="28" spans="1:14" x14ac:dyDescent="0.3">
      <c r="A28" t="s">
        <v>315</v>
      </c>
      <c r="B28" s="5">
        <v>55</v>
      </c>
      <c r="C28" t="s">
        <v>386</v>
      </c>
      <c r="D28" s="7">
        <v>412739.96428571403</v>
      </c>
    </row>
    <row r="29" spans="1:14" x14ac:dyDescent="0.3">
      <c r="A29" t="s">
        <v>315</v>
      </c>
      <c r="B29" s="5">
        <v>56</v>
      </c>
      <c r="C29" t="s">
        <v>386</v>
      </c>
      <c r="D29" s="7">
        <v>452307.03225806501</v>
      </c>
    </row>
    <row r="30" spans="1:14" x14ac:dyDescent="0.3">
      <c r="A30" t="s">
        <v>315</v>
      </c>
      <c r="B30" s="5">
        <v>57</v>
      </c>
      <c r="C30" t="s">
        <v>386</v>
      </c>
      <c r="D30" s="7">
        <v>451724.5</v>
      </c>
    </row>
    <row r="31" spans="1:14" x14ac:dyDescent="0.3">
      <c r="A31" t="s">
        <v>315</v>
      </c>
      <c r="B31" s="5">
        <v>58</v>
      </c>
      <c r="C31" t="s">
        <v>386</v>
      </c>
      <c r="D31" s="7">
        <v>511812.83870967699</v>
      </c>
    </row>
    <row r="32" spans="1:14" x14ac:dyDescent="0.3">
      <c r="A32" t="s">
        <v>315</v>
      </c>
      <c r="B32" s="5">
        <v>59</v>
      </c>
      <c r="C32" t="s">
        <v>386</v>
      </c>
      <c r="D32" s="7">
        <v>550456.30000000005</v>
      </c>
    </row>
    <row r="33" spans="1:4" x14ac:dyDescent="0.3">
      <c r="A33" t="s">
        <v>315</v>
      </c>
      <c r="B33" s="5">
        <v>60</v>
      </c>
      <c r="C33" t="s">
        <v>386</v>
      </c>
      <c r="D33" s="7">
        <v>580366.64516128995</v>
      </c>
    </row>
    <row r="34" spans="1:4" x14ac:dyDescent="0.3">
      <c r="A34" t="s">
        <v>315</v>
      </c>
      <c r="B34" s="5">
        <v>61</v>
      </c>
      <c r="C34" t="s">
        <v>386</v>
      </c>
      <c r="D34" s="7">
        <v>628288.83870967699</v>
      </c>
    </row>
    <row r="35" spans="1:4" x14ac:dyDescent="0.3">
      <c r="A35" t="s">
        <v>315</v>
      </c>
      <c r="B35" s="5">
        <v>62</v>
      </c>
      <c r="C35" t="s">
        <v>386</v>
      </c>
      <c r="D35" s="7">
        <v>670071.83333333302</v>
      </c>
    </row>
    <row r="36" spans="1:4" x14ac:dyDescent="0.3">
      <c r="A36" t="s">
        <v>315</v>
      </c>
      <c r="B36" s="5">
        <v>63</v>
      </c>
      <c r="C36" t="s">
        <v>386</v>
      </c>
      <c r="D36" s="7">
        <v>702357.51612903201</v>
      </c>
    </row>
    <row r="37" spans="1:4" x14ac:dyDescent="0.3">
      <c r="A37" t="s">
        <v>315</v>
      </c>
      <c r="B37" s="5">
        <v>64</v>
      </c>
      <c r="C37" t="s">
        <v>386</v>
      </c>
      <c r="D37" s="7">
        <v>791741.933333333</v>
      </c>
    </row>
    <row r="38" spans="1:4" x14ac:dyDescent="0.3">
      <c r="A38" t="s">
        <v>315</v>
      </c>
      <c r="B38" s="5">
        <v>65</v>
      </c>
      <c r="C38" t="s">
        <v>386</v>
      </c>
      <c r="D38" s="7">
        <v>849936.87096774206</v>
      </c>
    </row>
    <row r="39" spans="1:4" x14ac:dyDescent="0.3">
      <c r="A39" t="s">
        <v>315</v>
      </c>
      <c r="B39" s="5">
        <v>66</v>
      </c>
      <c r="C39" t="s">
        <v>386</v>
      </c>
      <c r="D39" s="7">
        <v>894616.64516128995</v>
      </c>
    </row>
    <row r="40" spans="1:4" x14ac:dyDescent="0.3">
      <c r="A40" t="s">
        <v>315</v>
      </c>
      <c r="B40" s="5">
        <v>67</v>
      </c>
      <c r="C40" t="s">
        <v>386</v>
      </c>
      <c r="D40" s="7">
        <v>931363.10714285704</v>
      </c>
    </row>
    <row r="41" spans="1:4" x14ac:dyDescent="0.3">
      <c r="A41" t="s">
        <v>315</v>
      </c>
      <c r="B41" s="5">
        <v>68</v>
      </c>
      <c r="C41" t="s">
        <v>386</v>
      </c>
      <c r="D41" s="7">
        <v>1052735.6129032299</v>
      </c>
    </row>
    <row r="42" spans="1:4" x14ac:dyDescent="0.3">
      <c r="A42" t="s">
        <v>315</v>
      </c>
      <c r="B42" s="5">
        <v>69</v>
      </c>
      <c r="C42" t="s">
        <v>386</v>
      </c>
      <c r="D42" s="7">
        <v>1108269.8999999999</v>
      </c>
    </row>
    <row r="43" spans="1:4" x14ac:dyDescent="0.3">
      <c r="A43" t="s">
        <v>315</v>
      </c>
      <c r="B43" s="5">
        <v>70</v>
      </c>
      <c r="C43" t="s">
        <v>386</v>
      </c>
      <c r="D43" s="7">
        <v>1211608.22580645</v>
      </c>
    </row>
    <row r="44" spans="1:4" x14ac:dyDescent="0.3">
      <c r="A44" t="s">
        <v>315</v>
      </c>
      <c r="B44" s="5">
        <v>71</v>
      </c>
      <c r="C44" t="s">
        <v>386</v>
      </c>
      <c r="D44" s="7">
        <v>1290792.9666666701</v>
      </c>
    </row>
    <row r="45" spans="1:4" x14ac:dyDescent="0.3">
      <c r="A45" t="s">
        <v>315</v>
      </c>
      <c r="B45" s="5">
        <v>72</v>
      </c>
      <c r="C45" t="s">
        <v>386</v>
      </c>
      <c r="D45" s="7">
        <v>1351386.84615385</v>
      </c>
    </row>
    <row r="46" spans="1:4" x14ac:dyDescent="0.3">
      <c r="A46" t="s">
        <v>315</v>
      </c>
      <c r="B46" s="5">
        <v>54</v>
      </c>
      <c r="C46" t="s">
        <v>387</v>
      </c>
      <c r="D46" s="7">
        <v>203964060</v>
      </c>
    </row>
    <row r="47" spans="1:4" x14ac:dyDescent="0.3">
      <c r="A47" t="s">
        <v>315</v>
      </c>
      <c r="B47" s="5">
        <v>55</v>
      </c>
      <c r="C47" t="s">
        <v>387</v>
      </c>
      <c r="D47" s="7">
        <v>156487437</v>
      </c>
    </row>
    <row r="48" spans="1:4" x14ac:dyDescent="0.3">
      <c r="A48" t="s">
        <v>315</v>
      </c>
      <c r="B48" s="5">
        <v>56</v>
      </c>
      <c r="C48" t="s">
        <v>387</v>
      </c>
      <c r="D48" s="7">
        <v>186668328</v>
      </c>
    </row>
    <row r="49" spans="1:4" x14ac:dyDescent="0.3">
      <c r="A49" t="s">
        <v>315</v>
      </c>
      <c r="B49" s="5">
        <v>57</v>
      </c>
      <c r="C49" t="s">
        <v>387</v>
      </c>
      <c r="D49" s="7">
        <v>201917631</v>
      </c>
    </row>
    <row r="50" spans="1:4" x14ac:dyDescent="0.3">
      <c r="A50" t="s">
        <v>315</v>
      </c>
      <c r="B50" s="5">
        <v>58</v>
      </c>
      <c r="C50" t="s">
        <v>387</v>
      </c>
      <c r="D50" s="7">
        <v>223914900</v>
      </c>
    </row>
    <row r="51" spans="1:4" x14ac:dyDescent="0.3">
      <c r="A51" t="s">
        <v>315</v>
      </c>
      <c r="B51" s="5">
        <v>59</v>
      </c>
      <c r="C51" t="s">
        <v>387</v>
      </c>
      <c r="D51" s="7">
        <v>217410079</v>
      </c>
    </row>
    <row r="52" spans="1:4" x14ac:dyDescent="0.3">
      <c r="A52" t="s">
        <v>315</v>
      </c>
      <c r="B52" s="5">
        <v>60</v>
      </c>
      <c r="C52" t="s">
        <v>387</v>
      </c>
      <c r="D52" s="7">
        <v>236797876</v>
      </c>
    </row>
    <row r="53" spans="1:4" x14ac:dyDescent="0.3">
      <c r="A53" t="s">
        <v>315</v>
      </c>
      <c r="B53" s="5">
        <v>61</v>
      </c>
      <c r="C53" t="s">
        <v>387</v>
      </c>
      <c r="D53" s="7">
        <v>240330105</v>
      </c>
    </row>
    <row r="54" spans="1:4" x14ac:dyDescent="0.3">
      <c r="A54" t="s">
        <v>315</v>
      </c>
      <c r="B54" s="5">
        <v>62</v>
      </c>
      <c r="C54" t="s">
        <v>387</v>
      </c>
      <c r="D54" s="7">
        <v>239886536</v>
      </c>
    </row>
    <row r="55" spans="1:4" x14ac:dyDescent="0.3">
      <c r="A55" t="s">
        <v>315</v>
      </c>
      <c r="B55" s="5">
        <v>63</v>
      </c>
      <c r="C55" t="s">
        <v>387</v>
      </c>
      <c r="D55" s="7">
        <v>308205928</v>
      </c>
    </row>
    <row r="56" spans="1:4" x14ac:dyDescent="0.3">
      <c r="A56" t="s">
        <v>315</v>
      </c>
      <c r="B56" s="5">
        <v>64</v>
      </c>
      <c r="C56" t="s">
        <v>387</v>
      </c>
      <c r="D56" s="7">
        <v>423922786</v>
      </c>
    </row>
    <row r="57" spans="1:4" x14ac:dyDescent="0.3">
      <c r="A57" t="s">
        <v>315</v>
      </c>
      <c r="B57" s="5">
        <v>65</v>
      </c>
      <c r="C57" t="s">
        <v>387</v>
      </c>
      <c r="D57" s="7">
        <v>374124536</v>
      </c>
    </row>
    <row r="58" spans="1:4" x14ac:dyDescent="0.3">
      <c r="A58" t="s">
        <v>315</v>
      </c>
      <c r="B58" s="5">
        <v>66</v>
      </c>
      <c r="C58" t="s">
        <v>387</v>
      </c>
      <c r="D58" s="7">
        <v>370910798</v>
      </c>
    </row>
    <row r="59" spans="1:4" x14ac:dyDescent="0.3">
      <c r="A59" t="s">
        <v>315</v>
      </c>
      <c r="B59" s="5">
        <v>67</v>
      </c>
      <c r="C59" t="s">
        <v>387</v>
      </c>
      <c r="D59" s="7">
        <v>363953016</v>
      </c>
    </row>
    <row r="60" spans="1:4" x14ac:dyDescent="0.3">
      <c r="A60" t="s">
        <v>315</v>
      </c>
      <c r="B60" s="5">
        <v>68</v>
      </c>
      <c r="C60" t="s">
        <v>387</v>
      </c>
      <c r="D60" s="7">
        <v>444478712</v>
      </c>
    </row>
    <row r="61" spans="1:4" x14ac:dyDescent="0.3">
      <c r="A61" t="s">
        <v>315</v>
      </c>
      <c r="B61" s="5">
        <v>69</v>
      </c>
      <c r="C61" t="s">
        <v>387</v>
      </c>
      <c r="D61" s="7">
        <v>444274218</v>
      </c>
    </row>
    <row r="62" spans="1:4" x14ac:dyDescent="0.3">
      <c r="A62" t="s">
        <v>315</v>
      </c>
      <c r="B62" s="5">
        <v>70</v>
      </c>
      <c r="C62" t="s">
        <v>387</v>
      </c>
      <c r="D62" s="7">
        <v>476836721</v>
      </c>
    </row>
    <row r="63" spans="1:4" x14ac:dyDescent="0.3">
      <c r="A63" t="s">
        <v>315</v>
      </c>
      <c r="B63" s="5">
        <v>71</v>
      </c>
      <c r="C63" t="s">
        <v>387</v>
      </c>
      <c r="D63" s="7">
        <v>556092352</v>
      </c>
    </row>
    <row r="64" spans="1:4" x14ac:dyDescent="0.3">
      <c r="A64" t="s">
        <v>315</v>
      </c>
      <c r="B64" s="5">
        <v>72</v>
      </c>
      <c r="C64" t="s">
        <v>387</v>
      </c>
      <c r="D64" s="7">
        <v>243049477</v>
      </c>
    </row>
    <row r="65" spans="1:4" x14ac:dyDescent="0.3">
      <c r="A65" t="s">
        <v>374</v>
      </c>
      <c r="B65" s="5">
        <v>63</v>
      </c>
      <c r="C65" t="s">
        <v>334</v>
      </c>
      <c r="D65" s="7">
        <v>114000000</v>
      </c>
    </row>
    <row r="66" spans="1:4" x14ac:dyDescent="0.3">
      <c r="A66" t="s">
        <v>311</v>
      </c>
      <c r="B66" s="5">
        <v>0</v>
      </c>
      <c r="C66" t="s">
        <v>269</v>
      </c>
      <c r="D66" s="8">
        <v>0.05</v>
      </c>
    </row>
    <row r="67" spans="1:4" x14ac:dyDescent="0.3">
      <c r="A67" t="s">
        <v>311</v>
      </c>
      <c r="B67" s="5">
        <v>0</v>
      </c>
      <c r="C67" t="s">
        <v>268</v>
      </c>
      <c r="D67" s="8">
        <v>0.05</v>
      </c>
    </row>
    <row r="68" spans="1:4" x14ac:dyDescent="0.3">
      <c r="A68" t="s">
        <v>311</v>
      </c>
      <c r="B68" s="5">
        <v>0</v>
      </c>
      <c r="C68" t="s">
        <v>272</v>
      </c>
      <c r="D68" s="8">
        <v>0.05</v>
      </c>
    </row>
    <row r="69" spans="1:4" x14ac:dyDescent="0.3">
      <c r="A69" t="s">
        <v>311</v>
      </c>
      <c r="B69" s="5">
        <v>1</v>
      </c>
      <c r="C69" t="s">
        <v>269</v>
      </c>
      <c r="D69" s="8">
        <v>5.0882199924002197E-2</v>
      </c>
    </row>
    <row r="70" spans="1:4" x14ac:dyDescent="0.3">
      <c r="A70" t="s">
        <v>311</v>
      </c>
      <c r="B70" s="5">
        <v>1</v>
      </c>
      <c r="C70" t="s">
        <v>268</v>
      </c>
      <c r="D70" s="8">
        <v>5.1260285605717403E-2</v>
      </c>
    </row>
    <row r="71" spans="1:4" x14ac:dyDescent="0.3">
      <c r="A71" t="s">
        <v>311</v>
      </c>
      <c r="B71" s="5">
        <v>1</v>
      </c>
      <c r="C71" t="s">
        <v>272</v>
      </c>
      <c r="D71" s="8">
        <v>5.1638371287432601E-2</v>
      </c>
    </row>
    <row r="72" spans="1:4" x14ac:dyDescent="0.3">
      <c r="A72" t="s">
        <v>311</v>
      </c>
      <c r="B72" s="5">
        <v>2</v>
      </c>
      <c r="C72" t="s">
        <v>269</v>
      </c>
      <c r="D72" s="8">
        <v>5.1779965382122498E-2</v>
      </c>
    </row>
    <row r="73" spans="1:4" x14ac:dyDescent="0.3">
      <c r="A73" t="s">
        <v>311</v>
      </c>
      <c r="B73" s="5">
        <v>2</v>
      </c>
      <c r="C73" t="s">
        <v>268</v>
      </c>
      <c r="D73" s="8">
        <v>5.2552337607594299E-2</v>
      </c>
    </row>
    <row r="74" spans="1:4" x14ac:dyDescent="0.3">
      <c r="A74" t="s">
        <v>311</v>
      </c>
      <c r="B74" s="5">
        <v>2</v>
      </c>
      <c r="C74" t="s">
        <v>272</v>
      </c>
      <c r="D74" s="8">
        <v>5.3330427784374898E-2</v>
      </c>
    </row>
    <row r="75" spans="1:4" x14ac:dyDescent="0.3">
      <c r="A75" t="s">
        <v>311</v>
      </c>
      <c r="B75" s="5">
        <v>3</v>
      </c>
      <c r="C75" t="s">
        <v>269</v>
      </c>
      <c r="D75" s="8">
        <v>5.2693571012621399E-2</v>
      </c>
    </row>
    <row r="76" spans="1:4" x14ac:dyDescent="0.3">
      <c r="A76" t="s">
        <v>311</v>
      </c>
      <c r="B76" s="5">
        <v>3</v>
      </c>
      <c r="C76" t="s">
        <v>268</v>
      </c>
      <c r="D76" s="8">
        <v>5.3876956700267403E-2</v>
      </c>
    </row>
    <row r="77" spans="1:4" x14ac:dyDescent="0.3">
      <c r="A77" t="s">
        <v>311</v>
      </c>
      <c r="B77" s="5">
        <v>3</v>
      </c>
      <c r="C77" t="s">
        <v>272</v>
      </c>
      <c r="D77" s="8">
        <v>5.5077928616943203E-2</v>
      </c>
    </row>
    <row r="78" spans="1:4" x14ac:dyDescent="0.3">
      <c r="A78" t="s">
        <v>311</v>
      </c>
      <c r="B78" s="5">
        <v>4</v>
      </c>
      <c r="C78" t="s">
        <v>269</v>
      </c>
      <c r="D78" s="8">
        <v>5.3623296299476098E-2</v>
      </c>
    </row>
    <row r="79" spans="1:4" x14ac:dyDescent="0.3">
      <c r="A79" t="s">
        <v>311</v>
      </c>
      <c r="B79" s="5">
        <v>4</v>
      </c>
      <c r="C79" t="s">
        <v>268</v>
      </c>
      <c r="D79" s="8">
        <v>5.5234963760451498E-2</v>
      </c>
    </row>
    <row r="80" spans="1:4" x14ac:dyDescent="0.3">
      <c r="A80" t="s">
        <v>311</v>
      </c>
      <c r="B80" s="5">
        <v>4</v>
      </c>
      <c r="C80" t="s">
        <v>272</v>
      </c>
      <c r="D80" s="8">
        <v>5.6882690553288498E-2</v>
      </c>
    </row>
    <row r="81" spans="1:4" x14ac:dyDescent="0.3">
      <c r="A81" t="s">
        <v>311</v>
      </c>
      <c r="B81" s="5">
        <v>5</v>
      </c>
      <c r="C81" t="s">
        <v>269</v>
      </c>
      <c r="D81" s="8">
        <v>5.4569425657878999E-2</v>
      </c>
    </row>
    <row r="82" spans="1:4" x14ac:dyDescent="0.3">
      <c r="A82" t="s">
        <v>311</v>
      </c>
      <c r="B82" s="5">
        <v>5</v>
      </c>
      <c r="C82" t="s">
        <v>268</v>
      </c>
      <c r="D82" s="8">
        <v>5.6627200355643802E-2</v>
      </c>
    </row>
    <row r="83" spans="1:4" x14ac:dyDescent="0.3">
      <c r="A83" t="s">
        <v>311</v>
      </c>
      <c r="B83" s="5">
        <v>5</v>
      </c>
      <c r="C83" t="s">
        <v>272</v>
      </c>
      <c r="D83" s="8">
        <v>5.8746589892376903E-2</v>
      </c>
    </row>
    <row r="84" spans="1:4" x14ac:dyDescent="0.3">
      <c r="A84" t="s">
        <v>311</v>
      </c>
      <c r="B84" s="5">
        <v>6</v>
      </c>
      <c r="C84" t="s">
        <v>269</v>
      </c>
      <c r="D84" s="8">
        <v>5.5532248521243499E-2</v>
      </c>
    </row>
    <row r="85" spans="1:4" x14ac:dyDescent="0.3">
      <c r="A85" t="s">
        <v>311</v>
      </c>
      <c r="B85" s="5">
        <v>6</v>
      </c>
      <c r="C85" t="s">
        <v>268</v>
      </c>
      <c r="D85" s="8">
        <v>5.8054529265649697E-2</v>
      </c>
    </row>
    <row r="86" spans="1:4" x14ac:dyDescent="0.3">
      <c r="A86" t="s">
        <v>311</v>
      </c>
      <c r="B86" s="5">
        <v>6</v>
      </c>
      <c r="C86" t="s">
        <v>272</v>
      </c>
      <c r="D86" s="8">
        <v>6.0671564414661899E-2</v>
      </c>
    </row>
    <row r="87" spans="1:4" x14ac:dyDescent="0.3">
      <c r="A87" t="s">
        <v>311</v>
      </c>
      <c r="B87" s="5">
        <v>7</v>
      </c>
      <c r="C87" t="s">
        <v>269</v>
      </c>
      <c r="D87" s="8">
        <v>5.6512059429745701E-2</v>
      </c>
    </row>
    <row r="88" spans="1:4" x14ac:dyDescent="0.3">
      <c r="A88" t="s">
        <v>311</v>
      </c>
      <c r="B88" s="5">
        <v>7</v>
      </c>
      <c r="C88" t="s">
        <v>268</v>
      </c>
      <c r="D88" s="8">
        <v>5.9517835017253599E-2</v>
      </c>
    </row>
    <row r="89" spans="1:4" x14ac:dyDescent="0.3">
      <c r="A89" t="s">
        <v>311</v>
      </c>
      <c r="B89" s="5">
        <v>7</v>
      </c>
      <c r="C89" t="s">
        <v>272</v>
      </c>
      <c r="D89" s="8">
        <v>6.2659615396673904E-2</v>
      </c>
    </row>
    <row r="90" spans="1:4" x14ac:dyDescent="0.3">
      <c r="A90" t="s">
        <v>311</v>
      </c>
      <c r="B90" s="5">
        <v>8</v>
      </c>
      <c r="C90" t="s">
        <v>269</v>
      </c>
      <c r="D90" s="8">
        <v>5.75091581204282E-2</v>
      </c>
    </row>
    <row r="91" spans="1:4" x14ac:dyDescent="0.3">
      <c r="A91" t="s">
        <v>311</v>
      </c>
      <c r="B91" s="5">
        <v>8</v>
      </c>
      <c r="C91" t="s">
        <v>268</v>
      </c>
      <c r="D91" s="8">
        <v>6.1018024432367701E-2</v>
      </c>
    </row>
    <row r="92" spans="1:4" x14ac:dyDescent="0.3">
      <c r="A92" t="s">
        <v>311</v>
      </c>
      <c r="B92" s="5">
        <v>8</v>
      </c>
      <c r="C92" t="s">
        <v>272</v>
      </c>
      <c r="D92" s="8">
        <v>6.4712809691623505E-2</v>
      </c>
    </row>
    <row r="93" spans="1:4" x14ac:dyDescent="0.3">
      <c r="A93" t="s">
        <v>311</v>
      </c>
      <c r="B93" s="5">
        <v>9</v>
      </c>
      <c r="C93" t="s">
        <v>269</v>
      </c>
      <c r="D93" s="8">
        <v>5.8523849618893703E-2</v>
      </c>
    </row>
    <row r="94" spans="1:4" x14ac:dyDescent="0.3">
      <c r="A94" t="s">
        <v>311</v>
      </c>
      <c r="B94" s="5">
        <v>9</v>
      </c>
      <c r="C94" t="s">
        <v>268</v>
      </c>
      <c r="D94" s="8">
        <v>6.2556027189996199E-2</v>
      </c>
    </row>
    <row r="95" spans="1:4" x14ac:dyDescent="0.3">
      <c r="A95" t="s">
        <v>311</v>
      </c>
      <c r="B95" s="5">
        <v>9</v>
      </c>
      <c r="C95" t="s">
        <v>272</v>
      </c>
      <c r="D95" s="8">
        <v>6.6833281878180398E-2</v>
      </c>
    </row>
    <row r="96" spans="1:4" x14ac:dyDescent="0.3">
      <c r="A96" t="s">
        <v>311</v>
      </c>
      <c r="B96" s="5">
        <v>10</v>
      </c>
      <c r="C96" t="s">
        <v>269</v>
      </c>
      <c r="D96" s="8">
        <v>5.9556444332615699E-2</v>
      </c>
    </row>
    <row r="97" spans="1:4" x14ac:dyDescent="0.3">
      <c r="A97" t="s">
        <v>311</v>
      </c>
      <c r="B97" s="5">
        <v>10</v>
      </c>
      <c r="C97" t="s">
        <v>268</v>
      </c>
      <c r="D97" s="8">
        <v>6.4132796402364606E-2</v>
      </c>
    </row>
    <row r="98" spans="1:4" x14ac:dyDescent="0.3">
      <c r="A98" t="s">
        <v>311</v>
      </c>
      <c r="B98" s="5">
        <v>10</v>
      </c>
      <c r="C98" t="s">
        <v>272</v>
      </c>
      <c r="D98" s="8">
        <v>6.9023236479662395E-2</v>
      </c>
    </row>
    <row r="99" spans="1:4" x14ac:dyDescent="0.3">
      <c r="A99" t="s">
        <v>311</v>
      </c>
      <c r="B99" s="5">
        <v>11</v>
      </c>
      <c r="C99" t="s">
        <v>269</v>
      </c>
      <c r="D99" s="8">
        <v>6.0607258145897201E-2</v>
      </c>
    </row>
    <row r="100" spans="1:4" x14ac:dyDescent="0.3">
      <c r="A100" t="s">
        <v>311</v>
      </c>
      <c r="B100" s="5">
        <v>11</v>
      </c>
      <c r="C100" t="s">
        <v>268</v>
      </c>
      <c r="D100" s="8">
        <v>6.5749309205570594E-2</v>
      </c>
    </row>
    <row r="101" spans="1:4" x14ac:dyDescent="0.3">
      <c r="A101" t="s">
        <v>311</v>
      </c>
      <c r="B101" s="5">
        <v>11</v>
      </c>
      <c r="C101" t="s">
        <v>272</v>
      </c>
      <c r="D101" s="8">
        <v>7.1284950255941407E-2</v>
      </c>
    </row>
    <row r="102" spans="1:4" x14ac:dyDescent="0.3">
      <c r="A102" t="s">
        <v>311</v>
      </c>
      <c r="B102" s="5">
        <v>12</v>
      </c>
      <c r="C102" t="s">
        <v>269</v>
      </c>
      <c r="D102" s="8">
        <v>6.1676612516502999E-2</v>
      </c>
    </row>
    <row r="103" spans="1:4" x14ac:dyDescent="0.3">
      <c r="A103" t="s">
        <v>311</v>
      </c>
      <c r="B103" s="5">
        <v>12</v>
      </c>
      <c r="C103" t="s">
        <v>268</v>
      </c>
      <c r="D103" s="8">
        <v>6.7406567365123501E-2</v>
      </c>
    </row>
    <row r="104" spans="1:4" x14ac:dyDescent="0.3">
      <c r="A104" t="s">
        <v>311</v>
      </c>
      <c r="B104" s="5">
        <v>12</v>
      </c>
      <c r="C104" t="s">
        <v>272</v>
      </c>
      <c r="D104" s="8">
        <v>7.3620774570449299E-2</v>
      </c>
    </row>
    <row r="105" spans="1:4" x14ac:dyDescent="0.3">
      <c r="A105" t="s">
        <v>311</v>
      </c>
      <c r="B105" s="5">
        <v>13</v>
      </c>
      <c r="C105" t="s">
        <v>269</v>
      </c>
      <c r="D105" s="8">
        <v>6.2764834573998396E-2</v>
      </c>
    </row>
    <row r="106" spans="1:4" x14ac:dyDescent="0.3">
      <c r="A106" t="s">
        <v>311</v>
      </c>
      <c r="B106" s="5">
        <v>13</v>
      </c>
      <c r="C106" t="s">
        <v>268</v>
      </c>
      <c r="D106" s="8">
        <v>6.9105597896745197E-2</v>
      </c>
    </row>
    <row r="107" spans="1:4" x14ac:dyDescent="0.3">
      <c r="A107" t="s">
        <v>311</v>
      </c>
      <c r="B107" s="5">
        <v>13</v>
      </c>
      <c r="C107" t="s">
        <v>272</v>
      </c>
      <c r="D107" s="8">
        <v>7.6033137834744802E-2</v>
      </c>
    </row>
    <row r="108" spans="1:4" x14ac:dyDescent="0.3">
      <c r="A108" t="s">
        <v>311</v>
      </c>
      <c r="B108" s="5">
        <v>14</v>
      </c>
      <c r="C108" t="s">
        <v>269</v>
      </c>
      <c r="D108" s="8">
        <v>6.3872257219822204E-2</v>
      </c>
    </row>
    <row r="109" spans="1:4" x14ac:dyDescent="0.3">
      <c r="A109" t="s">
        <v>311</v>
      </c>
      <c r="B109" s="5">
        <v>14</v>
      </c>
      <c r="C109" t="s">
        <v>268</v>
      </c>
      <c r="D109" s="8">
        <v>7.0847453702820404E-2</v>
      </c>
    </row>
    <row r="110" spans="1:4" x14ac:dyDescent="0.3">
      <c r="A110" t="s">
        <v>311</v>
      </c>
      <c r="B110" s="5">
        <v>14</v>
      </c>
      <c r="C110" t="s">
        <v>272</v>
      </c>
      <c r="D110" s="8">
        <v>7.8524548033181804E-2</v>
      </c>
    </row>
    <row r="111" spans="1:4" x14ac:dyDescent="0.3">
      <c r="A111" t="s">
        <v>311</v>
      </c>
      <c r="B111" s="5">
        <v>15</v>
      </c>
      <c r="C111" t="s">
        <v>269</v>
      </c>
      <c r="D111" s="8">
        <v>6.4999219229125701E-2</v>
      </c>
    </row>
    <row r="112" spans="1:4" x14ac:dyDescent="0.3">
      <c r="A112" t="s">
        <v>311</v>
      </c>
      <c r="B112" s="5">
        <v>15</v>
      </c>
      <c r="C112" t="s">
        <v>268</v>
      </c>
      <c r="D112" s="8">
        <v>7.2633214224888207E-2</v>
      </c>
    </row>
    <row r="113" spans="1:4" x14ac:dyDescent="0.3">
      <c r="A113" t="s">
        <v>311</v>
      </c>
      <c r="B113" s="5">
        <v>15</v>
      </c>
      <c r="C113" t="s">
        <v>272</v>
      </c>
      <c r="D113" s="8">
        <v>8.1097595330305597E-2</v>
      </c>
    </row>
    <row r="114" spans="1:4" x14ac:dyDescent="0.3">
      <c r="A114" t="s">
        <v>311</v>
      </c>
      <c r="B114" s="5">
        <v>16</v>
      </c>
      <c r="C114" t="s">
        <v>269</v>
      </c>
      <c r="D114" s="8">
        <v>6.6146065354408395E-2</v>
      </c>
    </row>
    <row r="115" spans="1:4" x14ac:dyDescent="0.3">
      <c r="A115" t="s">
        <v>311</v>
      </c>
      <c r="B115" s="5">
        <v>16</v>
      </c>
      <c r="C115" t="s">
        <v>268</v>
      </c>
      <c r="D115" s="8">
        <v>7.4463986112580496E-2</v>
      </c>
    </row>
    <row r="116" spans="1:4" x14ac:dyDescent="0.3">
      <c r="A116" t="s">
        <v>311</v>
      </c>
      <c r="B116" s="5">
        <v>16</v>
      </c>
      <c r="C116" t="s">
        <v>272</v>
      </c>
      <c r="D116" s="8">
        <v>8.3754954763685593E-2</v>
      </c>
    </row>
    <row r="117" spans="1:4" x14ac:dyDescent="0.3">
      <c r="A117" t="s">
        <v>311</v>
      </c>
      <c r="B117" s="5">
        <v>17</v>
      </c>
      <c r="C117" t="s">
        <v>269</v>
      </c>
      <c r="D117" s="8">
        <v>6.7313146430982407E-2</v>
      </c>
    </row>
    <row r="118" spans="1:4" x14ac:dyDescent="0.3">
      <c r="A118" t="s">
        <v>311</v>
      </c>
      <c r="B118" s="5">
        <v>17</v>
      </c>
      <c r="C118" t="s">
        <v>268</v>
      </c>
      <c r="D118" s="8">
        <v>7.6340903909420998E-2</v>
      </c>
    </row>
    <row r="119" spans="1:4" x14ac:dyDescent="0.3">
      <c r="A119" t="s">
        <v>311</v>
      </c>
      <c r="B119" s="5">
        <v>17</v>
      </c>
      <c r="C119" t="s">
        <v>272</v>
      </c>
      <c r="D119" s="8">
        <v>8.6499389024986398E-2</v>
      </c>
    </row>
    <row r="120" spans="1:4" x14ac:dyDescent="0.3">
      <c r="A120" t="s">
        <v>311</v>
      </c>
      <c r="B120" s="5">
        <v>18</v>
      </c>
      <c r="C120" t="s">
        <v>269</v>
      </c>
      <c r="D120" s="8">
        <v>6.8500819484297606E-2</v>
      </c>
    </row>
    <row r="121" spans="1:4" x14ac:dyDescent="0.3">
      <c r="A121" t="s">
        <v>311</v>
      </c>
      <c r="B121" s="5">
        <v>18</v>
      </c>
      <c r="C121" t="s">
        <v>268</v>
      </c>
      <c r="D121" s="8">
        <v>7.8265130755910906E-2</v>
      </c>
    </row>
    <row r="122" spans="1:4" x14ac:dyDescent="0.3">
      <c r="A122" t="s">
        <v>311</v>
      </c>
      <c r="B122" s="5">
        <v>18</v>
      </c>
      <c r="C122" t="s">
        <v>272</v>
      </c>
      <c r="D122" s="8">
        <v>8.9333751332166395E-2</v>
      </c>
    </row>
    <row r="123" spans="1:4" x14ac:dyDescent="0.3">
      <c r="A123" t="s">
        <v>311</v>
      </c>
      <c r="B123" s="5">
        <v>19</v>
      </c>
      <c r="C123" t="s">
        <v>269</v>
      </c>
      <c r="D123" s="8">
        <v>6.9709447839160193E-2</v>
      </c>
    </row>
    <row r="124" spans="1:4" x14ac:dyDescent="0.3">
      <c r="A124" t="s">
        <v>311</v>
      </c>
      <c r="B124" s="5">
        <v>19</v>
      </c>
      <c r="C124" t="s">
        <v>268</v>
      </c>
      <c r="D124" s="8">
        <v>8.0237859110336193E-2</v>
      </c>
    </row>
    <row r="125" spans="1:4" x14ac:dyDescent="0.3">
      <c r="A125" t="s">
        <v>311</v>
      </c>
      <c r="B125" s="5">
        <v>19</v>
      </c>
      <c r="C125" t="s">
        <v>272</v>
      </c>
      <c r="D125" s="8">
        <v>9.2260988395791693E-2</v>
      </c>
    </row>
    <row r="126" spans="1:4" x14ac:dyDescent="0.3">
      <c r="A126" t="s">
        <v>311</v>
      </c>
      <c r="B126" s="5">
        <v>20</v>
      </c>
      <c r="C126" t="s">
        <v>269</v>
      </c>
      <c r="D126" s="8">
        <v>7.0939401230879107E-2</v>
      </c>
    </row>
    <row r="127" spans="1:4" x14ac:dyDescent="0.3">
      <c r="A127" t="s">
        <v>311</v>
      </c>
      <c r="B127" s="5">
        <v>20</v>
      </c>
      <c r="C127" t="s">
        <v>268</v>
      </c>
      <c r="D127" s="8">
        <v>8.2260311487742904E-2</v>
      </c>
    </row>
    <row r="128" spans="1:4" x14ac:dyDescent="0.3">
      <c r="A128" t="s">
        <v>311</v>
      </c>
      <c r="B128" s="5">
        <v>20</v>
      </c>
      <c r="C128" t="s">
        <v>272</v>
      </c>
      <c r="D128" s="8">
        <v>9.52841434825481E-2</v>
      </c>
    </row>
    <row r="129" spans="1:4" x14ac:dyDescent="0.3">
      <c r="A129" t="s">
        <v>311</v>
      </c>
      <c r="B129" s="5">
        <v>21</v>
      </c>
      <c r="C129" t="s">
        <v>269</v>
      </c>
      <c r="D129" s="8">
        <v>7.2191055918371896E-2</v>
      </c>
    </row>
    <row r="130" spans="1:4" x14ac:dyDescent="0.3">
      <c r="A130" t="s">
        <v>311</v>
      </c>
      <c r="B130" s="5">
        <v>21</v>
      </c>
      <c r="C130" t="s">
        <v>268</v>
      </c>
      <c r="D130" s="8">
        <v>8.4333741217539504E-2</v>
      </c>
    </row>
    <row r="131" spans="1:4" x14ac:dyDescent="0.3">
      <c r="A131" t="s">
        <v>311</v>
      </c>
      <c r="B131" s="5">
        <v>21</v>
      </c>
      <c r="C131" t="s">
        <v>272</v>
      </c>
      <c r="D131" s="8">
        <v>9.8406359579136404E-2</v>
      </c>
    </row>
    <row r="132" spans="1:4" x14ac:dyDescent="0.3">
      <c r="A132" t="s">
        <v>311</v>
      </c>
      <c r="B132" s="5">
        <v>22</v>
      </c>
      <c r="C132" t="s">
        <v>269</v>
      </c>
      <c r="D132" s="8">
        <v>7.3464794799268401E-2</v>
      </c>
    </row>
    <row r="133" spans="1:4" x14ac:dyDescent="0.3">
      <c r="A133" t="s">
        <v>311</v>
      </c>
      <c r="B133" s="5">
        <v>22</v>
      </c>
      <c r="C133" t="s">
        <v>268</v>
      </c>
      <c r="D133" s="8">
        <v>8.6459433220194698E-2</v>
      </c>
    </row>
    <row r="134" spans="1:4" x14ac:dyDescent="0.3">
      <c r="A134" t="s">
        <v>311</v>
      </c>
      <c r="B134" s="5">
        <v>22</v>
      </c>
      <c r="C134" t="s">
        <v>272</v>
      </c>
      <c r="D134" s="8">
        <v>0.10163088265984099</v>
      </c>
    </row>
    <row r="135" spans="1:4" x14ac:dyDescent="0.3">
      <c r="A135" t="s">
        <v>311</v>
      </c>
      <c r="B135" s="5">
        <v>23</v>
      </c>
      <c r="C135" t="s">
        <v>269</v>
      </c>
      <c r="D135" s="8">
        <v>7.4761007527043399E-2</v>
      </c>
    </row>
    <row r="136" spans="1:4" x14ac:dyDescent="0.3">
      <c r="A136" t="s">
        <v>311</v>
      </c>
      <c r="B136" s="5">
        <v>23</v>
      </c>
      <c r="C136" t="s">
        <v>268</v>
      </c>
      <c r="D136" s="8">
        <v>8.8638704803512602E-2</v>
      </c>
    </row>
    <row r="137" spans="1:4" x14ac:dyDescent="0.3">
      <c r="A137" t="s">
        <v>311</v>
      </c>
      <c r="B137" s="5">
        <v>23</v>
      </c>
      <c r="C137" t="s">
        <v>272</v>
      </c>
      <c r="D137" s="8">
        <v>0.10496106506116699</v>
      </c>
    </row>
    <row r="138" spans="1:4" x14ac:dyDescent="0.3">
      <c r="A138" t="s">
        <v>311</v>
      </c>
      <c r="B138" s="5">
        <v>24</v>
      </c>
      <c r="C138" t="s">
        <v>269</v>
      </c>
      <c r="D138" s="8">
        <v>7.6080090630217007E-2</v>
      </c>
    </row>
    <row r="139" spans="1:4" x14ac:dyDescent="0.3">
      <c r="A139" t="s">
        <v>311</v>
      </c>
      <c r="B139" s="5">
        <v>24</v>
      </c>
      <c r="C139" t="s">
        <v>268</v>
      </c>
      <c r="D139" s="8">
        <v>9.0872906478978596E-2</v>
      </c>
    </row>
    <row r="140" spans="1:4" x14ac:dyDescent="0.3">
      <c r="A140" t="s">
        <v>311</v>
      </c>
      <c r="B140" s="5">
        <v>24</v>
      </c>
      <c r="C140" t="s">
        <v>272</v>
      </c>
      <c r="D140" s="8">
        <v>0.108400368967058</v>
      </c>
    </row>
  </sheetData>
  <phoneticPr fontId="3" type="noConversion"/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255C1-7BF9-4ED6-8218-6E4E6871F677}">
  <dimension ref="A1:L8"/>
  <sheetViews>
    <sheetView topLeftCell="G1" workbookViewId="0">
      <selection activeCell="O10" sqref="O10"/>
    </sheetView>
  </sheetViews>
  <sheetFormatPr defaultRowHeight="14.4" x14ac:dyDescent="0.3"/>
  <cols>
    <col min="2" max="2" width="26" style="12" customWidth="1"/>
    <col min="3" max="3" width="25.88671875" customWidth="1"/>
    <col min="4" max="4" width="25.6640625" style="12" customWidth="1"/>
    <col min="5" max="5" width="25.44140625" customWidth="1"/>
    <col min="6" max="6" width="18.6640625" customWidth="1"/>
    <col min="7" max="7" width="28.21875" bestFit="1" customWidth="1"/>
    <col min="8" max="8" width="33" style="12" customWidth="1"/>
    <col min="9" max="9" width="26.21875" style="12" customWidth="1"/>
    <col min="10" max="10" width="31.21875" style="12" customWidth="1"/>
    <col min="11" max="11" width="37.21875" style="3" bestFit="1" customWidth="1"/>
    <col min="12" max="12" width="23.21875" bestFit="1" customWidth="1"/>
  </cols>
  <sheetData>
    <row r="1" spans="1:12" x14ac:dyDescent="0.3">
      <c r="A1" t="s">
        <v>0</v>
      </c>
      <c r="B1" s="12" t="s">
        <v>274</v>
      </c>
      <c r="C1" t="s">
        <v>275</v>
      </c>
      <c r="D1" s="12" t="s">
        <v>276</v>
      </c>
      <c r="E1" t="s">
        <v>277</v>
      </c>
      <c r="F1" t="s">
        <v>278</v>
      </c>
      <c r="G1" t="s">
        <v>279</v>
      </c>
      <c r="H1" s="12" t="s">
        <v>280</v>
      </c>
      <c r="I1" s="12" t="s">
        <v>281</v>
      </c>
      <c r="J1" s="12" t="s">
        <v>282</v>
      </c>
      <c r="K1" s="3" t="s">
        <v>284</v>
      </c>
      <c r="L1" t="s">
        <v>285</v>
      </c>
    </row>
    <row r="2" spans="1:12" x14ac:dyDescent="0.3">
      <c r="A2" t="str">
        <f>PC_Segment!A2</f>
        <v>RBC</v>
      </c>
      <c r="B2" s="12">
        <f>PC_Segment!E2</f>
        <v>19900</v>
      </c>
      <c r="C2" s="2">
        <f>(2425+1333)/19900</f>
        <v>0.18884422110552765</v>
      </c>
      <c r="D2" s="12">
        <f t="shared" ref="D2:D7" si="0" xml:space="preserve"> B2*C2</f>
        <v>3758</v>
      </c>
      <c r="E2" s="11">
        <f xml:space="preserve"> Calc_Adoption_Forecast!$H$26</f>
        <v>7.6080090630217034E-2</v>
      </c>
      <c r="F2" s="11">
        <f xml:space="preserve"> Calc_Adoption_Forecast!$I$26</f>
        <v>9.087290647897861E-2</v>
      </c>
      <c r="G2" s="11">
        <f xml:space="preserve"> Calc_Adoption_Forecast!$J$26</f>
        <v>0.10840036896705846</v>
      </c>
      <c r="H2" s="12">
        <f xml:space="preserve"> D2*E2</f>
        <v>285.90898058835563</v>
      </c>
      <c r="I2" s="12">
        <f xml:space="preserve"> D2*F2</f>
        <v>341.5003825480016</v>
      </c>
      <c r="J2" s="12">
        <f t="shared" ref="J2:J7" si="1" xml:space="preserve"> D2*G2</f>
        <v>407.36858657820568</v>
      </c>
      <c r="K2" s="3">
        <f t="shared" ref="K2:K7" si="2">I2/B2</f>
        <v>1.7160823243618169E-2</v>
      </c>
      <c r="L2">
        <f t="shared" ref="L2:L7" si="3">RANK(I2,$I$2:$I$7,0)</f>
        <v>1</v>
      </c>
    </row>
    <row r="3" spans="1:12" x14ac:dyDescent="0.3">
      <c r="A3" t="str">
        <f>PC_Segment!A3</f>
        <v>TD</v>
      </c>
      <c r="B3" s="12">
        <f>PC_Segment!E3</f>
        <v>20686</v>
      </c>
      <c r="C3" s="2">
        <v>0.14000000000000001</v>
      </c>
      <c r="D3" s="12">
        <f t="shared" si="0"/>
        <v>2896.0400000000004</v>
      </c>
      <c r="E3" s="11">
        <f xml:space="preserve"> Calc_Adoption_Forecast!$H$26</f>
        <v>7.6080090630217034E-2</v>
      </c>
      <c r="F3" s="11">
        <f xml:space="preserve"> Calc_Adoption_Forecast!$I$26</f>
        <v>9.087290647897861E-2</v>
      </c>
      <c r="G3" s="11">
        <f xml:space="preserve"> Calc_Adoption_Forecast!$J$26</f>
        <v>0.10840036896705846</v>
      </c>
      <c r="H3" s="12">
        <f t="shared" ref="H3:H7" si="4" xml:space="preserve"> D3*E3</f>
        <v>220.33098566873377</v>
      </c>
      <c r="I3" s="12">
        <f t="shared" ref="I3:I7" si="5" xml:space="preserve"> D3*F3</f>
        <v>263.17157207938124</v>
      </c>
      <c r="J3" s="12">
        <f t="shared" si="1"/>
        <v>313.93180454336004</v>
      </c>
      <c r="K3" s="3">
        <f t="shared" si="2"/>
        <v>1.2722206907057006E-2</v>
      </c>
      <c r="L3">
        <f t="shared" si="3"/>
        <v>2</v>
      </c>
    </row>
    <row r="4" spans="1:12" x14ac:dyDescent="0.3">
      <c r="A4" t="str">
        <f>PC_Segment!A4</f>
        <v>BMO</v>
      </c>
      <c r="B4" s="12">
        <f>PC_Segment!E4</f>
        <v>12262</v>
      </c>
      <c r="C4" s="2">
        <v>0.14000000000000001</v>
      </c>
      <c r="D4" s="12">
        <f t="shared" si="0"/>
        <v>1716.68</v>
      </c>
      <c r="E4" s="11">
        <f xml:space="preserve"> Calc_Adoption_Forecast!$H$26</f>
        <v>7.6080090630217034E-2</v>
      </c>
      <c r="F4" s="11">
        <f xml:space="preserve"> Calc_Adoption_Forecast!$I$26</f>
        <v>9.087290647897861E-2</v>
      </c>
      <c r="G4" s="11">
        <f xml:space="preserve"> Calc_Adoption_Forecast!$J$26</f>
        <v>0.10840036896705846</v>
      </c>
      <c r="H4" s="12">
        <f t="shared" si="4"/>
        <v>130.60516998308097</v>
      </c>
      <c r="I4" s="12">
        <f t="shared" si="5"/>
        <v>155.99970109433301</v>
      </c>
      <c r="J4" s="12">
        <f t="shared" si="1"/>
        <v>186.08874539836992</v>
      </c>
      <c r="K4" s="3">
        <f t="shared" si="2"/>
        <v>1.2722206907057006E-2</v>
      </c>
      <c r="L4">
        <f t="shared" si="3"/>
        <v>4</v>
      </c>
    </row>
    <row r="5" spans="1:12" x14ac:dyDescent="0.3">
      <c r="A5" t="str">
        <f>PC_Segment!A5</f>
        <v>CIBC</v>
      </c>
      <c r="B5" s="12">
        <f>PC_Segment!E5</f>
        <v>12000</v>
      </c>
      <c r="C5" s="2">
        <v>0.14000000000000001</v>
      </c>
      <c r="D5" s="12">
        <f t="shared" si="0"/>
        <v>1680.0000000000002</v>
      </c>
      <c r="E5" s="11">
        <f xml:space="preserve"> Calc_Adoption_Forecast!$H$26</f>
        <v>7.6080090630217034E-2</v>
      </c>
      <c r="F5" s="11">
        <f xml:space="preserve"> Calc_Adoption_Forecast!$I$26</f>
        <v>9.087290647897861E-2</v>
      </c>
      <c r="G5" s="11">
        <f xml:space="preserve"> Calc_Adoption_Forecast!$J$26</f>
        <v>0.10840036896705846</v>
      </c>
      <c r="H5" s="13">
        <f t="shared" si="4"/>
        <v>127.81455225876464</v>
      </c>
      <c r="I5" s="12">
        <f t="shared" si="5"/>
        <v>152.66648288468409</v>
      </c>
      <c r="J5" s="12">
        <f t="shared" si="1"/>
        <v>182.11261986465823</v>
      </c>
      <c r="K5" s="3">
        <f t="shared" si="2"/>
        <v>1.2722206907057007E-2</v>
      </c>
      <c r="L5">
        <f t="shared" si="3"/>
        <v>5</v>
      </c>
    </row>
    <row r="6" spans="1:12" x14ac:dyDescent="0.3">
      <c r="A6" t="str">
        <f>PC_Segment!A6</f>
        <v>Scotiabank (BNS)</v>
      </c>
      <c r="B6" s="12">
        <f>PC_Segment!E6</f>
        <v>13425</v>
      </c>
      <c r="C6" s="2">
        <v>0.14000000000000001</v>
      </c>
      <c r="D6" s="12">
        <f t="shared" si="0"/>
        <v>1879.5000000000002</v>
      </c>
      <c r="E6" s="11">
        <f xml:space="preserve"> Calc_Adoption_Forecast!$H$26</f>
        <v>7.6080090630217034E-2</v>
      </c>
      <c r="F6" s="11">
        <f xml:space="preserve"> Calc_Adoption_Forecast!$I$26</f>
        <v>9.087290647897861E-2</v>
      </c>
      <c r="G6" s="11">
        <f xml:space="preserve"> Calc_Adoption_Forecast!$J$26</f>
        <v>0.10840036896705846</v>
      </c>
      <c r="H6" s="12">
        <f t="shared" si="4"/>
        <v>142.99253033949293</v>
      </c>
      <c r="I6" s="12">
        <f t="shared" si="5"/>
        <v>170.79562772724032</v>
      </c>
      <c r="J6" s="12">
        <f t="shared" si="1"/>
        <v>203.7384934735864</v>
      </c>
      <c r="K6" s="3">
        <f t="shared" si="2"/>
        <v>1.2722206907057007E-2</v>
      </c>
      <c r="L6">
        <f t="shared" si="3"/>
        <v>3</v>
      </c>
    </row>
    <row r="7" spans="1:12" x14ac:dyDescent="0.3">
      <c r="A7" t="str">
        <f>PC_Segment!A7</f>
        <v>National Bank</v>
      </c>
      <c r="B7" s="12">
        <f>PC_Segment!E7</f>
        <v>5551</v>
      </c>
      <c r="C7" s="2">
        <v>0.09</v>
      </c>
      <c r="D7" s="12">
        <f t="shared" si="0"/>
        <v>499.59</v>
      </c>
      <c r="E7" s="11">
        <f xml:space="preserve"> Calc_Adoption_Forecast!$H$26</f>
        <v>7.6080090630217034E-2</v>
      </c>
      <c r="F7" s="11">
        <f xml:space="preserve"> Calc_Adoption_Forecast!$I$26</f>
        <v>9.087290647897861E-2</v>
      </c>
      <c r="G7" s="11">
        <f xml:space="preserve"> Calc_Adoption_Forecast!$J$26</f>
        <v>0.10840036896705846</v>
      </c>
      <c r="H7" s="12">
        <f t="shared" si="4"/>
        <v>38.008852477950128</v>
      </c>
      <c r="I7" s="12">
        <f t="shared" si="5"/>
        <v>45.399195347832922</v>
      </c>
      <c r="J7" s="12">
        <f t="shared" si="1"/>
        <v>54.155740332252734</v>
      </c>
      <c r="K7" s="3">
        <f t="shared" si="2"/>
        <v>8.1785615831080748E-3</v>
      </c>
      <c r="L7">
        <f t="shared" si="3"/>
        <v>6</v>
      </c>
    </row>
    <row r="8" spans="1:12" x14ac:dyDescent="0.3">
      <c r="E8" s="11"/>
      <c r="F8" s="11"/>
      <c r="G8" s="11" t="s">
        <v>283</v>
      </c>
      <c r="H8" s="12">
        <f>SUM(Table17[Revenue at Risk — Conservative ($M)])</f>
        <v>945.66107131637796</v>
      </c>
      <c r="I8" s="12">
        <f>SUM(Table17[Revenue at Risk — Base ($M)])</f>
        <v>1129.5329616814731</v>
      </c>
      <c r="J8" s="12">
        <f>SUM(Table17[Revenue at Risk — Optimistic ($M)])</f>
        <v>1347.3959901904332</v>
      </c>
    </row>
  </sheetData>
  <conditionalFormatting sqref="K2:K7">
    <cfRule type="cellIs" dxfId="0" priority="1" operator="greaterThan">
      <formula>0.2</formula>
    </cfRule>
  </conditionalFormatting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641FF-CD3D-426A-80F0-58AF34631CDA}">
  <dimension ref="A1:D5"/>
  <sheetViews>
    <sheetView workbookViewId="0">
      <selection sqref="A1:D5"/>
    </sheetView>
  </sheetViews>
  <sheetFormatPr defaultRowHeight="14.4" x14ac:dyDescent="0.3"/>
  <cols>
    <col min="1" max="1" width="6.88671875" bestFit="1" customWidth="1"/>
    <col min="2" max="2" width="20.5546875" bestFit="1" customWidth="1"/>
    <col min="3" max="3" width="80.88671875" bestFit="1" customWidth="1"/>
    <col min="4" max="4" width="16" bestFit="1" customWidth="1"/>
  </cols>
  <sheetData>
    <row r="1" spans="1:4" x14ac:dyDescent="0.3">
      <c r="A1" t="s">
        <v>200</v>
      </c>
      <c r="B1" t="s">
        <v>201</v>
      </c>
      <c r="C1" t="s">
        <v>202</v>
      </c>
      <c r="D1" t="s">
        <v>203</v>
      </c>
    </row>
    <row r="2" spans="1:4" x14ac:dyDescent="0.3">
      <c r="A2">
        <v>2015</v>
      </c>
      <c r="B2" t="s">
        <v>204</v>
      </c>
      <c r="C2" t="s">
        <v>205</v>
      </c>
      <c r="D2" t="s">
        <v>168</v>
      </c>
    </row>
    <row r="3" spans="1:4" x14ac:dyDescent="0.3">
      <c r="A3">
        <v>2018</v>
      </c>
      <c r="B3" t="s">
        <v>206</v>
      </c>
      <c r="C3" t="s">
        <v>207</v>
      </c>
      <c r="D3" t="s">
        <v>168</v>
      </c>
    </row>
    <row r="4" spans="1:4" x14ac:dyDescent="0.3">
      <c r="A4">
        <v>2018</v>
      </c>
      <c r="B4" t="s">
        <v>208</v>
      </c>
      <c r="C4" t="s">
        <v>209</v>
      </c>
      <c r="D4" t="s">
        <v>168</v>
      </c>
    </row>
    <row r="5" spans="1:4" x14ac:dyDescent="0.3">
      <c r="A5">
        <v>2026</v>
      </c>
      <c r="B5" t="s">
        <v>210</v>
      </c>
      <c r="C5" t="s">
        <v>211</v>
      </c>
      <c r="D5" t="s">
        <v>212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69257-998F-4383-86A4-7D71148468A7}">
  <dimension ref="A1:J9"/>
  <sheetViews>
    <sheetView workbookViewId="0">
      <selection activeCell="C1" sqref="C1"/>
    </sheetView>
  </sheetViews>
  <sheetFormatPr defaultRowHeight="14.4" x14ac:dyDescent="0.3"/>
  <cols>
    <col min="1" max="1" width="42.21875" bestFit="1" customWidth="1"/>
    <col min="2" max="2" width="27.77734375" bestFit="1" customWidth="1"/>
    <col min="3" max="3" width="6.6640625" bestFit="1" customWidth="1"/>
    <col min="4" max="4" width="12.109375" bestFit="1" customWidth="1"/>
    <col min="5" max="5" width="12" bestFit="1" customWidth="1"/>
    <col min="6" max="6" width="15.5546875" bestFit="1" customWidth="1"/>
    <col min="7" max="7" width="20.33203125" bestFit="1" customWidth="1"/>
    <col min="8" max="8" width="64.77734375" bestFit="1" customWidth="1"/>
    <col min="9" max="9" width="15.88671875" bestFit="1" customWidth="1"/>
    <col min="10" max="10" width="80.88671875" bestFit="1" customWidth="1"/>
  </cols>
  <sheetData>
    <row r="1" spans="1:10" x14ac:dyDescent="0.3">
      <c r="A1" t="s">
        <v>51</v>
      </c>
      <c r="B1" t="s">
        <v>52</v>
      </c>
      <c r="C1" t="s">
        <v>53</v>
      </c>
      <c r="D1" t="s">
        <v>151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</v>
      </c>
    </row>
    <row r="2" spans="1:10" x14ac:dyDescent="0.3">
      <c r="A2" t="s">
        <v>152</v>
      </c>
      <c r="B2" t="s">
        <v>153</v>
      </c>
      <c r="C2" t="s">
        <v>154</v>
      </c>
      <c r="D2" t="s">
        <v>155</v>
      </c>
      <c r="E2" t="s">
        <v>156</v>
      </c>
      <c r="F2" s="1">
        <v>46221</v>
      </c>
      <c r="G2" t="s">
        <v>157</v>
      </c>
      <c r="H2" t="s">
        <v>158</v>
      </c>
      <c r="I2" t="s">
        <v>76</v>
      </c>
      <c r="J2" t="s">
        <v>159</v>
      </c>
    </row>
    <row r="3" spans="1:10" x14ac:dyDescent="0.3">
      <c r="A3" t="s">
        <v>160</v>
      </c>
      <c r="B3" t="s">
        <v>161</v>
      </c>
      <c r="C3" t="s">
        <v>154</v>
      </c>
      <c r="D3" t="s">
        <v>155</v>
      </c>
      <c r="E3" t="s">
        <v>162</v>
      </c>
      <c r="F3" s="1">
        <v>46221</v>
      </c>
      <c r="G3" t="s">
        <v>163</v>
      </c>
      <c r="H3" t="s">
        <v>164</v>
      </c>
      <c r="I3" t="s">
        <v>76</v>
      </c>
      <c r="J3" t="s">
        <v>165</v>
      </c>
    </row>
    <row r="4" spans="1:10" x14ac:dyDescent="0.3">
      <c r="A4" t="s">
        <v>166</v>
      </c>
      <c r="B4" t="s">
        <v>167</v>
      </c>
      <c r="C4" t="s">
        <v>73</v>
      </c>
      <c r="D4" t="s">
        <v>155</v>
      </c>
      <c r="E4" t="s">
        <v>167</v>
      </c>
      <c r="F4" s="1">
        <v>46221</v>
      </c>
      <c r="G4" t="s">
        <v>168</v>
      </c>
      <c r="H4" t="s">
        <v>169</v>
      </c>
      <c r="I4" t="s">
        <v>64</v>
      </c>
      <c r="J4" t="s">
        <v>170</v>
      </c>
    </row>
    <row r="5" spans="1:10" x14ac:dyDescent="0.3">
      <c r="A5" t="s">
        <v>171</v>
      </c>
      <c r="B5" t="s">
        <v>172</v>
      </c>
      <c r="C5" t="s">
        <v>73</v>
      </c>
      <c r="D5" t="s">
        <v>155</v>
      </c>
      <c r="E5" t="s">
        <v>172</v>
      </c>
      <c r="F5" s="1">
        <v>46221</v>
      </c>
      <c r="G5" t="s">
        <v>168</v>
      </c>
      <c r="H5" t="s">
        <v>169</v>
      </c>
      <c r="I5" t="s">
        <v>64</v>
      </c>
      <c r="J5" t="s">
        <v>173</v>
      </c>
    </row>
    <row r="6" spans="1:10" x14ac:dyDescent="0.3">
      <c r="A6" t="s">
        <v>174</v>
      </c>
      <c r="B6" t="s">
        <v>175</v>
      </c>
      <c r="C6" t="s">
        <v>176</v>
      </c>
      <c r="D6" t="s">
        <v>155</v>
      </c>
      <c r="E6" t="s">
        <v>72</v>
      </c>
      <c r="F6" s="1">
        <v>46221</v>
      </c>
      <c r="G6" t="s">
        <v>177</v>
      </c>
      <c r="H6" t="s">
        <v>178</v>
      </c>
      <c r="I6" t="s">
        <v>76</v>
      </c>
      <c r="J6" t="s">
        <v>179</v>
      </c>
    </row>
    <row r="7" spans="1:10" x14ac:dyDescent="0.3">
      <c r="A7" t="s">
        <v>180</v>
      </c>
      <c r="B7" t="s">
        <v>181</v>
      </c>
      <c r="C7" t="s">
        <v>182</v>
      </c>
      <c r="D7" t="s">
        <v>155</v>
      </c>
      <c r="E7" t="s">
        <v>72</v>
      </c>
      <c r="F7" s="1">
        <v>46221</v>
      </c>
      <c r="G7" t="s">
        <v>168</v>
      </c>
      <c r="H7" t="s">
        <v>169</v>
      </c>
      <c r="I7" t="s">
        <v>64</v>
      </c>
      <c r="J7" t="s">
        <v>183</v>
      </c>
    </row>
    <row r="8" spans="1:10" x14ac:dyDescent="0.3">
      <c r="A8" t="s">
        <v>184</v>
      </c>
      <c r="B8" t="s">
        <v>185</v>
      </c>
      <c r="C8" t="s">
        <v>186</v>
      </c>
      <c r="D8" t="s">
        <v>155</v>
      </c>
      <c r="E8" t="s">
        <v>187</v>
      </c>
      <c r="F8" s="1">
        <v>46221</v>
      </c>
      <c r="G8" t="s">
        <v>188</v>
      </c>
      <c r="H8" t="s">
        <v>189</v>
      </c>
      <c r="I8" t="s">
        <v>190</v>
      </c>
      <c r="J8" t="s">
        <v>191</v>
      </c>
    </row>
    <row r="9" spans="1:10" x14ac:dyDescent="0.3">
      <c r="A9" t="s">
        <v>192</v>
      </c>
      <c r="B9" t="s">
        <v>193</v>
      </c>
      <c r="C9" t="s">
        <v>194</v>
      </c>
      <c r="D9" t="s">
        <v>195</v>
      </c>
      <c r="E9" t="s">
        <v>196</v>
      </c>
      <c r="F9" s="1">
        <v>46221</v>
      </c>
      <c r="G9" t="s">
        <v>197</v>
      </c>
      <c r="H9" t="s">
        <v>198</v>
      </c>
      <c r="I9" t="s">
        <v>76</v>
      </c>
      <c r="J9" t="s">
        <v>199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1E5AE-818F-4E41-900B-53D97F0DE6BA}">
  <dimension ref="A1:V26"/>
  <sheetViews>
    <sheetView workbookViewId="0">
      <selection activeCell="B2" sqref="B2"/>
    </sheetView>
  </sheetViews>
  <sheetFormatPr defaultRowHeight="14.4" x14ac:dyDescent="0.3"/>
  <cols>
    <col min="1" max="1" width="10.33203125" bestFit="1" customWidth="1"/>
    <col min="2" max="2" width="20.6640625" bestFit="1" customWidth="1"/>
    <col min="3" max="3" width="23.33203125" bestFit="1" customWidth="1"/>
    <col min="4" max="5" width="27.6640625" bestFit="1" customWidth="1"/>
    <col min="6" max="6" width="28.44140625" bestFit="1" customWidth="1"/>
    <col min="7" max="7" width="40.44140625" bestFit="1" customWidth="1"/>
    <col min="8" max="8" width="27.21875" bestFit="1" customWidth="1"/>
    <col min="9" max="9" width="19.5546875" bestFit="1" customWidth="1"/>
    <col min="10" max="10" width="37" style="4" bestFit="1" customWidth="1"/>
    <col min="11" max="11" width="37.5546875" bestFit="1" customWidth="1"/>
    <col min="12" max="12" width="37.6640625" style="4" bestFit="1" customWidth="1"/>
    <col min="13" max="13" width="38.21875" bestFit="1" customWidth="1"/>
    <col min="14" max="14" width="31.5546875" style="4" bestFit="1" customWidth="1"/>
    <col min="15" max="15" width="32.21875" style="5" bestFit="1" customWidth="1"/>
    <col min="16" max="16" width="18.88671875" style="2" bestFit="1" customWidth="1"/>
    <col min="17" max="17" width="14.5546875" style="2" bestFit="1" customWidth="1"/>
    <col min="18" max="19" width="18.77734375" style="2" bestFit="1" customWidth="1"/>
    <col min="20" max="20" width="24.109375" style="2" bestFit="1" customWidth="1"/>
    <col min="21" max="21" width="28.33203125" style="2" bestFit="1" customWidth="1"/>
    <col min="22" max="22" width="28.33203125" bestFit="1" customWidth="1"/>
  </cols>
  <sheetData>
    <row r="1" spans="1:22" x14ac:dyDescent="0.3">
      <c r="A1" t="s">
        <v>51</v>
      </c>
      <c r="B1" t="s">
        <v>377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  <c r="J1" t="s">
        <v>138</v>
      </c>
      <c r="K1" s="4" t="s">
        <v>139</v>
      </c>
      <c r="L1" t="s">
        <v>140</v>
      </c>
      <c r="M1" s="4" t="s">
        <v>141</v>
      </c>
      <c r="N1" t="s">
        <v>142</v>
      </c>
      <c r="O1" s="4" t="s">
        <v>143</v>
      </c>
      <c r="P1" s="5" t="s">
        <v>144</v>
      </c>
      <c r="Q1" s="2" t="s">
        <v>145</v>
      </c>
      <c r="R1" s="2" t="s">
        <v>146</v>
      </c>
      <c r="S1" s="2" t="s">
        <v>147</v>
      </c>
      <c r="T1" s="2" t="s">
        <v>148</v>
      </c>
      <c r="U1" s="2" t="s">
        <v>149</v>
      </c>
      <c r="V1" s="2" t="s">
        <v>150</v>
      </c>
    </row>
    <row r="2" spans="1:22" x14ac:dyDescent="0.3">
      <c r="A2" s="1">
        <v>45413</v>
      </c>
      <c r="B2" s="5">
        <f>IFERROR(DATEDIF(Launch_Dates!$B$2,A2,"m"),"")</f>
        <v>75</v>
      </c>
      <c r="C2">
        <v>1520925954</v>
      </c>
      <c r="D2">
        <v>1264447046</v>
      </c>
      <c r="E2">
        <v>82456927</v>
      </c>
      <c r="F2">
        <v>2325324</v>
      </c>
      <c r="G2">
        <v>15605632</v>
      </c>
      <c r="H2">
        <v>1773660</v>
      </c>
      <c r="I2">
        <v>15171558</v>
      </c>
      <c r="J2">
        <v>5562462</v>
      </c>
      <c r="K2" s="4">
        <v>3.5999999999999999E-3</v>
      </c>
      <c r="L2">
        <v>9609096</v>
      </c>
      <c r="M2" s="4">
        <v>6.3E-3</v>
      </c>
      <c r="N2">
        <v>1826366</v>
      </c>
      <c r="O2" s="4">
        <v>1.1999999999999999E-3</v>
      </c>
      <c r="P2" s="5">
        <v>375</v>
      </c>
      <c r="Q2" s="2">
        <v>0.99450000000000005</v>
      </c>
      <c r="R2" s="2">
        <v>0.98619999999999997</v>
      </c>
      <c r="S2" s="2">
        <v>0.99490000000000001</v>
      </c>
      <c r="T2" s="2">
        <v>0.99539999999999995</v>
      </c>
      <c r="U2" s="2">
        <v>0.99539999999999995</v>
      </c>
      <c r="V2" s="2">
        <v>0.996</v>
      </c>
    </row>
    <row r="3" spans="1:22" x14ac:dyDescent="0.3">
      <c r="A3" s="1">
        <v>45444</v>
      </c>
      <c r="B3" s="5">
        <f>IFERROR(DATEDIF(Launch_Dates!$B$2,A3,"m"),"")</f>
        <v>76</v>
      </c>
      <c r="C3">
        <v>1494386712</v>
      </c>
      <c r="D3">
        <v>1241523086</v>
      </c>
      <c r="E3">
        <v>78599356</v>
      </c>
      <c r="F3">
        <v>2457001</v>
      </c>
      <c r="G3">
        <v>15911890</v>
      </c>
      <c r="H3">
        <v>1977979</v>
      </c>
      <c r="I3">
        <v>7023040</v>
      </c>
      <c r="J3">
        <v>5343262</v>
      </c>
      <c r="K3" s="4">
        <v>3.5999999999999999E-3</v>
      </c>
      <c r="L3">
        <v>1679778</v>
      </c>
      <c r="M3" s="4">
        <v>1.1000000000000001E-3</v>
      </c>
      <c r="N3">
        <v>2003609</v>
      </c>
      <c r="O3" s="4">
        <v>1.2999999999999999E-3</v>
      </c>
      <c r="P3" s="5">
        <v>367</v>
      </c>
      <c r="Q3" s="2">
        <v>0.99609999999999999</v>
      </c>
      <c r="R3" s="2">
        <v>0.9677</v>
      </c>
      <c r="S3" s="2">
        <v>0.99870000000000003</v>
      </c>
      <c r="T3" s="2">
        <v>0.99829999999999997</v>
      </c>
      <c r="U3" s="2">
        <v>0.99819999999999998</v>
      </c>
      <c r="V3" s="2">
        <v>0.999</v>
      </c>
    </row>
    <row r="4" spans="1:22" x14ac:dyDescent="0.3">
      <c r="A4" s="1">
        <v>45474</v>
      </c>
      <c r="B4" s="5">
        <f>IFERROR(DATEDIF(Launch_Dates!$B$2,A4,"m"),"")</f>
        <v>77</v>
      </c>
      <c r="C4">
        <v>1564131601</v>
      </c>
      <c r="D4">
        <v>1297145620</v>
      </c>
      <c r="E4">
        <v>82889379</v>
      </c>
      <c r="F4">
        <v>2801520</v>
      </c>
      <c r="G4">
        <v>17083773</v>
      </c>
      <c r="H4">
        <v>2450491</v>
      </c>
      <c r="I4">
        <v>6281328</v>
      </c>
      <c r="J4">
        <v>5156883</v>
      </c>
      <c r="K4" s="4">
        <v>3.3E-3</v>
      </c>
      <c r="L4">
        <v>1124445</v>
      </c>
      <c r="M4" s="4">
        <v>6.9999999999999999E-4</v>
      </c>
      <c r="N4">
        <v>2264151</v>
      </c>
      <c r="O4" s="4">
        <v>1.4E-3</v>
      </c>
      <c r="P4" s="5">
        <v>360</v>
      </c>
      <c r="Q4" s="2">
        <v>0.99790000000000001</v>
      </c>
      <c r="R4" s="2">
        <v>0.99070000000000003</v>
      </c>
      <c r="S4" s="2">
        <v>0.99850000000000005</v>
      </c>
      <c r="T4" s="2">
        <v>0.99929999999999997</v>
      </c>
      <c r="U4" s="2">
        <v>0.99929999999999997</v>
      </c>
      <c r="V4" s="2">
        <v>0.99919999999999998</v>
      </c>
    </row>
    <row r="5" spans="1:22" x14ac:dyDescent="0.3">
      <c r="A5" s="1">
        <v>45505</v>
      </c>
      <c r="B5" s="5">
        <f>IFERROR(DATEDIF(Launch_Dates!$B$2,A5,"m"),"")</f>
        <v>78</v>
      </c>
      <c r="C5">
        <v>1581848583</v>
      </c>
      <c r="D5">
        <v>1314276464</v>
      </c>
      <c r="E5">
        <v>87127444</v>
      </c>
      <c r="F5">
        <v>2828592</v>
      </c>
      <c r="G5">
        <v>17314847</v>
      </c>
      <c r="H5">
        <v>2723643</v>
      </c>
      <c r="I5">
        <v>6609954</v>
      </c>
      <c r="J5">
        <v>5404610</v>
      </c>
      <c r="K5" s="4">
        <v>3.3999999999999998E-3</v>
      </c>
      <c r="L5">
        <v>1205344</v>
      </c>
      <c r="M5" s="4">
        <v>8.0000000000000004E-4</v>
      </c>
      <c r="N5">
        <v>1961826</v>
      </c>
      <c r="O5" s="4">
        <v>1.1999999999999999E-3</v>
      </c>
      <c r="P5" s="5">
        <v>339</v>
      </c>
      <c r="Q5" s="2">
        <v>0.999</v>
      </c>
      <c r="R5" s="2">
        <v>0.99399999999999999</v>
      </c>
      <c r="S5" s="2">
        <v>0.99950000000000006</v>
      </c>
      <c r="T5" s="2">
        <v>0.99939999999999996</v>
      </c>
      <c r="U5" s="2">
        <v>0.99939999999999996</v>
      </c>
      <c r="V5" s="2">
        <v>0.99960000000000004</v>
      </c>
    </row>
    <row r="6" spans="1:22" x14ac:dyDescent="0.3">
      <c r="A6" s="1">
        <v>45536</v>
      </c>
      <c r="B6" s="5">
        <f>IFERROR(DATEDIF(Launch_Dates!$B$2,A6,"m"),"")</f>
        <v>79</v>
      </c>
      <c r="C6">
        <v>1603209493</v>
      </c>
      <c r="D6">
        <v>1327489079</v>
      </c>
      <c r="E6">
        <v>84110872</v>
      </c>
      <c r="F6">
        <v>2812465</v>
      </c>
      <c r="G6">
        <v>17228045</v>
      </c>
      <c r="H6">
        <v>2747092</v>
      </c>
      <c r="I6">
        <v>9990689</v>
      </c>
      <c r="J6">
        <v>6605822</v>
      </c>
      <c r="K6" s="4">
        <v>4.1000000000000003E-3</v>
      </c>
      <c r="L6">
        <v>3384867</v>
      </c>
      <c r="M6" s="4">
        <v>2.0999999999999999E-3</v>
      </c>
      <c r="N6">
        <v>2086105</v>
      </c>
      <c r="O6" s="4">
        <v>1.2999999999999999E-3</v>
      </c>
      <c r="P6" s="5">
        <v>351</v>
      </c>
      <c r="Q6" s="2">
        <v>0.99439999999999995</v>
      </c>
      <c r="R6" s="2">
        <v>0.99009999999999998</v>
      </c>
      <c r="S6" s="2">
        <v>0.99470000000000003</v>
      </c>
      <c r="T6" s="2">
        <v>0.99639999999999995</v>
      </c>
      <c r="U6" s="2">
        <v>0.99529999999999996</v>
      </c>
      <c r="V6" s="2">
        <v>0.99560000000000004</v>
      </c>
    </row>
    <row r="7" spans="1:22" x14ac:dyDescent="0.3">
      <c r="A7" s="1">
        <v>45566</v>
      </c>
      <c r="B7" s="5">
        <f>IFERROR(DATEDIF(Launch_Dates!$B$2,A7,"m"),"")</f>
        <v>80</v>
      </c>
      <c r="C7">
        <v>1747365142</v>
      </c>
      <c r="D7">
        <v>1441900835</v>
      </c>
      <c r="E7">
        <v>91508305</v>
      </c>
      <c r="F7">
        <v>2922481</v>
      </c>
      <c r="G7">
        <v>18660501</v>
      </c>
      <c r="H7">
        <v>3020455</v>
      </c>
      <c r="I7">
        <v>8025519</v>
      </c>
      <c r="J7">
        <v>5279507</v>
      </c>
      <c r="K7" s="4">
        <v>3.0000000000000001E-3</v>
      </c>
      <c r="L7">
        <v>2746012</v>
      </c>
      <c r="M7" s="4">
        <v>1.6000000000000001E-3</v>
      </c>
      <c r="N7">
        <v>2148507</v>
      </c>
      <c r="O7" s="4">
        <v>1.1999999999999999E-3</v>
      </c>
      <c r="P7" s="5">
        <v>350</v>
      </c>
      <c r="Q7" s="2">
        <v>0.99639999999999995</v>
      </c>
      <c r="R7" s="2">
        <v>0.99750000000000005</v>
      </c>
      <c r="S7" s="2">
        <v>0.99639999999999995</v>
      </c>
      <c r="T7" s="2">
        <v>0.99829999999999997</v>
      </c>
      <c r="U7" s="2">
        <v>0.99719999999999998</v>
      </c>
      <c r="V7" s="2">
        <v>0.99670000000000003</v>
      </c>
    </row>
    <row r="8" spans="1:22" x14ac:dyDescent="0.3">
      <c r="A8" s="1">
        <v>45597</v>
      </c>
      <c r="B8" s="5">
        <f>IFERROR(DATEDIF(Launch_Dates!$B$2,A8,"m"),"")</f>
        <v>81</v>
      </c>
      <c r="C8">
        <v>1747874987</v>
      </c>
      <c r="D8">
        <v>1435960853</v>
      </c>
      <c r="E8">
        <v>94351970</v>
      </c>
      <c r="F8">
        <v>2958455</v>
      </c>
      <c r="G8">
        <v>19006914</v>
      </c>
      <c r="H8">
        <v>3117690</v>
      </c>
      <c r="I8">
        <v>7348517</v>
      </c>
      <c r="J8">
        <v>5376888</v>
      </c>
      <c r="K8" s="4">
        <v>3.0999999999999999E-3</v>
      </c>
      <c r="L8">
        <v>1971629</v>
      </c>
      <c r="M8" s="4">
        <v>1.1000000000000001E-3</v>
      </c>
      <c r="N8">
        <v>2153426</v>
      </c>
      <c r="O8" s="4">
        <v>1.1999999999999999E-3</v>
      </c>
      <c r="P8" s="5">
        <v>361</v>
      </c>
      <c r="Q8" s="2">
        <v>0.99609999999999999</v>
      </c>
      <c r="R8" s="2">
        <v>0.99360000000000004</v>
      </c>
      <c r="S8" s="2">
        <v>0.99639999999999995</v>
      </c>
      <c r="T8" s="2">
        <v>0.99809999999999999</v>
      </c>
      <c r="U8" s="2">
        <v>0.99690000000000001</v>
      </c>
      <c r="V8" s="2">
        <v>0.99650000000000005</v>
      </c>
    </row>
    <row r="9" spans="1:22" x14ac:dyDescent="0.3">
      <c r="A9" s="1">
        <v>45627</v>
      </c>
      <c r="B9" s="5">
        <f>IFERROR(DATEDIF(Launch_Dates!$B$2,A9,"m"),"")</f>
        <v>82</v>
      </c>
      <c r="C9">
        <v>1853825146</v>
      </c>
      <c r="D9">
        <v>1481683277</v>
      </c>
      <c r="E9">
        <v>99853289</v>
      </c>
      <c r="F9">
        <v>3236202</v>
      </c>
      <c r="G9">
        <v>20366495</v>
      </c>
      <c r="H9">
        <v>3296403</v>
      </c>
      <c r="I9">
        <v>14782129</v>
      </c>
      <c r="J9">
        <v>6090342</v>
      </c>
      <c r="K9" s="4">
        <v>3.3E-3</v>
      </c>
      <c r="L9">
        <v>8691787</v>
      </c>
      <c r="M9" s="4">
        <v>4.7000000000000002E-3</v>
      </c>
      <c r="N9">
        <v>2353272</v>
      </c>
      <c r="O9" s="4">
        <v>1.2999999999999999E-3</v>
      </c>
      <c r="P9" s="5">
        <v>328</v>
      </c>
      <c r="Q9" s="2">
        <v>0.99750000000000005</v>
      </c>
      <c r="R9" s="2">
        <v>0.99809999999999999</v>
      </c>
      <c r="S9" s="2">
        <v>0.99750000000000005</v>
      </c>
      <c r="T9" s="2">
        <v>0.99790000000000001</v>
      </c>
      <c r="U9" s="2">
        <v>0.99750000000000005</v>
      </c>
      <c r="V9" s="2">
        <v>0.99770000000000003</v>
      </c>
    </row>
    <row r="10" spans="1:22" x14ac:dyDescent="0.3">
      <c r="A10" s="1">
        <v>45658</v>
      </c>
      <c r="B10" s="5">
        <f>IFERROR(DATEDIF(Launch_Dates!$B$2,A10,"m"),"")</f>
        <v>83</v>
      </c>
      <c r="C10">
        <v>1909058414</v>
      </c>
      <c r="D10">
        <v>1533540636</v>
      </c>
      <c r="E10">
        <v>109535541</v>
      </c>
      <c r="F10">
        <v>4207622</v>
      </c>
      <c r="G10">
        <v>22015521</v>
      </c>
      <c r="H10">
        <v>3293918</v>
      </c>
      <c r="I10">
        <v>7996778</v>
      </c>
      <c r="J10">
        <v>6076198</v>
      </c>
      <c r="K10" s="4">
        <v>3.2000000000000002E-3</v>
      </c>
      <c r="L10">
        <v>1920580</v>
      </c>
      <c r="M10" s="4">
        <v>1E-3</v>
      </c>
      <c r="N10">
        <v>2768553</v>
      </c>
      <c r="O10" s="4">
        <v>1.4E-3</v>
      </c>
      <c r="P10" s="5">
        <v>331</v>
      </c>
      <c r="Q10" s="2">
        <v>0.99519999999999997</v>
      </c>
      <c r="R10" s="2">
        <v>0.9919</v>
      </c>
      <c r="S10" s="2">
        <v>0.99590000000000001</v>
      </c>
      <c r="T10" s="2">
        <v>0.998</v>
      </c>
      <c r="U10" s="2">
        <v>0.998</v>
      </c>
      <c r="V10" s="2">
        <v>0.99729999999999996</v>
      </c>
    </row>
    <row r="11" spans="1:22" x14ac:dyDescent="0.3">
      <c r="A11" s="1">
        <v>45689</v>
      </c>
      <c r="B11" s="5">
        <f>IFERROR(DATEDIF(Launch_Dates!$B$2,A11,"m"),"")</f>
        <v>84</v>
      </c>
      <c r="C11">
        <v>1780842248</v>
      </c>
      <c r="D11">
        <v>1452734336</v>
      </c>
      <c r="E11">
        <v>95703994</v>
      </c>
      <c r="F11">
        <v>3376042</v>
      </c>
      <c r="G11">
        <v>20311952</v>
      </c>
      <c r="H11">
        <v>3291832</v>
      </c>
      <c r="I11">
        <v>8171786</v>
      </c>
      <c r="J11">
        <v>6005449</v>
      </c>
      <c r="K11" s="4">
        <v>3.3999999999999998E-3</v>
      </c>
      <c r="L11">
        <v>2166337</v>
      </c>
      <c r="M11" s="4">
        <v>1.1999999999999999E-3</v>
      </c>
      <c r="N11">
        <v>2261641</v>
      </c>
      <c r="O11" s="4">
        <v>1.2999999999999999E-3</v>
      </c>
      <c r="P11" s="5">
        <v>337</v>
      </c>
      <c r="Q11" s="2">
        <v>0.99890000000000001</v>
      </c>
      <c r="R11" s="2">
        <v>0.99480000000000002</v>
      </c>
      <c r="S11" s="2">
        <v>0.99939999999999996</v>
      </c>
      <c r="T11" s="2">
        <v>0.99950000000000006</v>
      </c>
      <c r="U11" s="2">
        <v>0.99860000000000004</v>
      </c>
      <c r="V11" s="2">
        <v>0.99890000000000001</v>
      </c>
    </row>
    <row r="12" spans="1:22" x14ac:dyDescent="0.3">
      <c r="A12" s="1">
        <v>45717</v>
      </c>
      <c r="B12" s="5">
        <f>IFERROR(DATEDIF(Launch_Dates!$B$2,A12,"m"),"")</f>
        <v>85</v>
      </c>
      <c r="C12">
        <v>1990052545</v>
      </c>
      <c r="D12">
        <v>1614205269</v>
      </c>
      <c r="E12">
        <v>112394467</v>
      </c>
      <c r="F12">
        <v>4155121</v>
      </c>
      <c r="G12">
        <v>23540588</v>
      </c>
      <c r="H12">
        <v>3671764</v>
      </c>
      <c r="I12">
        <v>12658659</v>
      </c>
      <c r="J12">
        <v>8067056</v>
      </c>
      <c r="K12" s="4">
        <v>4.0000000000000001E-3</v>
      </c>
      <c r="L12">
        <v>4591603</v>
      </c>
      <c r="M12" s="4">
        <v>2.3E-3</v>
      </c>
      <c r="N12">
        <v>2667247</v>
      </c>
      <c r="O12" s="4">
        <v>1.2999999999999999E-3</v>
      </c>
      <c r="P12" s="5">
        <v>351</v>
      </c>
      <c r="Q12" s="2">
        <v>0.99480000000000002</v>
      </c>
      <c r="R12" s="2">
        <v>0.9889</v>
      </c>
      <c r="S12" s="2">
        <v>0.99560000000000004</v>
      </c>
      <c r="T12" s="2">
        <v>0.99550000000000005</v>
      </c>
      <c r="U12" s="2">
        <v>0.99529999999999996</v>
      </c>
      <c r="V12" s="2">
        <v>0.99570000000000003</v>
      </c>
    </row>
    <row r="13" spans="1:22" x14ac:dyDescent="0.3">
      <c r="A13" s="1">
        <v>45748</v>
      </c>
      <c r="B13" s="5">
        <f>IFERROR(DATEDIF(Launch_Dates!$B$2,A13,"m"),"")</f>
        <v>86</v>
      </c>
      <c r="C13">
        <v>1952040978</v>
      </c>
      <c r="D13">
        <v>1586161225</v>
      </c>
      <c r="E13">
        <v>109819546</v>
      </c>
      <c r="F13">
        <v>4272163</v>
      </c>
      <c r="G13">
        <v>23445538</v>
      </c>
      <c r="H13">
        <v>3660316</v>
      </c>
      <c r="I13">
        <v>9149096</v>
      </c>
      <c r="J13">
        <v>6854063</v>
      </c>
      <c r="K13" s="4">
        <v>3.5000000000000001E-3</v>
      </c>
      <c r="L13">
        <v>2295033</v>
      </c>
      <c r="M13" s="4">
        <v>1.1999999999999999E-3</v>
      </c>
      <c r="N13">
        <v>2754726</v>
      </c>
      <c r="O13" s="4">
        <v>1.4E-3</v>
      </c>
      <c r="P13" s="5">
        <v>350</v>
      </c>
      <c r="Q13" s="2">
        <v>0.99719999999999998</v>
      </c>
      <c r="R13" s="2">
        <v>0.99550000000000005</v>
      </c>
      <c r="S13" s="2">
        <v>0.998</v>
      </c>
      <c r="T13" s="2">
        <v>0.998</v>
      </c>
      <c r="U13" s="2">
        <v>0.99770000000000003</v>
      </c>
      <c r="V13" s="2">
        <v>0.99839999999999995</v>
      </c>
    </row>
    <row r="14" spans="1:22" x14ac:dyDescent="0.3">
      <c r="A14" s="1">
        <v>45778</v>
      </c>
      <c r="B14" s="5">
        <f>IFERROR(DATEDIF(Launch_Dates!$B$2,A14,"m"),"")</f>
        <v>87</v>
      </c>
      <c r="C14">
        <v>1998627582</v>
      </c>
      <c r="D14">
        <v>1620826016</v>
      </c>
      <c r="E14">
        <v>114550237</v>
      </c>
      <c r="F14">
        <v>4289805</v>
      </c>
      <c r="G14">
        <v>23972140</v>
      </c>
      <c r="H14">
        <v>3841917</v>
      </c>
      <c r="I14">
        <v>9280539</v>
      </c>
      <c r="J14">
        <v>7674062</v>
      </c>
      <c r="K14" s="4">
        <v>3.8E-3</v>
      </c>
      <c r="L14">
        <v>1606477</v>
      </c>
      <c r="M14" s="4">
        <v>8.0000000000000004E-4</v>
      </c>
      <c r="N14">
        <v>2620335</v>
      </c>
      <c r="O14" s="4">
        <v>1.2999999999999999E-3</v>
      </c>
      <c r="P14" s="5">
        <v>362</v>
      </c>
      <c r="Q14" s="2">
        <v>0.99880000000000002</v>
      </c>
      <c r="R14" s="2">
        <v>0.99780000000000002</v>
      </c>
      <c r="S14" s="2">
        <v>0.99880000000000002</v>
      </c>
      <c r="T14" s="2">
        <v>0.999</v>
      </c>
      <c r="U14" s="2">
        <v>0.99890000000000001</v>
      </c>
      <c r="V14" s="2">
        <v>0.99919999999999998</v>
      </c>
    </row>
    <row r="15" spans="1:22" x14ac:dyDescent="0.3">
      <c r="A15" s="1">
        <v>45809</v>
      </c>
      <c r="B15" s="5">
        <f>IFERROR(DATEDIF(Launch_Dates!$B$2,A15,"m"),"")</f>
        <v>88</v>
      </c>
      <c r="C15">
        <v>1971558351</v>
      </c>
      <c r="D15">
        <v>1591801055</v>
      </c>
      <c r="E15">
        <v>117856160</v>
      </c>
      <c r="F15">
        <v>4151946</v>
      </c>
      <c r="G15">
        <v>23573628</v>
      </c>
      <c r="H15">
        <v>3927222</v>
      </c>
      <c r="I15">
        <v>10738690</v>
      </c>
      <c r="J15">
        <v>8280268</v>
      </c>
      <c r="K15" s="4">
        <v>4.1999999999999997E-3</v>
      </c>
      <c r="L15">
        <v>2458422</v>
      </c>
      <c r="M15" s="4">
        <v>1.1999999999999999E-3</v>
      </c>
      <c r="N15">
        <v>2657088</v>
      </c>
      <c r="O15" s="4">
        <v>1.2999999999999999E-3</v>
      </c>
      <c r="P15" s="5">
        <v>348</v>
      </c>
      <c r="Q15" s="2">
        <v>0.99470000000000003</v>
      </c>
      <c r="R15" s="2">
        <v>0.99639999999999995</v>
      </c>
      <c r="S15" s="2">
        <v>0.99480000000000002</v>
      </c>
      <c r="T15" s="2">
        <v>0.99739999999999995</v>
      </c>
      <c r="U15" s="2">
        <v>0.99739999999999995</v>
      </c>
      <c r="V15" s="2">
        <v>0.99609999999999999</v>
      </c>
    </row>
    <row r="16" spans="1:22" x14ac:dyDescent="0.3">
      <c r="A16" s="1">
        <v>45839</v>
      </c>
      <c r="B16" s="5">
        <f>IFERROR(DATEDIF(Launch_Dates!$B$2,A16,"m"),"")</f>
        <v>89</v>
      </c>
      <c r="C16">
        <v>2040365267</v>
      </c>
      <c r="D16">
        <v>1639341763</v>
      </c>
      <c r="E16">
        <v>130234360</v>
      </c>
      <c r="F16">
        <v>4370568</v>
      </c>
      <c r="G16">
        <v>25630075</v>
      </c>
      <c r="H16">
        <v>4264064</v>
      </c>
      <c r="I16">
        <v>11072117</v>
      </c>
      <c r="J16">
        <v>9051678</v>
      </c>
      <c r="K16" s="4">
        <v>4.4000000000000003E-3</v>
      </c>
      <c r="L16">
        <v>2020439</v>
      </c>
      <c r="M16" s="4">
        <v>1E-3</v>
      </c>
      <c r="N16">
        <v>2769775</v>
      </c>
      <c r="O16" s="4">
        <v>1.4E-3</v>
      </c>
      <c r="P16" s="5">
        <v>341.71594399999998</v>
      </c>
      <c r="Q16" s="2">
        <v>0.99619999999999997</v>
      </c>
      <c r="R16" s="2">
        <v>0.99619999999999997</v>
      </c>
      <c r="S16" s="2">
        <v>0.99709999999999999</v>
      </c>
      <c r="T16" s="2">
        <v>0.99729999999999996</v>
      </c>
      <c r="U16" s="2">
        <v>0.99719999999999998</v>
      </c>
      <c r="V16" s="2">
        <v>0.99750000000000005</v>
      </c>
    </row>
    <row r="17" spans="1:22" x14ac:dyDescent="0.3">
      <c r="A17" s="1">
        <v>45870</v>
      </c>
      <c r="B17" s="5">
        <f>IFERROR(DATEDIF(Launch_Dates!$B$2,A17,"m"),"")</f>
        <v>90</v>
      </c>
      <c r="C17">
        <v>2070105099</v>
      </c>
      <c r="D17">
        <v>1667772091</v>
      </c>
      <c r="E17">
        <v>129084518</v>
      </c>
      <c r="F17">
        <v>4343528</v>
      </c>
      <c r="G17">
        <v>26406593</v>
      </c>
      <c r="H17">
        <v>4928908</v>
      </c>
      <c r="I17">
        <v>13881388</v>
      </c>
      <c r="J17">
        <v>10500550</v>
      </c>
      <c r="K17" s="4">
        <v>5.0000000000000001E-3</v>
      </c>
      <c r="L17">
        <v>3380838</v>
      </c>
      <c r="M17" s="4">
        <v>1.6000000000000001E-3</v>
      </c>
      <c r="N17">
        <v>2675936</v>
      </c>
      <c r="O17" s="4">
        <v>1.2999999999999999E-3</v>
      </c>
      <c r="P17" s="5">
        <v>342.06054749999998</v>
      </c>
      <c r="Q17" s="2">
        <v>0.99519999999999997</v>
      </c>
      <c r="R17" s="2">
        <v>0.99609999999999999</v>
      </c>
      <c r="S17" s="2">
        <v>0.99639999999999995</v>
      </c>
      <c r="T17" s="2">
        <v>0.99960000000000004</v>
      </c>
      <c r="U17" s="2">
        <v>0.99960000000000004</v>
      </c>
      <c r="V17" s="2">
        <v>0.99939999999999996</v>
      </c>
    </row>
    <row r="18" spans="1:22" x14ac:dyDescent="0.3">
      <c r="A18" s="1">
        <v>45901</v>
      </c>
      <c r="B18" s="5">
        <f>IFERROR(DATEDIF(Launch_Dates!$B$2,A18,"m"),"")</f>
        <v>91</v>
      </c>
      <c r="C18">
        <v>2019432214</v>
      </c>
      <c r="D18">
        <v>1622593116</v>
      </c>
      <c r="E18">
        <v>128882953</v>
      </c>
      <c r="F18">
        <v>4634623</v>
      </c>
      <c r="G18">
        <v>26175322</v>
      </c>
      <c r="H18">
        <v>4752165</v>
      </c>
      <c r="I18">
        <v>11509783</v>
      </c>
      <c r="J18">
        <v>8733199</v>
      </c>
      <c r="K18" s="4">
        <v>4.3E-3</v>
      </c>
      <c r="L18">
        <v>2776584</v>
      </c>
      <c r="M18" s="4">
        <v>1.4E-3</v>
      </c>
      <c r="N18">
        <v>2605702</v>
      </c>
      <c r="O18" s="4">
        <v>1.2999999999999999E-3</v>
      </c>
      <c r="P18" s="5">
        <v>325.3327238</v>
      </c>
      <c r="Q18" s="2">
        <v>0.99529999999999996</v>
      </c>
      <c r="R18" s="2">
        <v>0.99660000000000004</v>
      </c>
      <c r="S18" s="2">
        <v>0.99680000000000002</v>
      </c>
      <c r="T18" s="2">
        <v>0.99960000000000004</v>
      </c>
      <c r="U18" s="2">
        <v>0.99950000000000006</v>
      </c>
      <c r="V18" s="2">
        <v>0.99990000000000001</v>
      </c>
    </row>
    <row r="19" spans="1:22" x14ac:dyDescent="0.3">
      <c r="A19" s="1">
        <v>45931</v>
      </c>
      <c r="B19" s="5">
        <f>IFERROR(DATEDIF(Launch_Dates!$B$2,A19,"m"),"")</f>
        <v>92</v>
      </c>
      <c r="C19">
        <v>2168402057</v>
      </c>
      <c r="D19">
        <v>1747933433</v>
      </c>
      <c r="E19">
        <v>138119754</v>
      </c>
      <c r="F19">
        <v>4930633</v>
      </c>
      <c r="G19">
        <v>27988532</v>
      </c>
      <c r="H19">
        <v>5203796</v>
      </c>
      <c r="I19">
        <v>13011995</v>
      </c>
      <c r="J19">
        <v>8864703</v>
      </c>
      <c r="K19" s="4">
        <v>4.1000000000000003E-3</v>
      </c>
      <c r="L19">
        <v>4147292</v>
      </c>
      <c r="M19" s="4">
        <v>1.9E-3</v>
      </c>
      <c r="N19">
        <v>2779078</v>
      </c>
      <c r="O19" s="4">
        <v>1.2999999999999999E-3</v>
      </c>
      <c r="P19" s="5">
        <v>330.93281350000001</v>
      </c>
      <c r="Q19" s="2">
        <v>0.99219999999999997</v>
      </c>
      <c r="R19" s="2">
        <v>0.99339999999999995</v>
      </c>
      <c r="S19" s="2">
        <v>0.99260000000000004</v>
      </c>
      <c r="T19" s="2">
        <v>0.998</v>
      </c>
      <c r="U19" s="2">
        <v>0.99790000000000001</v>
      </c>
      <c r="V19" s="2">
        <v>0.99829999999999997</v>
      </c>
    </row>
    <row r="20" spans="1:22" x14ac:dyDescent="0.3">
      <c r="A20" s="1">
        <v>45962</v>
      </c>
      <c r="B20" s="5">
        <f>IFERROR(DATEDIF(Launch_Dates!$B$2,A20,"m"),"")</f>
        <v>93</v>
      </c>
      <c r="C20">
        <v>2211669970</v>
      </c>
      <c r="D20">
        <v>1775802032</v>
      </c>
      <c r="E20">
        <v>141271900</v>
      </c>
      <c r="F20">
        <v>4615609</v>
      </c>
      <c r="G20">
        <v>27444333</v>
      </c>
      <c r="H20">
        <v>5491103</v>
      </c>
      <c r="I20">
        <v>14762956</v>
      </c>
      <c r="J20">
        <v>11742053</v>
      </c>
      <c r="K20" s="4">
        <v>5.3E-3</v>
      </c>
      <c r="L20">
        <v>3020903</v>
      </c>
      <c r="M20" s="4">
        <v>1.4E-3</v>
      </c>
      <c r="N20">
        <v>2954985</v>
      </c>
      <c r="O20" s="4">
        <v>1.2999999999999999E-3</v>
      </c>
      <c r="P20" s="5">
        <v>331.0755231</v>
      </c>
      <c r="Q20" s="2">
        <v>0.99299999999999999</v>
      </c>
      <c r="R20" s="2">
        <v>0.99550000000000005</v>
      </c>
      <c r="S20" s="2">
        <v>0.99339999999999995</v>
      </c>
      <c r="T20" s="2">
        <v>0.99870000000000003</v>
      </c>
      <c r="U20" s="2">
        <v>0.99860000000000004</v>
      </c>
      <c r="V20" s="2">
        <v>0.99870000000000003</v>
      </c>
    </row>
    <row r="21" spans="1:22" x14ac:dyDescent="0.3">
      <c r="A21" s="1">
        <v>45992</v>
      </c>
      <c r="B21" s="5">
        <f>IFERROR(DATEDIF(Launch_Dates!$B$2,A21,"m"),"")</f>
        <v>94</v>
      </c>
      <c r="C21">
        <v>2344465731</v>
      </c>
      <c r="D21">
        <v>1878556660</v>
      </c>
      <c r="E21">
        <v>149639074</v>
      </c>
      <c r="F21">
        <v>4800381</v>
      </c>
      <c r="G21">
        <v>28676996</v>
      </c>
      <c r="H21">
        <v>5895440</v>
      </c>
      <c r="I21">
        <v>12611795</v>
      </c>
      <c r="J21">
        <v>10641383</v>
      </c>
      <c r="K21" s="4">
        <v>4.4999999999999997E-3</v>
      </c>
      <c r="L21">
        <v>1970412</v>
      </c>
      <c r="M21" s="4">
        <v>8.0000000000000004E-4</v>
      </c>
      <c r="N21">
        <v>2628374</v>
      </c>
      <c r="O21" s="4">
        <v>1.1000000000000001E-3</v>
      </c>
      <c r="P21" s="5">
        <v>323.89364110000002</v>
      </c>
      <c r="Q21" s="2">
        <v>0.99850000000000005</v>
      </c>
      <c r="R21" s="2">
        <v>0.99860000000000004</v>
      </c>
      <c r="S21" s="2">
        <v>0.99860000000000004</v>
      </c>
      <c r="T21" s="2">
        <v>0.999</v>
      </c>
      <c r="U21" s="2">
        <v>0.99909999999999999</v>
      </c>
      <c r="V21" s="2">
        <v>0.99880000000000002</v>
      </c>
    </row>
    <row r="22" spans="1:22" x14ac:dyDescent="0.3">
      <c r="A22" s="1">
        <v>46023</v>
      </c>
      <c r="B22" s="5">
        <f>IFERROR(DATEDIF(Launch_Dates!$B$2,A22,"m"),"")</f>
        <v>95</v>
      </c>
      <c r="C22">
        <v>2404347087</v>
      </c>
      <c r="D22">
        <v>1920178433</v>
      </c>
      <c r="E22">
        <v>157227538</v>
      </c>
      <c r="F22">
        <v>5770142</v>
      </c>
      <c r="G22">
        <v>30449558</v>
      </c>
      <c r="H22">
        <v>5622782</v>
      </c>
      <c r="I22">
        <v>10906929</v>
      </c>
      <c r="J22">
        <v>9287640</v>
      </c>
      <c r="K22" s="4">
        <v>3.8E-3</v>
      </c>
      <c r="L22">
        <v>1619289</v>
      </c>
      <c r="M22" s="4">
        <v>6.9999999999999999E-4</v>
      </c>
      <c r="N22">
        <v>2768633</v>
      </c>
      <c r="O22" s="4">
        <v>1.1000000000000001E-3</v>
      </c>
      <c r="P22" s="5">
        <v>325.12612200000001</v>
      </c>
      <c r="Q22" s="2">
        <v>0.99880000000000002</v>
      </c>
      <c r="R22" s="2">
        <v>0.99919999999999998</v>
      </c>
      <c r="S22" s="2">
        <v>0.99909999999999999</v>
      </c>
      <c r="T22" s="2">
        <v>0.99990000000000001</v>
      </c>
      <c r="U22" s="2">
        <v>0.99980000000000002</v>
      </c>
      <c r="V22" s="2">
        <v>0.99990000000000001</v>
      </c>
    </row>
    <row r="23" spans="1:22" x14ac:dyDescent="0.3">
      <c r="A23" s="1">
        <v>46054</v>
      </c>
      <c r="B23" s="5">
        <f>IFERROR(DATEDIF(Launch_Dates!$B$2,A23,"m"),"")</f>
        <v>96</v>
      </c>
      <c r="C23">
        <v>2233344488</v>
      </c>
      <c r="D23">
        <v>1795028695</v>
      </c>
      <c r="E23">
        <v>137025067</v>
      </c>
      <c r="F23">
        <v>4307063</v>
      </c>
      <c r="G23">
        <v>27426985</v>
      </c>
      <c r="H23">
        <v>5404572</v>
      </c>
      <c r="I23">
        <v>12159692</v>
      </c>
      <c r="J23">
        <v>9988210</v>
      </c>
      <c r="K23" s="4">
        <v>4.4000000000000003E-3</v>
      </c>
      <c r="L23">
        <v>2171482</v>
      </c>
      <c r="M23" s="4">
        <v>1E-3</v>
      </c>
      <c r="N23">
        <v>2735612</v>
      </c>
      <c r="O23" s="4">
        <v>1.1999999999999999E-3</v>
      </c>
      <c r="P23" s="5">
        <v>327.77513069999998</v>
      </c>
      <c r="Q23" s="2">
        <v>0.99590000000000001</v>
      </c>
      <c r="R23" s="2">
        <v>0.99770000000000003</v>
      </c>
      <c r="S23" s="2">
        <v>0.99639999999999995</v>
      </c>
      <c r="T23" s="2">
        <v>0.99980000000000002</v>
      </c>
      <c r="U23" s="2">
        <v>0.99980000000000002</v>
      </c>
      <c r="V23" s="2">
        <v>0.99950000000000006</v>
      </c>
    </row>
    <row r="24" spans="1:22" x14ac:dyDescent="0.3">
      <c r="A24" s="1">
        <v>46082</v>
      </c>
      <c r="B24" s="5">
        <f>IFERROR(DATEDIF(Launch_Dates!$B$2,A24,"m"),"")</f>
        <v>97</v>
      </c>
      <c r="C24">
        <v>2539426430</v>
      </c>
      <c r="D24">
        <v>2029540356</v>
      </c>
      <c r="E24">
        <v>154065681</v>
      </c>
      <c r="F24">
        <v>5490407</v>
      </c>
      <c r="G24">
        <v>31394909</v>
      </c>
      <c r="H24">
        <v>6067456</v>
      </c>
      <c r="I24">
        <v>15308660</v>
      </c>
      <c r="J24">
        <v>10300970</v>
      </c>
      <c r="K24" s="4">
        <v>4.0000000000000001E-3</v>
      </c>
      <c r="L24">
        <v>5007690</v>
      </c>
      <c r="M24" s="4">
        <v>2E-3</v>
      </c>
      <c r="N24">
        <v>2852792</v>
      </c>
      <c r="O24" s="4">
        <v>1.1000000000000001E-3</v>
      </c>
      <c r="P24" s="5">
        <v>360.77215539999997</v>
      </c>
      <c r="Q24" s="2">
        <v>0.9889</v>
      </c>
      <c r="R24" s="2">
        <v>0.99519999999999997</v>
      </c>
      <c r="S24" s="2">
        <v>0.98870000000000002</v>
      </c>
      <c r="T24" s="2">
        <v>0.99809999999999999</v>
      </c>
      <c r="U24" s="2">
        <v>0.998</v>
      </c>
      <c r="V24" s="2">
        <v>0.99650000000000005</v>
      </c>
    </row>
    <row r="25" spans="1:22" x14ac:dyDescent="0.3">
      <c r="A25" s="1">
        <v>46113</v>
      </c>
      <c r="B25" s="5">
        <f>IFERROR(DATEDIF(Launch_Dates!$B$2,A25,"m"),"")</f>
        <v>98</v>
      </c>
      <c r="C25">
        <v>2510984372</v>
      </c>
      <c r="D25">
        <v>1988640169</v>
      </c>
      <c r="E25">
        <v>151574235</v>
      </c>
      <c r="F25">
        <v>5419739</v>
      </c>
      <c r="G25">
        <v>30986215</v>
      </c>
      <c r="H25">
        <v>6061785</v>
      </c>
      <c r="I25">
        <v>12239858</v>
      </c>
      <c r="J25">
        <v>8927300</v>
      </c>
      <c r="K25" s="4">
        <v>3.5000000000000001E-3</v>
      </c>
      <c r="L25">
        <v>3312558</v>
      </c>
      <c r="M25" s="4">
        <v>1.2999999999999999E-3</v>
      </c>
      <c r="N25">
        <v>2968903</v>
      </c>
      <c r="O25" s="4">
        <v>1.1999999999999999E-3</v>
      </c>
      <c r="P25" s="5">
        <v>383.6360133</v>
      </c>
      <c r="Q25" s="2">
        <v>0.997</v>
      </c>
      <c r="R25" s="2">
        <v>0.99660000000000004</v>
      </c>
      <c r="S25" s="2">
        <v>0.99690000000000001</v>
      </c>
      <c r="T25" s="2">
        <v>0.99590000000000001</v>
      </c>
      <c r="U25" s="2">
        <v>0.99529999999999996</v>
      </c>
      <c r="V25" s="2">
        <v>0.99770000000000003</v>
      </c>
    </row>
    <row r="26" spans="1:22" x14ac:dyDescent="0.3">
      <c r="A26" s="1">
        <v>46143</v>
      </c>
      <c r="B26" s="5">
        <f>IFERROR(DATEDIF(Launch_Dates!$B$2,A26,"m"),"")</f>
        <v>99</v>
      </c>
      <c r="C26">
        <v>2685988494</v>
      </c>
      <c r="D26">
        <v>2107382290</v>
      </c>
      <c r="E26">
        <v>165071662</v>
      </c>
      <c r="F26">
        <v>5518659</v>
      </c>
      <c r="G26">
        <v>32816197</v>
      </c>
      <c r="H26">
        <v>7247222</v>
      </c>
      <c r="I26">
        <v>10606218</v>
      </c>
      <c r="J26">
        <v>9491669</v>
      </c>
      <c r="K26" s="4">
        <v>3.5000000000000001E-3</v>
      </c>
      <c r="L26">
        <v>1114549</v>
      </c>
      <c r="M26" s="4">
        <v>4.0000000000000002E-4</v>
      </c>
      <c r="N26">
        <v>4074443</v>
      </c>
      <c r="O26" s="4">
        <v>1.5E-3</v>
      </c>
      <c r="P26" s="5">
        <v>399.04920770000001</v>
      </c>
      <c r="Q26" s="2">
        <v>0.99539999999999995</v>
      </c>
      <c r="R26" s="2">
        <v>0.99550000000000005</v>
      </c>
      <c r="S26" s="2">
        <v>0.99550000000000005</v>
      </c>
      <c r="T26" s="2">
        <v>0.99980000000000002</v>
      </c>
      <c r="U26" s="2">
        <v>0.99980000000000002</v>
      </c>
      <c r="V26" s="2">
        <v>0.99970000000000003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60B62-92B7-47E5-91E1-C6DFDE8BE789}">
  <dimension ref="A1:G23"/>
  <sheetViews>
    <sheetView workbookViewId="0">
      <selection activeCell="G9" sqref="G9"/>
    </sheetView>
  </sheetViews>
  <sheetFormatPr defaultRowHeight="14.4" x14ac:dyDescent="0.3"/>
  <cols>
    <col min="1" max="1" width="10.5546875" bestFit="1" customWidth="1"/>
    <col min="2" max="2" width="35" style="7" bestFit="1" customWidth="1"/>
    <col min="5" max="5" width="12.44140625" bestFit="1" customWidth="1"/>
    <col min="6" max="6" width="19.88671875" style="7" bestFit="1" customWidth="1"/>
  </cols>
  <sheetData>
    <row r="1" spans="1:7" ht="17.399999999999999" x14ac:dyDescent="0.35">
      <c r="A1" s="32" t="s">
        <v>382</v>
      </c>
      <c r="B1" s="32"/>
      <c r="C1" s="32"/>
      <c r="D1" s="25"/>
      <c r="E1" s="32" t="s">
        <v>383</v>
      </c>
      <c r="F1" s="32"/>
      <c r="G1" s="32"/>
    </row>
    <row r="3" spans="1:7" x14ac:dyDescent="0.3">
      <c r="A3" s="23" t="s">
        <v>378</v>
      </c>
      <c r="B3" s="7" t="s">
        <v>380</v>
      </c>
      <c r="E3" s="23" t="s">
        <v>378</v>
      </c>
      <c r="F3" s="7" t="s">
        <v>381</v>
      </c>
    </row>
    <row r="4" spans="1:7" x14ac:dyDescent="0.3">
      <c r="A4" s="24">
        <v>54</v>
      </c>
      <c r="B4" s="7">
        <v>378614.80645161291</v>
      </c>
      <c r="E4" s="24">
        <v>54</v>
      </c>
      <c r="F4" s="7">
        <v>203964060</v>
      </c>
    </row>
    <row r="5" spans="1:7" x14ac:dyDescent="0.3">
      <c r="A5" s="24">
        <v>55</v>
      </c>
      <c r="B5" s="7">
        <v>412739.96428571426</v>
      </c>
      <c r="E5" s="24">
        <v>55</v>
      </c>
      <c r="F5" s="7">
        <v>156487437</v>
      </c>
    </row>
    <row r="6" spans="1:7" x14ac:dyDescent="0.3">
      <c r="A6" s="24">
        <v>56</v>
      </c>
      <c r="B6" s="7">
        <v>452307.03225806454</v>
      </c>
      <c r="E6" s="24">
        <v>56</v>
      </c>
      <c r="F6" s="7">
        <v>186668328</v>
      </c>
    </row>
    <row r="7" spans="1:7" x14ac:dyDescent="0.3">
      <c r="A7" s="24">
        <v>57</v>
      </c>
      <c r="B7" s="7">
        <v>451724.5</v>
      </c>
      <c r="E7" s="24">
        <v>57</v>
      </c>
      <c r="F7" s="7">
        <v>201917631</v>
      </c>
    </row>
    <row r="8" spans="1:7" x14ac:dyDescent="0.3">
      <c r="A8" s="24">
        <v>58</v>
      </c>
      <c r="B8" s="7">
        <v>511812.83870967739</v>
      </c>
      <c r="E8" s="24">
        <v>58</v>
      </c>
      <c r="F8" s="7">
        <v>223914900</v>
      </c>
    </row>
    <row r="9" spans="1:7" x14ac:dyDescent="0.3">
      <c r="A9" s="24">
        <v>59</v>
      </c>
      <c r="B9" s="7">
        <v>550456.30000000005</v>
      </c>
      <c r="E9" s="24">
        <v>59</v>
      </c>
      <c r="F9" s="7">
        <v>217410079</v>
      </c>
    </row>
    <row r="10" spans="1:7" x14ac:dyDescent="0.3">
      <c r="A10" s="24">
        <v>60</v>
      </c>
      <c r="B10" s="7">
        <v>580366.6451612903</v>
      </c>
      <c r="E10" s="24">
        <v>60</v>
      </c>
      <c r="F10" s="7">
        <v>236797876</v>
      </c>
    </row>
    <row r="11" spans="1:7" x14ac:dyDescent="0.3">
      <c r="A11" s="24">
        <v>61</v>
      </c>
      <c r="B11" s="7">
        <v>628288.83870967745</v>
      </c>
      <c r="E11" s="24">
        <v>61</v>
      </c>
      <c r="F11" s="7">
        <v>240330105</v>
      </c>
    </row>
    <row r="12" spans="1:7" x14ac:dyDescent="0.3">
      <c r="A12" s="24">
        <v>62</v>
      </c>
      <c r="B12" s="7">
        <v>670071.83333333337</v>
      </c>
      <c r="E12" s="24">
        <v>62</v>
      </c>
      <c r="F12" s="7">
        <v>239886536</v>
      </c>
    </row>
    <row r="13" spans="1:7" x14ac:dyDescent="0.3">
      <c r="A13" s="24">
        <v>63</v>
      </c>
      <c r="B13" s="7">
        <v>702357.51612903224</v>
      </c>
      <c r="E13" s="24">
        <v>63</v>
      </c>
      <c r="F13" s="7">
        <v>308205928</v>
      </c>
    </row>
    <row r="14" spans="1:7" x14ac:dyDescent="0.3">
      <c r="A14" s="24">
        <v>64</v>
      </c>
      <c r="B14" s="7">
        <v>791741.93333333335</v>
      </c>
      <c r="E14" s="24">
        <v>64</v>
      </c>
      <c r="F14" s="7">
        <v>423922786</v>
      </c>
    </row>
    <row r="15" spans="1:7" x14ac:dyDescent="0.3">
      <c r="A15" s="24">
        <v>65</v>
      </c>
      <c r="B15" s="7">
        <v>849936.87096774194</v>
      </c>
      <c r="E15" s="24">
        <v>65</v>
      </c>
      <c r="F15" s="7">
        <v>374124536</v>
      </c>
    </row>
    <row r="16" spans="1:7" x14ac:dyDescent="0.3">
      <c r="A16" s="24">
        <v>66</v>
      </c>
      <c r="B16" s="7">
        <v>894616.6451612903</v>
      </c>
      <c r="E16" s="24">
        <v>66</v>
      </c>
      <c r="F16" s="7">
        <v>370910798</v>
      </c>
    </row>
    <row r="17" spans="1:6" x14ac:dyDescent="0.3">
      <c r="A17" s="24">
        <v>67</v>
      </c>
      <c r="B17" s="7">
        <v>931363.10714285716</v>
      </c>
      <c r="E17" s="24">
        <v>67</v>
      </c>
      <c r="F17" s="7">
        <v>363953016</v>
      </c>
    </row>
    <row r="18" spans="1:6" x14ac:dyDescent="0.3">
      <c r="A18" s="24">
        <v>68</v>
      </c>
      <c r="B18" s="7">
        <v>1052735.6129032257</v>
      </c>
      <c r="E18" s="24">
        <v>68</v>
      </c>
      <c r="F18" s="7">
        <v>444478712</v>
      </c>
    </row>
    <row r="19" spans="1:6" x14ac:dyDescent="0.3">
      <c r="A19" s="24">
        <v>69</v>
      </c>
      <c r="B19" s="7">
        <v>1108269.8999999999</v>
      </c>
      <c r="E19" s="24">
        <v>69</v>
      </c>
      <c r="F19" s="7">
        <v>444274218</v>
      </c>
    </row>
    <row r="20" spans="1:6" x14ac:dyDescent="0.3">
      <c r="A20" s="24">
        <v>70</v>
      </c>
      <c r="B20" s="7">
        <v>1211608.2258064516</v>
      </c>
      <c r="E20" s="24">
        <v>70</v>
      </c>
      <c r="F20" s="7">
        <v>476836721</v>
      </c>
    </row>
    <row r="21" spans="1:6" x14ac:dyDescent="0.3">
      <c r="A21" s="24">
        <v>71</v>
      </c>
      <c r="B21" s="7">
        <v>1290792.9666666666</v>
      </c>
      <c r="E21" s="24">
        <v>71</v>
      </c>
      <c r="F21" s="7">
        <v>556092352</v>
      </c>
    </row>
    <row r="22" spans="1:6" x14ac:dyDescent="0.3">
      <c r="A22" s="24">
        <v>72</v>
      </c>
      <c r="B22" s="7">
        <v>1351386.8461538462</v>
      </c>
      <c r="E22" s="24">
        <v>72</v>
      </c>
      <c r="F22" s="7">
        <v>243049477</v>
      </c>
    </row>
    <row r="23" spans="1:6" x14ac:dyDescent="0.3">
      <c r="A23" s="24" t="s">
        <v>379</v>
      </c>
      <c r="B23" s="7">
        <v>762498.45080500899</v>
      </c>
      <c r="E23" s="24" t="s">
        <v>379</v>
      </c>
      <c r="F23" s="7">
        <v>5913225496</v>
      </c>
    </row>
  </sheetData>
  <mergeCells count="2">
    <mergeCell ref="A1:C1"/>
    <mergeCell ref="E1:G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2FA0E-83BE-4FA1-A2D0-FBC35292630B}">
  <dimension ref="A1:D140"/>
  <sheetViews>
    <sheetView topLeftCell="A40" workbookViewId="0"/>
  </sheetViews>
  <sheetFormatPr defaultRowHeight="14.4" x14ac:dyDescent="0.3"/>
  <cols>
    <col min="1" max="1" width="9.6640625" bestFit="1" customWidth="1"/>
    <col min="2" max="2" width="20.6640625" style="5" bestFit="1" customWidth="1"/>
    <col min="3" max="3" width="28.21875" bestFit="1" customWidth="1"/>
    <col min="4" max="4" width="13.5546875" style="27" bestFit="1" customWidth="1"/>
  </cols>
  <sheetData>
    <row r="1" spans="1:4" x14ac:dyDescent="0.3">
      <c r="A1" s="9" t="s">
        <v>216</v>
      </c>
      <c r="B1" s="14" t="s">
        <v>377</v>
      </c>
      <c r="C1" s="9" t="s">
        <v>359</v>
      </c>
      <c r="D1" s="26" t="s">
        <v>384</v>
      </c>
    </row>
    <row r="2" spans="1:4" x14ac:dyDescent="0.3">
      <c r="A2" t="s">
        <v>195</v>
      </c>
      <c r="B2" s="5">
        <v>75</v>
      </c>
      <c r="C2" t="s">
        <v>385</v>
      </c>
      <c r="D2" s="7">
        <v>1520925954</v>
      </c>
    </row>
    <row r="3" spans="1:4" x14ac:dyDescent="0.3">
      <c r="A3" t="s">
        <v>195</v>
      </c>
      <c r="B3" s="5">
        <v>76</v>
      </c>
      <c r="C3" t="s">
        <v>385</v>
      </c>
      <c r="D3" s="7">
        <v>1494386712</v>
      </c>
    </row>
    <row r="4" spans="1:4" x14ac:dyDescent="0.3">
      <c r="A4" t="s">
        <v>195</v>
      </c>
      <c r="B4" s="5">
        <v>77</v>
      </c>
      <c r="C4" t="s">
        <v>385</v>
      </c>
      <c r="D4" s="7">
        <v>1564131601</v>
      </c>
    </row>
    <row r="5" spans="1:4" x14ac:dyDescent="0.3">
      <c r="A5" t="s">
        <v>195</v>
      </c>
      <c r="B5" s="5">
        <v>78</v>
      </c>
      <c r="C5" t="s">
        <v>385</v>
      </c>
      <c r="D5" s="7">
        <v>1581848583</v>
      </c>
    </row>
    <row r="6" spans="1:4" x14ac:dyDescent="0.3">
      <c r="A6" t="s">
        <v>195</v>
      </c>
      <c r="B6" s="5">
        <v>79</v>
      </c>
      <c r="C6" t="s">
        <v>385</v>
      </c>
      <c r="D6" s="7">
        <v>1603209493</v>
      </c>
    </row>
    <row r="7" spans="1:4" x14ac:dyDescent="0.3">
      <c r="A7" t="s">
        <v>195</v>
      </c>
      <c r="B7" s="5">
        <v>80</v>
      </c>
      <c r="C7" t="s">
        <v>385</v>
      </c>
      <c r="D7" s="7">
        <v>1747365142</v>
      </c>
    </row>
    <row r="8" spans="1:4" x14ac:dyDescent="0.3">
      <c r="A8" t="s">
        <v>195</v>
      </c>
      <c r="B8" s="5">
        <v>81</v>
      </c>
      <c r="C8" t="s">
        <v>385</v>
      </c>
      <c r="D8" s="7">
        <v>1747874987</v>
      </c>
    </row>
    <row r="9" spans="1:4" x14ac:dyDescent="0.3">
      <c r="A9" t="s">
        <v>195</v>
      </c>
      <c r="B9" s="5">
        <v>82</v>
      </c>
      <c r="C9" t="s">
        <v>385</v>
      </c>
      <c r="D9" s="7">
        <v>1853825146</v>
      </c>
    </row>
    <row r="10" spans="1:4" x14ac:dyDescent="0.3">
      <c r="A10" t="s">
        <v>195</v>
      </c>
      <c r="B10" s="5">
        <v>83</v>
      </c>
      <c r="C10" t="s">
        <v>385</v>
      </c>
      <c r="D10" s="7">
        <v>1909058414</v>
      </c>
    </row>
    <row r="11" spans="1:4" x14ac:dyDescent="0.3">
      <c r="A11" t="s">
        <v>195</v>
      </c>
      <c r="B11" s="5">
        <v>84</v>
      </c>
      <c r="C11" t="s">
        <v>385</v>
      </c>
      <c r="D11" s="7">
        <v>1780842248</v>
      </c>
    </row>
    <row r="12" spans="1:4" x14ac:dyDescent="0.3">
      <c r="A12" t="s">
        <v>195</v>
      </c>
      <c r="B12" s="5">
        <v>85</v>
      </c>
      <c r="C12" t="s">
        <v>385</v>
      </c>
      <c r="D12" s="7">
        <v>1990052545</v>
      </c>
    </row>
    <row r="13" spans="1:4" x14ac:dyDescent="0.3">
      <c r="A13" t="s">
        <v>195</v>
      </c>
      <c r="B13" s="5">
        <v>86</v>
      </c>
      <c r="C13" t="s">
        <v>385</v>
      </c>
      <c r="D13" s="7">
        <v>1952040978</v>
      </c>
    </row>
    <row r="14" spans="1:4" x14ac:dyDescent="0.3">
      <c r="A14" t="s">
        <v>195</v>
      </c>
      <c r="B14" s="5">
        <v>87</v>
      </c>
      <c r="C14" t="s">
        <v>385</v>
      </c>
      <c r="D14" s="7">
        <v>1998627582</v>
      </c>
    </row>
    <row r="15" spans="1:4" x14ac:dyDescent="0.3">
      <c r="A15" t="s">
        <v>195</v>
      </c>
      <c r="B15" s="5">
        <v>88</v>
      </c>
      <c r="C15" t="s">
        <v>385</v>
      </c>
      <c r="D15" s="7">
        <v>1971558351</v>
      </c>
    </row>
    <row r="16" spans="1:4" x14ac:dyDescent="0.3">
      <c r="A16" t="s">
        <v>195</v>
      </c>
      <c r="B16" s="5">
        <v>89</v>
      </c>
      <c r="C16" t="s">
        <v>385</v>
      </c>
      <c r="D16" s="7">
        <v>2040365267</v>
      </c>
    </row>
    <row r="17" spans="1:4" x14ac:dyDescent="0.3">
      <c r="A17" t="s">
        <v>195</v>
      </c>
      <c r="B17" s="5">
        <v>90</v>
      </c>
      <c r="C17" t="s">
        <v>385</v>
      </c>
      <c r="D17" s="7">
        <v>2070105099</v>
      </c>
    </row>
    <row r="18" spans="1:4" x14ac:dyDescent="0.3">
      <c r="A18" t="s">
        <v>195</v>
      </c>
      <c r="B18" s="5">
        <v>91</v>
      </c>
      <c r="C18" t="s">
        <v>385</v>
      </c>
      <c r="D18" s="7">
        <v>2019432214</v>
      </c>
    </row>
    <row r="19" spans="1:4" x14ac:dyDescent="0.3">
      <c r="A19" t="s">
        <v>195</v>
      </c>
      <c r="B19" s="5">
        <v>92</v>
      </c>
      <c r="C19" t="s">
        <v>385</v>
      </c>
      <c r="D19" s="7">
        <v>2168402057</v>
      </c>
    </row>
    <row r="20" spans="1:4" x14ac:dyDescent="0.3">
      <c r="A20" t="s">
        <v>195</v>
      </c>
      <c r="B20" s="5">
        <v>93</v>
      </c>
      <c r="C20" t="s">
        <v>385</v>
      </c>
      <c r="D20" s="7">
        <v>2211669970</v>
      </c>
    </row>
    <row r="21" spans="1:4" x14ac:dyDescent="0.3">
      <c r="A21" t="s">
        <v>195</v>
      </c>
      <c r="B21" s="5">
        <v>94</v>
      </c>
      <c r="C21" t="s">
        <v>385</v>
      </c>
      <c r="D21" s="7">
        <v>2344465731</v>
      </c>
    </row>
    <row r="22" spans="1:4" x14ac:dyDescent="0.3">
      <c r="A22" t="s">
        <v>195</v>
      </c>
      <c r="B22" s="5">
        <v>95</v>
      </c>
      <c r="C22" t="s">
        <v>385</v>
      </c>
      <c r="D22" s="7">
        <v>2404347087</v>
      </c>
    </row>
    <row r="23" spans="1:4" x14ac:dyDescent="0.3">
      <c r="A23" t="s">
        <v>195</v>
      </c>
      <c r="B23" s="5">
        <v>96</v>
      </c>
      <c r="C23" t="s">
        <v>385</v>
      </c>
      <c r="D23" s="7">
        <v>2233344488</v>
      </c>
    </row>
    <row r="24" spans="1:4" x14ac:dyDescent="0.3">
      <c r="A24" t="s">
        <v>195</v>
      </c>
      <c r="B24" s="5">
        <v>97</v>
      </c>
      <c r="C24" t="s">
        <v>385</v>
      </c>
      <c r="D24" s="7">
        <v>2539426430</v>
      </c>
    </row>
    <row r="25" spans="1:4" x14ac:dyDescent="0.3">
      <c r="A25" t="s">
        <v>195</v>
      </c>
      <c r="B25" s="5">
        <v>98</v>
      </c>
      <c r="C25" t="s">
        <v>385</v>
      </c>
      <c r="D25" s="7">
        <v>2510984372</v>
      </c>
    </row>
    <row r="26" spans="1:4" x14ac:dyDescent="0.3">
      <c r="A26" t="s">
        <v>195</v>
      </c>
      <c r="B26" s="5">
        <v>99</v>
      </c>
      <c r="C26" t="s">
        <v>385</v>
      </c>
      <c r="D26" s="7">
        <v>2685988494</v>
      </c>
    </row>
    <row r="27" spans="1:4" x14ac:dyDescent="0.3">
      <c r="A27" t="s">
        <v>315</v>
      </c>
      <c r="B27" s="5">
        <v>54</v>
      </c>
      <c r="C27" t="s">
        <v>386</v>
      </c>
      <c r="D27" s="7">
        <v>378614.80645161303</v>
      </c>
    </row>
    <row r="28" spans="1:4" x14ac:dyDescent="0.3">
      <c r="A28" t="s">
        <v>315</v>
      </c>
      <c r="B28" s="5">
        <v>55</v>
      </c>
      <c r="C28" t="s">
        <v>386</v>
      </c>
      <c r="D28" s="7">
        <v>412739.96428571403</v>
      </c>
    </row>
    <row r="29" spans="1:4" x14ac:dyDescent="0.3">
      <c r="A29" t="s">
        <v>315</v>
      </c>
      <c r="B29" s="5">
        <v>56</v>
      </c>
      <c r="C29" t="s">
        <v>386</v>
      </c>
      <c r="D29" s="7">
        <v>452307.03225806501</v>
      </c>
    </row>
    <row r="30" spans="1:4" x14ac:dyDescent="0.3">
      <c r="A30" t="s">
        <v>315</v>
      </c>
      <c r="B30" s="5">
        <v>57</v>
      </c>
      <c r="C30" t="s">
        <v>386</v>
      </c>
      <c r="D30" s="7">
        <v>451724.5</v>
      </c>
    </row>
    <row r="31" spans="1:4" x14ac:dyDescent="0.3">
      <c r="A31" t="s">
        <v>315</v>
      </c>
      <c r="B31" s="5">
        <v>58</v>
      </c>
      <c r="C31" t="s">
        <v>386</v>
      </c>
      <c r="D31" s="7">
        <v>511812.83870967699</v>
      </c>
    </row>
    <row r="32" spans="1:4" x14ac:dyDescent="0.3">
      <c r="A32" t="s">
        <v>315</v>
      </c>
      <c r="B32" s="5">
        <v>59</v>
      </c>
      <c r="C32" t="s">
        <v>386</v>
      </c>
      <c r="D32" s="7">
        <v>550456.30000000005</v>
      </c>
    </row>
    <row r="33" spans="1:4" x14ac:dyDescent="0.3">
      <c r="A33" t="s">
        <v>315</v>
      </c>
      <c r="B33" s="5">
        <v>60</v>
      </c>
      <c r="C33" t="s">
        <v>386</v>
      </c>
      <c r="D33" s="7">
        <v>580366.64516128995</v>
      </c>
    </row>
    <row r="34" spans="1:4" x14ac:dyDescent="0.3">
      <c r="A34" t="s">
        <v>315</v>
      </c>
      <c r="B34" s="5">
        <v>61</v>
      </c>
      <c r="C34" t="s">
        <v>386</v>
      </c>
      <c r="D34" s="7">
        <v>628288.83870967699</v>
      </c>
    </row>
    <row r="35" spans="1:4" x14ac:dyDescent="0.3">
      <c r="A35" t="s">
        <v>315</v>
      </c>
      <c r="B35" s="5">
        <v>62</v>
      </c>
      <c r="C35" t="s">
        <v>386</v>
      </c>
      <c r="D35" s="7">
        <v>670071.83333333302</v>
      </c>
    </row>
    <row r="36" spans="1:4" x14ac:dyDescent="0.3">
      <c r="A36" t="s">
        <v>315</v>
      </c>
      <c r="B36" s="5">
        <v>63</v>
      </c>
      <c r="C36" t="s">
        <v>386</v>
      </c>
      <c r="D36" s="7">
        <v>702357.51612903201</v>
      </c>
    </row>
    <row r="37" spans="1:4" x14ac:dyDescent="0.3">
      <c r="A37" t="s">
        <v>315</v>
      </c>
      <c r="B37" s="5">
        <v>64</v>
      </c>
      <c r="C37" t="s">
        <v>386</v>
      </c>
      <c r="D37" s="7">
        <v>791741.933333333</v>
      </c>
    </row>
    <row r="38" spans="1:4" x14ac:dyDescent="0.3">
      <c r="A38" t="s">
        <v>315</v>
      </c>
      <c r="B38" s="5">
        <v>65</v>
      </c>
      <c r="C38" t="s">
        <v>386</v>
      </c>
      <c r="D38" s="7">
        <v>849936.87096774206</v>
      </c>
    </row>
    <row r="39" spans="1:4" x14ac:dyDescent="0.3">
      <c r="A39" t="s">
        <v>315</v>
      </c>
      <c r="B39" s="5">
        <v>66</v>
      </c>
      <c r="C39" t="s">
        <v>386</v>
      </c>
      <c r="D39" s="7">
        <v>894616.64516128995</v>
      </c>
    </row>
    <row r="40" spans="1:4" x14ac:dyDescent="0.3">
      <c r="A40" t="s">
        <v>315</v>
      </c>
      <c r="B40" s="5">
        <v>67</v>
      </c>
      <c r="C40" t="s">
        <v>386</v>
      </c>
      <c r="D40" s="7">
        <v>931363.10714285704</v>
      </c>
    </row>
    <row r="41" spans="1:4" x14ac:dyDescent="0.3">
      <c r="A41" t="s">
        <v>315</v>
      </c>
      <c r="B41" s="5">
        <v>68</v>
      </c>
      <c r="C41" t="s">
        <v>386</v>
      </c>
      <c r="D41" s="7">
        <v>1052735.6129032299</v>
      </c>
    </row>
    <row r="42" spans="1:4" x14ac:dyDescent="0.3">
      <c r="A42" t="s">
        <v>315</v>
      </c>
      <c r="B42" s="5">
        <v>69</v>
      </c>
      <c r="C42" t="s">
        <v>386</v>
      </c>
      <c r="D42" s="7">
        <v>1108269.8999999999</v>
      </c>
    </row>
    <row r="43" spans="1:4" x14ac:dyDescent="0.3">
      <c r="A43" t="s">
        <v>315</v>
      </c>
      <c r="B43" s="5">
        <v>70</v>
      </c>
      <c r="C43" t="s">
        <v>386</v>
      </c>
      <c r="D43" s="7">
        <v>1211608.22580645</v>
      </c>
    </row>
    <row r="44" spans="1:4" x14ac:dyDescent="0.3">
      <c r="A44" t="s">
        <v>315</v>
      </c>
      <c r="B44" s="5">
        <v>71</v>
      </c>
      <c r="C44" t="s">
        <v>386</v>
      </c>
      <c r="D44" s="7">
        <v>1290792.9666666701</v>
      </c>
    </row>
    <row r="45" spans="1:4" x14ac:dyDescent="0.3">
      <c r="A45" t="s">
        <v>315</v>
      </c>
      <c r="B45" s="5">
        <v>72</v>
      </c>
      <c r="C45" t="s">
        <v>386</v>
      </c>
      <c r="D45" s="7">
        <v>1351386.84615385</v>
      </c>
    </row>
    <row r="46" spans="1:4" x14ac:dyDescent="0.3">
      <c r="A46" t="s">
        <v>315</v>
      </c>
      <c r="B46" s="5">
        <v>54</v>
      </c>
      <c r="C46" t="s">
        <v>387</v>
      </c>
      <c r="D46" s="7">
        <v>203964060</v>
      </c>
    </row>
    <row r="47" spans="1:4" x14ac:dyDescent="0.3">
      <c r="A47" t="s">
        <v>315</v>
      </c>
      <c r="B47" s="5">
        <v>55</v>
      </c>
      <c r="C47" t="s">
        <v>387</v>
      </c>
      <c r="D47" s="7">
        <v>156487437</v>
      </c>
    </row>
    <row r="48" spans="1:4" x14ac:dyDescent="0.3">
      <c r="A48" t="s">
        <v>315</v>
      </c>
      <c r="B48" s="5">
        <v>56</v>
      </c>
      <c r="C48" t="s">
        <v>387</v>
      </c>
      <c r="D48" s="7">
        <v>186668328</v>
      </c>
    </row>
    <row r="49" spans="1:4" x14ac:dyDescent="0.3">
      <c r="A49" t="s">
        <v>315</v>
      </c>
      <c r="B49" s="5">
        <v>57</v>
      </c>
      <c r="C49" t="s">
        <v>387</v>
      </c>
      <c r="D49" s="7">
        <v>201917631</v>
      </c>
    </row>
    <row r="50" spans="1:4" x14ac:dyDescent="0.3">
      <c r="A50" t="s">
        <v>315</v>
      </c>
      <c r="B50" s="5">
        <v>58</v>
      </c>
      <c r="C50" t="s">
        <v>387</v>
      </c>
      <c r="D50" s="7">
        <v>223914900</v>
      </c>
    </row>
    <row r="51" spans="1:4" x14ac:dyDescent="0.3">
      <c r="A51" t="s">
        <v>315</v>
      </c>
      <c r="B51" s="5">
        <v>59</v>
      </c>
      <c r="C51" t="s">
        <v>387</v>
      </c>
      <c r="D51" s="7">
        <v>217410079</v>
      </c>
    </row>
    <row r="52" spans="1:4" x14ac:dyDescent="0.3">
      <c r="A52" t="s">
        <v>315</v>
      </c>
      <c r="B52" s="5">
        <v>60</v>
      </c>
      <c r="C52" t="s">
        <v>387</v>
      </c>
      <c r="D52" s="7">
        <v>236797876</v>
      </c>
    </row>
    <row r="53" spans="1:4" x14ac:dyDescent="0.3">
      <c r="A53" t="s">
        <v>315</v>
      </c>
      <c r="B53" s="5">
        <v>61</v>
      </c>
      <c r="C53" t="s">
        <v>387</v>
      </c>
      <c r="D53" s="7">
        <v>240330105</v>
      </c>
    </row>
    <row r="54" spans="1:4" x14ac:dyDescent="0.3">
      <c r="A54" t="s">
        <v>315</v>
      </c>
      <c r="B54" s="5">
        <v>62</v>
      </c>
      <c r="C54" t="s">
        <v>387</v>
      </c>
      <c r="D54" s="7">
        <v>239886536</v>
      </c>
    </row>
    <row r="55" spans="1:4" x14ac:dyDescent="0.3">
      <c r="A55" t="s">
        <v>315</v>
      </c>
      <c r="B55" s="5">
        <v>63</v>
      </c>
      <c r="C55" t="s">
        <v>387</v>
      </c>
      <c r="D55" s="7">
        <v>308205928</v>
      </c>
    </row>
    <row r="56" spans="1:4" x14ac:dyDescent="0.3">
      <c r="A56" t="s">
        <v>315</v>
      </c>
      <c r="B56" s="5">
        <v>64</v>
      </c>
      <c r="C56" t="s">
        <v>387</v>
      </c>
      <c r="D56" s="7">
        <v>423922786</v>
      </c>
    </row>
    <row r="57" spans="1:4" x14ac:dyDescent="0.3">
      <c r="A57" t="s">
        <v>315</v>
      </c>
      <c r="B57" s="5">
        <v>65</v>
      </c>
      <c r="C57" t="s">
        <v>387</v>
      </c>
      <c r="D57" s="7">
        <v>374124536</v>
      </c>
    </row>
    <row r="58" spans="1:4" x14ac:dyDescent="0.3">
      <c r="A58" t="s">
        <v>315</v>
      </c>
      <c r="B58" s="5">
        <v>66</v>
      </c>
      <c r="C58" t="s">
        <v>387</v>
      </c>
      <c r="D58" s="7">
        <v>370910798</v>
      </c>
    </row>
    <row r="59" spans="1:4" x14ac:dyDescent="0.3">
      <c r="A59" t="s">
        <v>315</v>
      </c>
      <c r="B59" s="5">
        <v>67</v>
      </c>
      <c r="C59" t="s">
        <v>387</v>
      </c>
      <c r="D59" s="7">
        <v>363953016</v>
      </c>
    </row>
    <row r="60" spans="1:4" x14ac:dyDescent="0.3">
      <c r="A60" t="s">
        <v>315</v>
      </c>
      <c r="B60" s="5">
        <v>68</v>
      </c>
      <c r="C60" t="s">
        <v>387</v>
      </c>
      <c r="D60" s="7">
        <v>444478712</v>
      </c>
    </row>
    <row r="61" spans="1:4" x14ac:dyDescent="0.3">
      <c r="A61" t="s">
        <v>315</v>
      </c>
      <c r="B61" s="5">
        <v>69</v>
      </c>
      <c r="C61" t="s">
        <v>387</v>
      </c>
      <c r="D61" s="7">
        <v>444274218</v>
      </c>
    </row>
    <row r="62" spans="1:4" x14ac:dyDescent="0.3">
      <c r="A62" t="s">
        <v>315</v>
      </c>
      <c r="B62" s="5">
        <v>70</v>
      </c>
      <c r="C62" t="s">
        <v>387</v>
      </c>
      <c r="D62" s="7">
        <v>476836721</v>
      </c>
    </row>
    <row r="63" spans="1:4" x14ac:dyDescent="0.3">
      <c r="A63" t="s">
        <v>315</v>
      </c>
      <c r="B63" s="5">
        <v>71</v>
      </c>
      <c r="C63" t="s">
        <v>387</v>
      </c>
      <c r="D63" s="7">
        <v>556092352</v>
      </c>
    </row>
    <row r="64" spans="1:4" x14ac:dyDescent="0.3">
      <c r="A64" t="s">
        <v>315</v>
      </c>
      <c r="B64" s="5">
        <v>72</v>
      </c>
      <c r="C64" t="s">
        <v>387</v>
      </c>
      <c r="D64" s="7">
        <v>243049477</v>
      </c>
    </row>
    <row r="65" spans="1:4" x14ac:dyDescent="0.3">
      <c r="A65" t="s">
        <v>374</v>
      </c>
      <c r="B65" s="5">
        <v>63</v>
      </c>
      <c r="C65" t="s">
        <v>334</v>
      </c>
      <c r="D65" s="7">
        <v>114000000</v>
      </c>
    </row>
    <row r="66" spans="1:4" x14ac:dyDescent="0.3">
      <c r="A66" t="s">
        <v>311</v>
      </c>
      <c r="B66" s="5">
        <v>0</v>
      </c>
      <c r="C66" t="s">
        <v>269</v>
      </c>
      <c r="D66" s="27">
        <v>0.05</v>
      </c>
    </row>
    <row r="67" spans="1:4" x14ac:dyDescent="0.3">
      <c r="A67" t="s">
        <v>311</v>
      </c>
      <c r="B67" s="5">
        <v>0</v>
      </c>
      <c r="C67" t="s">
        <v>268</v>
      </c>
      <c r="D67" s="27">
        <v>0.05</v>
      </c>
    </row>
    <row r="68" spans="1:4" x14ac:dyDescent="0.3">
      <c r="A68" t="s">
        <v>311</v>
      </c>
      <c r="B68" s="5">
        <v>0</v>
      </c>
      <c r="C68" t="s">
        <v>272</v>
      </c>
      <c r="D68" s="27">
        <v>0.05</v>
      </c>
    </row>
    <row r="69" spans="1:4" x14ac:dyDescent="0.3">
      <c r="A69" t="s">
        <v>311</v>
      </c>
      <c r="B69" s="5">
        <v>1</v>
      </c>
      <c r="C69" t="s">
        <v>269</v>
      </c>
      <c r="D69" s="27">
        <v>5.0882199924002197E-2</v>
      </c>
    </row>
    <row r="70" spans="1:4" x14ac:dyDescent="0.3">
      <c r="A70" t="s">
        <v>311</v>
      </c>
      <c r="B70" s="5">
        <v>1</v>
      </c>
      <c r="C70" t="s">
        <v>268</v>
      </c>
      <c r="D70" s="27">
        <v>5.1260285605717403E-2</v>
      </c>
    </row>
    <row r="71" spans="1:4" x14ac:dyDescent="0.3">
      <c r="A71" t="s">
        <v>311</v>
      </c>
      <c r="B71" s="5">
        <v>1</v>
      </c>
      <c r="C71" t="s">
        <v>272</v>
      </c>
      <c r="D71" s="27">
        <v>5.1638371287432601E-2</v>
      </c>
    </row>
    <row r="72" spans="1:4" x14ac:dyDescent="0.3">
      <c r="A72" t="s">
        <v>311</v>
      </c>
      <c r="B72" s="5">
        <v>2</v>
      </c>
      <c r="C72" t="s">
        <v>269</v>
      </c>
      <c r="D72" s="27">
        <v>5.1779965382122498E-2</v>
      </c>
    </row>
    <row r="73" spans="1:4" x14ac:dyDescent="0.3">
      <c r="A73" t="s">
        <v>311</v>
      </c>
      <c r="B73" s="5">
        <v>2</v>
      </c>
      <c r="C73" t="s">
        <v>268</v>
      </c>
      <c r="D73" s="27">
        <v>5.2552337607594299E-2</v>
      </c>
    </row>
    <row r="74" spans="1:4" x14ac:dyDescent="0.3">
      <c r="A74" t="s">
        <v>311</v>
      </c>
      <c r="B74" s="5">
        <v>2</v>
      </c>
      <c r="C74" t="s">
        <v>272</v>
      </c>
      <c r="D74" s="27">
        <v>5.3330427784374898E-2</v>
      </c>
    </row>
    <row r="75" spans="1:4" x14ac:dyDescent="0.3">
      <c r="A75" t="s">
        <v>311</v>
      </c>
      <c r="B75" s="5">
        <v>3</v>
      </c>
      <c r="C75" t="s">
        <v>269</v>
      </c>
      <c r="D75" s="27">
        <v>5.2693571012621399E-2</v>
      </c>
    </row>
    <row r="76" spans="1:4" x14ac:dyDescent="0.3">
      <c r="A76" t="s">
        <v>311</v>
      </c>
      <c r="B76" s="5">
        <v>3</v>
      </c>
      <c r="C76" t="s">
        <v>268</v>
      </c>
      <c r="D76" s="27">
        <v>5.3876956700267403E-2</v>
      </c>
    </row>
    <row r="77" spans="1:4" x14ac:dyDescent="0.3">
      <c r="A77" t="s">
        <v>311</v>
      </c>
      <c r="B77" s="5">
        <v>3</v>
      </c>
      <c r="C77" t="s">
        <v>272</v>
      </c>
      <c r="D77" s="27">
        <v>5.5077928616943203E-2</v>
      </c>
    </row>
    <row r="78" spans="1:4" x14ac:dyDescent="0.3">
      <c r="A78" t="s">
        <v>311</v>
      </c>
      <c r="B78" s="5">
        <v>4</v>
      </c>
      <c r="C78" t="s">
        <v>269</v>
      </c>
      <c r="D78" s="27">
        <v>5.3623296299476098E-2</v>
      </c>
    </row>
    <row r="79" spans="1:4" x14ac:dyDescent="0.3">
      <c r="A79" t="s">
        <v>311</v>
      </c>
      <c r="B79" s="5">
        <v>4</v>
      </c>
      <c r="C79" t="s">
        <v>268</v>
      </c>
      <c r="D79" s="27">
        <v>5.5234963760451498E-2</v>
      </c>
    </row>
    <row r="80" spans="1:4" x14ac:dyDescent="0.3">
      <c r="A80" t="s">
        <v>311</v>
      </c>
      <c r="B80" s="5">
        <v>4</v>
      </c>
      <c r="C80" t="s">
        <v>272</v>
      </c>
      <c r="D80" s="27">
        <v>5.6882690553288498E-2</v>
      </c>
    </row>
    <row r="81" spans="1:4" x14ac:dyDescent="0.3">
      <c r="A81" t="s">
        <v>311</v>
      </c>
      <c r="B81" s="5">
        <v>5</v>
      </c>
      <c r="C81" t="s">
        <v>269</v>
      </c>
      <c r="D81" s="27">
        <v>5.4569425657878999E-2</v>
      </c>
    </row>
    <row r="82" spans="1:4" x14ac:dyDescent="0.3">
      <c r="A82" t="s">
        <v>311</v>
      </c>
      <c r="B82" s="5">
        <v>5</v>
      </c>
      <c r="C82" t="s">
        <v>268</v>
      </c>
      <c r="D82" s="27">
        <v>5.6627200355643802E-2</v>
      </c>
    </row>
    <row r="83" spans="1:4" x14ac:dyDescent="0.3">
      <c r="A83" t="s">
        <v>311</v>
      </c>
      <c r="B83" s="5">
        <v>5</v>
      </c>
      <c r="C83" t="s">
        <v>272</v>
      </c>
      <c r="D83" s="27">
        <v>5.8746589892376903E-2</v>
      </c>
    </row>
    <row r="84" spans="1:4" x14ac:dyDescent="0.3">
      <c r="A84" t="s">
        <v>311</v>
      </c>
      <c r="B84" s="5">
        <v>6</v>
      </c>
      <c r="C84" t="s">
        <v>269</v>
      </c>
      <c r="D84" s="27">
        <v>5.5532248521243499E-2</v>
      </c>
    </row>
    <row r="85" spans="1:4" x14ac:dyDescent="0.3">
      <c r="A85" t="s">
        <v>311</v>
      </c>
      <c r="B85" s="5">
        <v>6</v>
      </c>
      <c r="C85" t="s">
        <v>268</v>
      </c>
      <c r="D85" s="27">
        <v>5.8054529265649697E-2</v>
      </c>
    </row>
    <row r="86" spans="1:4" x14ac:dyDescent="0.3">
      <c r="A86" t="s">
        <v>311</v>
      </c>
      <c r="B86" s="5">
        <v>6</v>
      </c>
      <c r="C86" t="s">
        <v>272</v>
      </c>
      <c r="D86" s="27">
        <v>6.0671564414661899E-2</v>
      </c>
    </row>
    <row r="87" spans="1:4" x14ac:dyDescent="0.3">
      <c r="A87" t="s">
        <v>311</v>
      </c>
      <c r="B87" s="5">
        <v>7</v>
      </c>
      <c r="C87" t="s">
        <v>269</v>
      </c>
      <c r="D87" s="27">
        <v>5.6512059429745701E-2</v>
      </c>
    </row>
    <row r="88" spans="1:4" x14ac:dyDescent="0.3">
      <c r="A88" t="s">
        <v>311</v>
      </c>
      <c r="B88" s="5">
        <v>7</v>
      </c>
      <c r="C88" t="s">
        <v>268</v>
      </c>
      <c r="D88" s="27">
        <v>5.9517835017253599E-2</v>
      </c>
    </row>
    <row r="89" spans="1:4" x14ac:dyDescent="0.3">
      <c r="A89" t="s">
        <v>311</v>
      </c>
      <c r="B89" s="5">
        <v>7</v>
      </c>
      <c r="C89" t="s">
        <v>272</v>
      </c>
      <c r="D89" s="27">
        <v>6.2659615396673904E-2</v>
      </c>
    </row>
    <row r="90" spans="1:4" x14ac:dyDescent="0.3">
      <c r="A90" t="s">
        <v>311</v>
      </c>
      <c r="B90" s="5">
        <v>8</v>
      </c>
      <c r="C90" t="s">
        <v>269</v>
      </c>
      <c r="D90" s="27">
        <v>5.75091581204282E-2</v>
      </c>
    </row>
    <row r="91" spans="1:4" x14ac:dyDescent="0.3">
      <c r="A91" t="s">
        <v>311</v>
      </c>
      <c r="B91" s="5">
        <v>8</v>
      </c>
      <c r="C91" t="s">
        <v>268</v>
      </c>
      <c r="D91" s="27">
        <v>6.1018024432367701E-2</v>
      </c>
    </row>
    <row r="92" spans="1:4" x14ac:dyDescent="0.3">
      <c r="A92" t="s">
        <v>311</v>
      </c>
      <c r="B92" s="5">
        <v>8</v>
      </c>
      <c r="C92" t="s">
        <v>272</v>
      </c>
      <c r="D92" s="27">
        <v>6.4712809691623505E-2</v>
      </c>
    </row>
    <row r="93" spans="1:4" x14ac:dyDescent="0.3">
      <c r="A93" t="s">
        <v>311</v>
      </c>
      <c r="B93" s="5">
        <v>9</v>
      </c>
      <c r="C93" t="s">
        <v>269</v>
      </c>
      <c r="D93" s="27">
        <v>5.8523849618893703E-2</v>
      </c>
    </row>
    <row r="94" spans="1:4" x14ac:dyDescent="0.3">
      <c r="A94" t="s">
        <v>311</v>
      </c>
      <c r="B94" s="5">
        <v>9</v>
      </c>
      <c r="C94" t="s">
        <v>268</v>
      </c>
      <c r="D94" s="27">
        <v>6.2556027189996199E-2</v>
      </c>
    </row>
    <row r="95" spans="1:4" x14ac:dyDescent="0.3">
      <c r="A95" t="s">
        <v>311</v>
      </c>
      <c r="B95" s="5">
        <v>9</v>
      </c>
      <c r="C95" t="s">
        <v>272</v>
      </c>
      <c r="D95" s="27">
        <v>6.6833281878180398E-2</v>
      </c>
    </row>
    <row r="96" spans="1:4" x14ac:dyDescent="0.3">
      <c r="A96" t="s">
        <v>311</v>
      </c>
      <c r="B96" s="5">
        <v>10</v>
      </c>
      <c r="C96" t="s">
        <v>269</v>
      </c>
      <c r="D96" s="27">
        <v>5.9556444332615699E-2</v>
      </c>
    </row>
    <row r="97" spans="1:4" x14ac:dyDescent="0.3">
      <c r="A97" t="s">
        <v>311</v>
      </c>
      <c r="B97" s="5">
        <v>10</v>
      </c>
      <c r="C97" t="s">
        <v>268</v>
      </c>
      <c r="D97" s="27">
        <v>6.4132796402364606E-2</v>
      </c>
    </row>
    <row r="98" spans="1:4" x14ac:dyDescent="0.3">
      <c r="A98" t="s">
        <v>311</v>
      </c>
      <c r="B98" s="5">
        <v>10</v>
      </c>
      <c r="C98" t="s">
        <v>272</v>
      </c>
      <c r="D98" s="27">
        <v>6.9023236479662395E-2</v>
      </c>
    </row>
    <row r="99" spans="1:4" x14ac:dyDescent="0.3">
      <c r="A99" t="s">
        <v>311</v>
      </c>
      <c r="B99" s="5">
        <v>11</v>
      </c>
      <c r="C99" t="s">
        <v>269</v>
      </c>
      <c r="D99" s="27">
        <v>6.0607258145897201E-2</v>
      </c>
    </row>
    <row r="100" spans="1:4" x14ac:dyDescent="0.3">
      <c r="A100" t="s">
        <v>311</v>
      </c>
      <c r="B100" s="5">
        <v>11</v>
      </c>
      <c r="C100" t="s">
        <v>268</v>
      </c>
      <c r="D100" s="27">
        <v>6.5749309205570594E-2</v>
      </c>
    </row>
    <row r="101" spans="1:4" x14ac:dyDescent="0.3">
      <c r="A101" t="s">
        <v>311</v>
      </c>
      <c r="B101" s="5">
        <v>11</v>
      </c>
      <c r="C101" t="s">
        <v>272</v>
      </c>
      <c r="D101" s="27">
        <v>7.1284950255941407E-2</v>
      </c>
    </row>
    <row r="102" spans="1:4" x14ac:dyDescent="0.3">
      <c r="A102" t="s">
        <v>311</v>
      </c>
      <c r="B102" s="5">
        <v>12</v>
      </c>
      <c r="C102" t="s">
        <v>269</v>
      </c>
      <c r="D102" s="27">
        <v>6.1676612516502999E-2</v>
      </c>
    </row>
    <row r="103" spans="1:4" x14ac:dyDescent="0.3">
      <c r="A103" t="s">
        <v>311</v>
      </c>
      <c r="B103" s="5">
        <v>12</v>
      </c>
      <c r="C103" t="s">
        <v>268</v>
      </c>
      <c r="D103" s="27">
        <v>6.7406567365123501E-2</v>
      </c>
    </row>
    <row r="104" spans="1:4" x14ac:dyDescent="0.3">
      <c r="A104" t="s">
        <v>311</v>
      </c>
      <c r="B104" s="5">
        <v>12</v>
      </c>
      <c r="C104" t="s">
        <v>272</v>
      </c>
      <c r="D104" s="27">
        <v>7.3620774570449299E-2</v>
      </c>
    </row>
    <row r="105" spans="1:4" x14ac:dyDescent="0.3">
      <c r="A105" t="s">
        <v>311</v>
      </c>
      <c r="B105" s="5">
        <v>13</v>
      </c>
      <c r="C105" t="s">
        <v>269</v>
      </c>
      <c r="D105" s="27">
        <v>6.2764834573998396E-2</v>
      </c>
    </row>
    <row r="106" spans="1:4" x14ac:dyDescent="0.3">
      <c r="A106" t="s">
        <v>311</v>
      </c>
      <c r="B106" s="5">
        <v>13</v>
      </c>
      <c r="C106" t="s">
        <v>268</v>
      </c>
      <c r="D106" s="27">
        <v>6.9105597896745197E-2</v>
      </c>
    </row>
    <row r="107" spans="1:4" x14ac:dyDescent="0.3">
      <c r="A107" t="s">
        <v>311</v>
      </c>
      <c r="B107" s="5">
        <v>13</v>
      </c>
      <c r="C107" t="s">
        <v>272</v>
      </c>
      <c r="D107" s="27">
        <v>7.6033137834744802E-2</v>
      </c>
    </row>
    <row r="108" spans="1:4" x14ac:dyDescent="0.3">
      <c r="A108" t="s">
        <v>311</v>
      </c>
      <c r="B108" s="5">
        <v>14</v>
      </c>
      <c r="C108" t="s">
        <v>269</v>
      </c>
      <c r="D108" s="27">
        <v>6.3872257219822204E-2</v>
      </c>
    </row>
    <row r="109" spans="1:4" x14ac:dyDescent="0.3">
      <c r="A109" t="s">
        <v>311</v>
      </c>
      <c r="B109" s="5">
        <v>14</v>
      </c>
      <c r="C109" t="s">
        <v>268</v>
      </c>
      <c r="D109" s="27">
        <v>7.0847453702820404E-2</v>
      </c>
    </row>
    <row r="110" spans="1:4" x14ac:dyDescent="0.3">
      <c r="A110" t="s">
        <v>311</v>
      </c>
      <c r="B110" s="5">
        <v>14</v>
      </c>
      <c r="C110" t="s">
        <v>272</v>
      </c>
      <c r="D110" s="27">
        <v>7.8524548033181804E-2</v>
      </c>
    </row>
    <row r="111" spans="1:4" x14ac:dyDescent="0.3">
      <c r="A111" t="s">
        <v>311</v>
      </c>
      <c r="B111" s="5">
        <v>15</v>
      </c>
      <c r="C111" t="s">
        <v>269</v>
      </c>
      <c r="D111" s="27">
        <v>6.4999219229125701E-2</v>
      </c>
    </row>
    <row r="112" spans="1:4" x14ac:dyDescent="0.3">
      <c r="A112" t="s">
        <v>311</v>
      </c>
      <c r="B112" s="5">
        <v>15</v>
      </c>
      <c r="C112" t="s">
        <v>268</v>
      </c>
      <c r="D112" s="27">
        <v>7.2633214224888207E-2</v>
      </c>
    </row>
    <row r="113" spans="1:4" x14ac:dyDescent="0.3">
      <c r="A113" t="s">
        <v>311</v>
      </c>
      <c r="B113" s="5">
        <v>15</v>
      </c>
      <c r="C113" t="s">
        <v>272</v>
      </c>
      <c r="D113" s="27">
        <v>8.1097595330305597E-2</v>
      </c>
    </row>
    <row r="114" spans="1:4" x14ac:dyDescent="0.3">
      <c r="A114" t="s">
        <v>311</v>
      </c>
      <c r="B114" s="5">
        <v>16</v>
      </c>
      <c r="C114" t="s">
        <v>269</v>
      </c>
      <c r="D114" s="27">
        <v>6.6146065354408395E-2</v>
      </c>
    </row>
    <row r="115" spans="1:4" x14ac:dyDescent="0.3">
      <c r="A115" t="s">
        <v>311</v>
      </c>
      <c r="B115" s="5">
        <v>16</v>
      </c>
      <c r="C115" t="s">
        <v>268</v>
      </c>
      <c r="D115" s="27">
        <v>7.4463986112580496E-2</v>
      </c>
    </row>
    <row r="116" spans="1:4" x14ac:dyDescent="0.3">
      <c r="A116" t="s">
        <v>311</v>
      </c>
      <c r="B116" s="5">
        <v>16</v>
      </c>
      <c r="C116" t="s">
        <v>272</v>
      </c>
      <c r="D116" s="27">
        <v>8.3754954763685593E-2</v>
      </c>
    </row>
    <row r="117" spans="1:4" x14ac:dyDescent="0.3">
      <c r="A117" t="s">
        <v>311</v>
      </c>
      <c r="B117" s="5">
        <v>17</v>
      </c>
      <c r="C117" t="s">
        <v>269</v>
      </c>
      <c r="D117" s="27">
        <v>6.7313146430982407E-2</v>
      </c>
    </row>
    <row r="118" spans="1:4" x14ac:dyDescent="0.3">
      <c r="A118" t="s">
        <v>311</v>
      </c>
      <c r="B118" s="5">
        <v>17</v>
      </c>
      <c r="C118" t="s">
        <v>268</v>
      </c>
      <c r="D118" s="27">
        <v>7.6340903909420998E-2</v>
      </c>
    </row>
    <row r="119" spans="1:4" x14ac:dyDescent="0.3">
      <c r="A119" t="s">
        <v>311</v>
      </c>
      <c r="B119" s="5">
        <v>17</v>
      </c>
      <c r="C119" t="s">
        <v>272</v>
      </c>
      <c r="D119" s="27">
        <v>8.6499389024986398E-2</v>
      </c>
    </row>
    <row r="120" spans="1:4" x14ac:dyDescent="0.3">
      <c r="A120" t="s">
        <v>311</v>
      </c>
      <c r="B120" s="5">
        <v>18</v>
      </c>
      <c r="C120" t="s">
        <v>269</v>
      </c>
      <c r="D120" s="27">
        <v>6.8500819484297606E-2</v>
      </c>
    </row>
    <row r="121" spans="1:4" x14ac:dyDescent="0.3">
      <c r="A121" t="s">
        <v>311</v>
      </c>
      <c r="B121" s="5">
        <v>18</v>
      </c>
      <c r="C121" t="s">
        <v>268</v>
      </c>
      <c r="D121" s="27">
        <v>7.8265130755910906E-2</v>
      </c>
    </row>
    <row r="122" spans="1:4" x14ac:dyDescent="0.3">
      <c r="A122" t="s">
        <v>311</v>
      </c>
      <c r="B122" s="5">
        <v>18</v>
      </c>
      <c r="C122" t="s">
        <v>272</v>
      </c>
      <c r="D122" s="27">
        <v>8.9333751332166395E-2</v>
      </c>
    </row>
    <row r="123" spans="1:4" x14ac:dyDescent="0.3">
      <c r="A123" t="s">
        <v>311</v>
      </c>
      <c r="B123" s="5">
        <v>19</v>
      </c>
      <c r="C123" t="s">
        <v>269</v>
      </c>
      <c r="D123" s="27">
        <v>6.9709447839160193E-2</v>
      </c>
    </row>
    <row r="124" spans="1:4" x14ac:dyDescent="0.3">
      <c r="A124" t="s">
        <v>311</v>
      </c>
      <c r="B124" s="5">
        <v>19</v>
      </c>
      <c r="C124" t="s">
        <v>268</v>
      </c>
      <c r="D124" s="27">
        <v>8.0237859110336193E-2</v>
      </c>
    </row>
    <row r="125" spans="1:4" x14ac:dyDescent="0.3">
      <c r="A125" t="s">
        <v>311</v>
      </c>
      <c r="B125" s="5">
        <v>19</v>
      </c>
      <c r="C125" t="s">
        <v>272</v>
      </c>
      <c r="D125" s="27">
        <v>9.2260988395791693E-2</v>
      </c>
    </row>
    <row r="126" spans="1:4" x14ac:dyDescent="0.3">
      <c r="A126" t="s">
        <v>311</v>
      </c>
      <c r="B126" s="5">
        <v>20</v>
      </c>
      <c r="C126" t="s">
        <v>269</v>
      </c>
      <c r="D126" s="27">
        <v>7.0939401230879107E-2</v>
      </c>
    </row>
    <row r="127" spans="1:4" x14ac:dyDescent="0.3">
      <c r="A127" t="s">
        <v>311</v>
      </c>
      <c r="B127" s="5">
        <v>20</v>
      </c>
      <c r="C127" t="s">
        <v>268</v>
      </c>
      <c r="D127" s="27">
        <v>8.2260311487742904E-2</v>
      </c>
    </row>
    <row r="128" spans="1:4" x14ac:dyDescent="0.3">
      <c r="A128" t="s">
        <v>311</v>
      </c>
      <c r="B128" s="5">
        <v>20</v>
      </c>
      <c r="C128" t="s">
        <v>272</v>
      </c>
      <c r="D128" s="27">
        <v>9.52841434825481E-2</v>
      </c>
    </row>
    <row r="129" spans="1:4" x14ac:dyDescent="0.3">
      <c r="A129" t="s">
        <v>311</v>
      </c>
      <c r="B129" s="5">
        <v>21</v>
      </c>
      <c r="C129" t="s">
        <v>269</v>
      </c>
      <c r="D129" s="27">
        <v>7.2191055918371896E-2</v>
      </c>
    </row>
    <row r="130" spans="1:4" x14ac:dyDescent="0.3">
      <c r="A130" t="s">
        <v>311</v>
      </c>
      <c r="B130" s="5">
        <v>21</v>
      </c>
      <c r="C130" t="s">
        <v>268</v>
      </c>
      <c r="D130" s="27">
        <v>8.4333741217539504E-2</v>
      </c>
    </row>
    <row r="131" spans="1:4" x14ac:dyDescent="0.3">
      <c r="A131" t="s">
        <v>311</v>
      </c>
      <c r="B131" s="5">
        <v>21</v>
      </c>
      <c r="C131" t="s">
        <v>272</v>
      </c>
      <c r="D131" s="27">
        <v>9.8406359579136404E-2</v>
      </c>
    </row>
    <row r="132" spans="1:4" x14ac:dyDescent="0.3">
      <c r="A132" t="s">
        <v>311</v>
      </c>
      <c r="B132" s="5">
        <v>22</v>
      </c>
      <c r="C132" t="s">
        <v>269</v>
      </c>
      <c r="D132" s="27">
        <v>7.3464794799268401E-2</v>
      </c>
    </row>
    <row r="133" spans="1:4" x14ac:dyDescent="0.3">
      <c r="A133" t="s">
        <v>311</v>
      </c>
      <c r="B133" s="5">
        <v>22</v>
      </c>
      <c r="C133" t="s">
        <v>268</v>
      </c>
      <c r="D133" s="27">
        <v>8.6459433220194698E-2</v>
      </c>
    </row>
    <row r="134" spans="1:4" x14ac:dyDescent="0.3">
      <c r="A134" t="s">
        <v>311</v>
      </c>
      <c r="B134" s="5">
        <v>22</v>
      </c>
      <c r="C134" t="s">
        <v>272</v>
      </c>
      <c r="D134" s="27">
        <v>0.10163088265984099</v>
      </c>
    </row>
    <row r="135" spans="1:4" x14ac:dyDescent="0.3">
      <c r="A135" t="s">
        <v>311</v>
      </c>
      <c r="B135" s="5">
        <v>23</v>
      </c>
      <c r="C135" t="s">
        <v>269</v>
      </c>
      <c r="D135" s="27">
        <v>7.4761007527043399E-2</v>
      </c>
    </row>
    <row r="136" spans="1:4" x14ac:dyDescent="0.3">
      <c r="A136" t="s">
        <v>311</v>
      </c>
      <c r="B136" s="5">
        <v>23</v>
      </c>
      <c r="C136" t="s">
        <v>268</v>
      </c>
      <c r="D136" s="27">
        <v>8.8638704803512602E-2</v>
      </c>
    </row>
    <row r="137" spans="1:4" x14ac:dyDescent="0.3">
      <c r="A137" t="s">
        <v>311</v>
      </c>
      <c r="B137" s="5">
        <v>23</v>
      </c>
      <c r="C137" t="s">
        <v>272</v>
      </c>
      <c r="D137" s="27">
        <v>0.10496106506116699</v>
      </c>
    </row>
    <row r="138" spans="1:4" x14ac:dyDescent="0.3">
      <c r="A138" t="s">
        <v>311</v>
      </c>
      <c r="B138" s="5">
        <v>24</v>
      </c>
      <c r="C138" t="s">
        <v>269</v>
      </c>
      <c r="D138" s="27">
        <v>7.6080090630217007E-2</v>
      </c>
    </row>
    <row r="139" spans="1:4" x14ac:dyDescent="0.3">
      <c r="A139" t="s">
        <v>311</v>
      </c>
      <c r="B139" s="5">
        <v>24</v>
      </c>
      <c r="C139" t="s">
        <v>268</v>
      </c>
      <c r="D139" s="27">
        <v>9.0872906478978596E-2</v>
      </c>
    </row>
    <row r="140" spans="1:4" x14ac:dyDescent="0.3">
      <c r="A140" t="s">
        <v>311</v>
      </c>
      <c r="B140" s="5">
        <v>24</v>
      </c>
      <c r="C140" t="s">
        <v>272</v>
      </c>
      <c r="D140" s="27">
        <v>0.108400368967058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CB49B-4404-4AF5-8C07-AACE2B613405}">
  <dimension ref="A1:P19"/>
  <sheetViews>
    <sheetView workbookViewId="0">
      <selection activeCell="F16" sqref="F16"/>
    </sheetView>
  </sheetViews>
  <sheetFormatPr defaultRowHeight="14.4" x14ac:dyDescent="0.3"/>
  <cols>
    <col min="1" max="1" width="14.88671875" bestFit="1" customWidth="1"/>
    <col min="2" max="2" width="13.5546875" bestFit="1" customWidth="1"/>
    <col min="3" max="3" width="25.88671875" style="29" bestFit="1" customWidth="1"/>
    <col min="5" max="5" width="14.88671875" bestFit="1" customWidth="1"/>
    <col min="6" max="6" width="26" style="12" customWidth="1"/>
    <col min="7" max="7" width="16.6640625" style="8" customWidth="1"/>
    <col min="8" max="8" width="16.21875" style="8" customWidth="1"/>
    <col min="9" max="9" width="14.44140625" style="8" customWidth="1"/>
    <col min="10" max="10" width="15.33203125" style="30" customWidth="1"/>
    <col min="11" max="11" width="16.77734375" style="30" customWidth="1"/>
    <col min="12" max="12" width="15" style="30" customWidth="1"/>
    <col min="13" max="13" width="15.88671875" style="29" customWidth="1"/>
    <col min="14" max="14" width="15" style="29" customWidth="1"/>
    <col min="15" max="15" width="13.21875" style="29" customWidth="1"/>
    <col min="16" max="16" width="14.109375" style="29" customWidth="1"/>
  </cols>
  <sheetData>
    <row r="1" spans="1:16" x14ac:dyDescent="0.3">
      <c r="A1" s="15" t="s">
        <v>0</v>
      </c>
      <c r="B1" s="15" t="s">
        <v>388</v>
      </c>
      <c r="C1" s="28" t="s">
        <v>389</v>
      </c>
      <c r="E1" t="s">
        <v>0</v>
      </c>
      <c r="F1" s="12" t="s">
        <v>274</v>
      </c>
      <c r="G1" s="8" t="s">
        <v>393</v>
      </c>
      <c r="H1" s="8" t="s">
        <v>394</v>
      </c>
      <c r="I1" s="8" t="s">
        <v>395</v>
      </c>
      <c r="J1" s="30" t="s">
        <v>396</v>
      </c>
      <c r="K1" s="30" t="s">
        <v>397</v>
      </c>
      <c r="L1" s="30" t="s">
        <v>398</v>
      </c>
      <c r="M1" s="29" t="s">
        <v>399</v>
      </c>
      <c r="N1" s="29" t="s">
        <v>400</v>
      </c>
      <c r="O1" s="29" t="s">
        <v>401</v>
      </c>
      <c r="P1" s="29" t="s">
        <v>402</v>
      </c>
    </row>
    <row r="2" spans="1:16" x14ac:dyDescent="0.3">
      <c r="A2" t="s">
        <v>6</v>
      </c>
      <c r="B2" t="s">
        <v>390</v>
      </c>
      <c r="C2" s="29">
        <v>341.50038254800154</v>
      </c>
      <c r="E2" t="s">
        <v>6</v>
      </c>
      <c r="F2" s="12">
        <v>19900</v>
      </c>
      <c r="G2" s="8">
        <v>9.0872906478978596E-2</v>
      </c>
      <c r="H2" s="8">
        <v>0.18884422110552765</v>
      </c>
      <c r="I2" s="8">
        <v>0.5</v>
      </c>
      <c r="J2" s="30">
        <v>0.31115577889447232</v>
      </c>
      <c r="K2" s="30">
        <v>1</v>
      </c>
      <c r="L2" s="30">
        <v>0.1</v>
      </c>
      <c r="M2" s="29">
        <v>0.3</v>
      </c>
      <c r="N2" s="29">
        <v>341.50038254800154</v>
      </c>
      <c r="O2" s="29">
        <v>90.418541946583701</v>
      </c>
      <c r="P2" s="29">
        <v>168.80551107535061</v>
      </c>
    </row>
    <row r="3" spans="1:16" x14ac:dyDescent="0.3">
      <c r="A3" t="s">
        <v>6</v>
      </c>
      <c r="B3" t="s">
        <v>391</v>
      </c>
      <c r="C3" s="29">
        <v>90.418541946583701</v>
      </c>
      <c r="E3" t="s">
        <v>37</v>
      </c>
      <c r="F3" s="12">
        <v>20686</v>
      </c>
      <c r="G3" s="8">
        <v>9.0872906478978596E-2</v>
      </c>
      <c r="H3" s="8">
        <v>0.2</v>
      </c>
      <c r="I3" s="8">
        <v>0.5</v>
      </c>
      <c r="J3" s="30">
        <v>0.30000000000000004</v>
      </c>
      <c r="K3" s="30">
        <v>1</v>
      </c>
      <c r="L3" s="30">
        <v>0.1</v>
      </c>
      <c r="M3" s="29">
        <v>0.3</v>
      </c>
      <c r="N3" s="29">
        <v>375.95938868483023</v>
      </c>
      <c r="O3" s="29">
        <v>93.989847171207558</v>
      </c>
      <c r="P3" s="29">
        <v>169.18172490817363</v>
      </c>
    </row>
    <row r="4" spans="1:16" x14ac:dyDescent="0.3">
      <c r="A4" t="s">
        <v>6</v>
      </c>
      <c r="B4" t="s">
        <v>392</v>
      </c>
      <c r="C4" s="29">
        <v>168.80551107535061</v>
      </c>
      <c r="E4" t="s">
        <v>40</v>
      </c>
      <c r="F4" s="12">
        <v>12262</v>
      </c>
      <c r="G4" s="8">
        <v>9.0872906478978596E-2</v>
      </c>
      <c r="H4" s="8">
        <v>0.2</v>
      </c>
      <c r="I4" s="8">
        <v>0.5</v>
      </c>
      <c r="J4" s="30">
        <v>0.30000000000000004</v>
      </c>
      <c r="K4" s="30">
        <v>1</v>
      </c>
      <c r="L4" s="30">
        <v>0.1</v>
      </c>
      <c r="M4" s="29">
        <v>0.3</v>
      </c>
      <c r="N4" s="29">
        <v>222.85671584904711</v>
      </c>
      <c r="O4" s="29">
        <v>55.714178962261776</v>
      </c>
      <c r="P4" s="29">
        <v>100.28552213207121</v>
      </c>
    </row>
    <row r="5" spans="1:16" x14ac:dyDescent="0.3">
      <c r="A5" t="s">
        <v>37</v>
      </c>
      <c r="B5" t="s">
        <v>390</v>
      </c>
      <c r="C5" s="29">
        <v>375.95938868483023</v>
      </c>
      <c r="E5" t="s">
        <v>43</v>
      </c>
      <c r="F5" s="12">
        <v>12000</v>
      </c>
      <c r="G5" s="8">
        <v>9.0872906478978596E-2</v>
      </c>
      <c r="H5" s="8">
        <v>0.2</v>
      </c>
      <c r="I5" s="8">
        <v>0.5</v>
      </c>
      <c r="J5" s="30">
        <v>0.30000000000000004</v>
      </c>
      <c r="K5" s="30">
        <v>1</v>
      </c>
      <c r="L5" s="30">
        <v>0.1</v>
      </c>
      <c r="M5" s="29">
        <v>0.3</v>
      </c>
      <c r="N5" s="29">
        <v>218.09497554954862</v>
      </c>
      <c r="O5" s="29">
        <v>54.523743887387155</v>
      </c>
      <c r="P5" s="29">
        <v>98.142738997296888</v>
      </c>
    </row>
    <row r="6" spans="1:16" x14ac:dyDescent="0.3">
      <c r="A6" t="s">
        <v>37</v>
      </c>
      <c r="B6" t="s">
        <v>391</v>
      </c>
      <c r="C6" s="29">
        <v>93.989847171207558</v>
      </c>
      <c r="E6" t="s">
        <v>46</v>
      </c>
      <c r="F6" s="12">
        <v>13425</v>
      </c>
      <c r="G6" s="8">
        <v>9.0872906478978596E-2</v>
      </c>
      <c r="H6" s="8">
        <v>0.2</v>
      </c>
      <c r="I6" s="8">
        <v>0.5</v>
      </c>
      <c r="J6" s="30">
        <v>0.30000000000000004</v>
      </c>
      <c r="K6" s="30">
        <v>1</v>
      </c>
      <c r="L6" s="30">
        <v>0.1</v>
      </c>
      <c r="M6" s="29">
        <v>0.3</v>
      </c>
      <c r="N6" s="29">
        <v>243.99375389605754</v>
      </c>
      <c r="O6" s="29">
        <v>60.998438474014385</v>
      </c>
      <c r="P6" s="29">
        <v>109.79718925322589</v>
      </c>
    </row>
    <row r="7" spans="1:16" x14ac:dyDescent="0.3">
      <c r="A7" t="s">
        <v>37</v>
      </c>
      <c r="B7" t="s">
        <v>392</v>
      </c>
      <c r="C7" s="29">
        <v>169.18172490817363</v>
      </c>
      <c r="E7" t="s">
        <v>12</v>
      </c>
      <c r="F7" s="12">
        <v>5551</v>
      </c>
      <c r="G7" s="8">
        <v>9.0872906478978596E-2</v>
      </c>
      <c r="H7" s="8">
        <v>0.09</v>
      </c>
      <c r="I7" s="8">
        <v>0.5</v>
      </c>
      <c r="J7" s="30">
        <v>0.41000000000000003</v>
      </c>
      <c r="K7" s="30">
        <v>1</v>
      </c>
      <c r="L7" s="30">
        <v>0.1</v>
      </c>
      <c r="M7" s="29">
        <v>0.3</v>
      </c>
      <c r="N7" s="29">
        <v>45.399195347832915</v>
      </c>
      <c r="O7" s="29">
        <v>25.221775193240511</v>
      </c>
      <c r="P7" s="29">
        <v>62.045566975371656</v>
      </c>
    </row>
    <row r="8" spans="1:16" x14ac:dyDescent="0.3">
      <c r="A8" t="s">
        <v>40</v>
      </c>
      <c r="B8" t="s">
        <v>390</v>
      </c>
      <c r="C8" s="29">
        <v>222.85671584904711</v>
      </c>
    </row>
    <row r="9" spans="1:16" x14ac:dyDescent="0.3">
      <c r="A9" t="s">
        <v>40</v>
      </c>
      <c r="B9" t="s">
        <v>391</v>
      </c>
      <c r="C9" s="29">
        <v>55.714178962261776</v>
      </c>
    </row>
    <row r="10" spans="1:16" x14ac:dyDescent="0.3">
      <c r="A10" t="s">
        <v>40</v>
      </c>
      <c r="B10" t="s">
        <v>392</v>
      </c>
      <c r="C10" s="29">
        <v>100.28552213207121</v>
      </c>
    </row>
    <row r="11" spans="1:16" x14ac:dyDescent="0.3">
      <c r="A11" t="s">
        <v>43</v>
      </c>
      <c r="B11" t="s">
        <v>390</v>
      </c>
      <c r="C11" s="29">
        <v>218.09497554954862</v>
      </c>
    </row>
    <row r="12" spans="1:16" x14ac:dyDescent="0.3">
      <c r="A12" t="s">
        <v>43</v>
      </c>
      <c r="B12" t="s">
        <v>391</v>
      </c>
      <c r="C12" s="29">
        <v>54.523743887387155</v>
      </c>
    </row>
    <row r="13" spans="1:16" x14ac:dyDescent="0.3">
      <c r="A13" t="s">
        <v>43</v>
      </c>
      <c r="B13" t="s">
        <v>392</v>
      </c>
      <c r="C13" s="29">
        <v>98.142738997296888</v>
      </c>
    </row>
    <row r="14" spans="1:16" x14ac:dyDescent="0.3">
      <c r="A14" t="s">
        <v>46</v>
      </c>
      <c r="B14" t="s">
        <v>390</v>
      </c>
      <c r="C14" s="29">
        <v>243.99375389605754</v>
      </c>
    </row>
    <row r="15" spans="1:16" x14ac:dyDescent="0.3">
      <c r="A15" t="s">
        <v>46</v>
      </c>
      <c r="B15" t="s">
        <v>391</v>
      </c>
      <c r="C15" s="29">
        <v>60.998438474014385</v>
      </c>
    </row>
    <row r="16" spans="1:16" x14ac:dyDescent="0.3">
      <c r="A16" t="s">
        <v>46</v>
      </c>
      <c r="B16" t="s">
        <v>392</v>
      </c>
      <c r="C16" s="29">
        <v>109.79718925322589</v>
      </c>
    </row>
    <row r="17" spans="1:3" x14ac:dyDescent="0.3">
      <c r="A17" t="s">
        <v>12</v>
      </c>
      <c r="B17" t="s">
        <v>390</v>
      </c>
      <c r="C17" s="29">
        <v>45.399195347832915</v>
      </c>
    </row>
    <row r="18" spans="1:3" x14ac:dyDescent="0.3">
      <c r="A18" t="s">
        <v>12</v>
      </c>
      <c r="B18" t="s">
        <v>391</v>
      </c>
      <c r="C18" s="29">
        <v>25.221775193240511</v>
      </c>
    </row>
    <row r="19" spans="1:3" x14ac:dyDescent="0.3">
      <c r="A19" t="s">
        <v>12</v>
      </c>
      <c r="B19" t="s">
        <v>392</v>
      </c>
      <c r="C19" s="29">
        <v>62.045566975371656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14588-C144-4A3A-9EC8-14F5D33D752E}">
  <dimension ref="A1:D4"/>
  <sheetViews>
    <sheetView zoomScaleNormal="100" workbookViewId="0">
      <selection activeCell="B3" sqref="B3"/>
    </sheetView>
  </sheetViews>
  <sheetFormatPr defaultRowHeight="14.4" x14ac:dyDescent="0.3"/>
  <cols>
    <col min="1" max="1" width="21.109375" bestFit="1" customWidth="1"/>
    <col min="2" max="2" width="11.5546875" style="1" customWidth="1"/>
    <col min="3" max="3" width="9.109375" bestFit="1" customWidth="1"/>
    <col min="4" max="4" width="16.44140625" style="5" bestFit="1" customWidth="1"/>
  </cols>
  <sheetData>
    <row r="1" spans="1:4" x14ac:dyDescent="0.3">
      <c r="A1" s="16" t="s">
        <v>201</v>
      </c>
      <c r="B1" s="31" t="s">
        <v>286</v>
      </c>
      <c r="C1" s="16" t="s">
        <v>58</v>
      </c>
      <c r="D1" s="18" t="s">
        <v>403</v>
      </c>
    </row>
    <row r="2" spans="1:4" x14ac:dyDescent="0.3">
      <c r="A2" t="s">
        <v>287</v>
      </c>
      <c r="B2" s="1" t="str">
        <f>'Raw_Canada_Baseline'!B3</f>
        <v>2026-03-26</v>
      </c>
      <c r="C2" t="s">
        <v>288</v>
      </c>
      <c r="D2" s="5">
        <f ca="1">B2-TODAY()</f>
        <v>-114</v>
      </c>
    </row>
    <row r="3" spans="1:4" x14ac:dyDescent="0.3">
      <c r="A3" t="s">
        <v>404</v>
      </c>
      <c r="B3" s="1">
        <f>DATE(VALUE('Raw_Canada_Baseline'!D4),1,1)</f>
        <v>46023</v>
      </c>
      <c r="C3" t="s">
        <v>289</v>
      </c>
      <c r="D3" s="5">
        <f ca="1">B3-TODAY()</f>
        <v>-198</v>
      </c>
    </row>
    <row r="4" spans="1:4" x14ac:dyDescent="0.3">
      <c r="A4" t="s">
        <v>405</v>
      </c>
      <c r="B4" s="1">
        <f>DATE(2027,7,1)</f>
        <v>46569</v>
      </c>
      <c r="C4" t="s">
        <v>289</v>
      </c>
      <c r="D4" s="5">
        <f ca="1">B4-TODAY()</f>
        <v>348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63F8D-1264-4438-9911-757A5F5068ED}">
  <dimension ref="A1:C7"/>
  <sheetViews>
    <sheetView workbookViewId="0"/>
  </sheetViews>
  <sheetFormatPr defaultRowHeight="14.4" x14ac:dyDescent="0.3"/>
  <cols>
    <col min="1" max="1" width="14.88671875" bestFit="1" customWidth="1"/>
    <col min="2" max="2" width="29.44140625" style="5" bestFit="1" customWidth="1"/>
    <col min="3" max="3" width="29.109375" style="5" bestFit="1" customWidth="1"/>
  </cols>
  <sheetData>
    <row r="1" spans="1:3" x14ac:dyDescent="0.3">
      <c r="A1" s="17" t="s">
        <v>0</v>
      </c>
      <c r="B1" s="19" t="s">
        <v>406</v>
      </c>
      <c r="C1" s="19" t="s">
        <v>407</v>
      </c>
    </row>
    <row r="2" spans="1:3" x14ac:dyDescent="0.3">
      <c r="A2" t="s">
        <v>6</v>
      </c>
      <c r="B2" s="5">
        <v>5</v>
      </c>
      <c r="C2" s="5">
        <v>5</v>
      </c>
    </row>
    <row r="3" spans="1:3" x14ac:dyDescent="0.3">
      <c r="A3" t="s">
        <v>37</v>
      </c>
      <c r="B3" s="5">
        <v>5</v>
      </c>
      <c r="C3" s="5">
        <v>5</v>
      </c>
    </row>
    <row r="4" spans="1:3" x14ac:dyDescent="0.3">
      <c r="A4" t="s">
        <v>40</v>
      </c>
      <c r="B4" s="5">
        <v>5</v>
      </c>
      <c r="C4" s="5">
        <v>4</v>
      </c>
    </row>
    <row r="5" spans="1:3" x14ac:dyDescent="0.3">
      <c r="A5" t="s">
        <v>43</v>
      </c>
      <c r="B5" s="5">
        <v>2</v>
      </c>
      <c r="C5" s="5">
        <v>3</v>
      </c>
    </row>
    <row r="6" spans="1:3" x14ac:dyDescent="0.3">
      <c r="A6" t="s">
        <v>46</v>
      </c>
      <c r="B6" s="5">
        <v>3</v>
      </c>
      <c r="C6" s="5">
        <v>3</v>
      </c>
    </row>
    <row r="7" spans="1:3" x14ac:dyDescent="0.3">
      <c r="A7" t="s">
        <v>12</v>
      </c>
      <c r="B7" s="5">
        <v>3</v>
      </c>
      <c r="C7" s="5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052F28-5B92-4B2C-96B1-5B20D01F02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Total_Bank</vt:lpstr>
      <vt:lpstr>README</vt:lpstr>
      <vt:lpstr>Raw_Canada_Baseline</vt:lpstr>
      <vt:lpstr>PC_Segment</vt:lpstr>
      <vt:lpstr>Fee_Breakout</vt:lpstr>
      <vt:lpstr>Country Comparison</vt:lpstr>
      <vt:lpstr>Calc_Adoption_Forecast</vt:lpstr>
      <vt:lpstr>ME&amp;A forecast</vt:lpstr>
      <vt:lpstr>Launch_Dates</vt:lpstr>
      <vt:lpstr>Raw_India_AA</vt:lpstr>
      <vt:lpstr>Raw_US_Adoption</vt:lpstr>
      <vt:lpstr>Regulation by Country</vt:lpstr>
      <vt:lpstr>Raw_AU_Availability</vt:lpstr>
      <vt:lpstr>Raw_AU_API_Invocations</vt:lpstr>
      <vt:lpstr>Raw_AU_Authorisations</vt:lpstr>
      <vt:lpstr>Summary_Dashboard_Feed </vt:lpstr>
      <vt:lpstr>Calc_Revenue_At_Risk</vt:lpstr>
      <vt:lpstr>Regulatory Timeline</vt:lpstr>
      <vt:lpstr>PSD2-PSD3 Data Log</vt:lpstr>
      <vt:lpstr>Raw_UK_API_Data</vt:lpstr>
      <vt:lpstr>AU_Pivots</vt:lpstr>
      <vt:lpstr>Calc_Chart1_AdoptionCurve</vt:lpstr>
      <vt:lpstr>Calc_Chart2_RevenueProductLine</vt:lpstr>
      <vt:lpstr>Calc_Chart3_Milestones</vt:lpstr>
      <vt:lpstr>Calc_Chart4_Posture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 Sagwal</dc:creator>
  <cp:lastModifiedBy>Jatin Sagwal</cp:lastModifiedBy>
  <dcterms:created xsi:type="dcterms:W3CDTF">2026-07-18T06:33:18Z</dcterms:created>
  <dcterms:modified xsi:type="dcterms:W3CDTF">2026-07-18T18:33:25Z</dcterms:modified>
</cp:coreProperties>
</file>