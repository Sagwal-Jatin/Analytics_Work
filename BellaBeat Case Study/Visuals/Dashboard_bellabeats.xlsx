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Owner\Desktop\BellaBeat Case Study\Visuals\"/>
    </mc:Choice>
  </mc:AlternateContent>
  <xr:revisionPtr revIDLastSave="0" documentId="13_ncr:1_{393663DF-DE7B-42EF-A12C-3B554606F85F}" xr6:coauthVersionLast="47" xr6:coauthVersionMax="47" xr10:uidLastSave="{00000000-0000-0000-0000-000000000000}"/>
  <bookViews>
    <workbookView xWindow="-108" yWindow="-108" windowWidth="23256" windowHeight="12456" firstSheet="8" activeTab="8" xr2:uid="{0A2FA291-D872-4E75-AEEE-D115ED50CB90}"/>
  </bookViews>
  <sheets>
    <sheet name="Average Steps by Day of Week" sheetId="2" r:id="rId1"/>
    <sheet name="Average Calories Burned by Day" sheetId="3" state="hidden" r:id="rId2"/>
    <sheet name="Average Sleep Duration by Day " sheetId="9" state="hidden" r:id="rId3"/>
    <sheet name="Sleep Efficiency" sheetId="12" state="hidden" r:id="rId4"/>
    <sheet name="sleepDay_4 12 16-5 12 16" sheetId="5" state="hidden" r:id="rId5"/>
    <sheet name="Activity Level Distribution" sheetId="8" state="hidden" r:id="rId6"/>
    <sheet name="Average Active Minutes by Day" sheetId="11" state="hidden" r:id="rId7"/>
    <sheet name="dailyActivity_4.12.16-5.12.16" sheetId="1" state="hidden" r:id="rId8"/>
    <sheet name="Dashboard_BellaBeat" sheetId="13" r:id="rId9"/>
  </sheets>
  <definedNames>
    <definedName name="ExternalData_1" localSheetId="4" hidden="1">'sleepDay_4 12 16-5 12 16'!$A$1:$F$411</definedName>
    <definedName name="NativeTimeline_activity_data">#N/A</definedName>
    <definedName name="Slicer_day_of_week">#N/A</definedName>
  </definedNames>
  <calcPr calcId="191029"/>
  <pivotCaches>
    <pivotCache cacheId="0" r:id="rId10"/>
    <pivotCache cacheId="4"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DFA0C5-8346-45FF-82CB-A8F7EFD47AEF}" keepAlive="1" name="Query - sleepDay_4 12 16-5 12 16" description="Connection to the 'sleepDay_4 12 16-5 12 16' query in the workbook." type="5" refreshedVersion="8" background="1" saveData="1">
    <dbPr connection="Provider=Microsoft.Mashup.OleDb.1;Data Source=$Workbook$;Location=&quot;sleepDay_4 12 16-5 12 16&quot;;Extended Properties=&quot;&quot;" command="SELECT * FROM [sleepDay_4 12 16-5 12 16]"/>
  </connection>
</connections>
</file>

<file path=xl/sharedStrings.xml><?xml version="1.0" encoding="utf-8"?>
<sst xmlns="http://schemas.openxmlformats.org/spreadsheetml/2006/main" count="86" uniqueCount="46">
  <si>
    <t>Id</t>
  </si>
  <si>
    <t>activity_data</t>
  </si>
  <si>
    <t>total_steps</t>
  </si>
  <si>
    <t>total_distance</t>
  </si>
  <si>
    <t>tracker_distance</t>
  </si>
  <si>
    <t>logged_activities_distance</t>
  </si>
  <si>
    <t>very_active_distance</t>
  </si>
  <si>
    <t>moderately_active_distance</t>
  </si>
  <si>
    <t>light_active_distance</t>
  </si>
  <si>
    <t>sedentary_active_distance</t>
  </si>
  <si>
    <t>very_active_minutes</t>
  </si>
  <si>
    <t>fairly_active_minutes</t>
  </si>
  <si>
    <t>lightly_active_minutes</t>
  </si>
  <si>
    <t>sedentary_minutes</t>
  </si>
  <si>
    <t>calories</t>
  </si>
  <si>
    <t>day_of_week</t>
  </si>
  <si>
    <t>total_minutes</t>
  </si>
  <si>
    <t>weekday_weekend</t>
  </si>
  <si>
    <t>activity_levels</t>
  </si>
  <si>
    <t>Row Labels</t>
  </si>
  <si>
    <t>Sunday</t>
  </si>
  <si>
    <t>Monday</t>
  </si>
  <si>
    <t>Tuesday</t>
  </si>
  <si>
    <t>Wednesday</t>
  </si>
  <si>
    <t>Thursday</t>
  </si>
  <si>
    <t>Friday</t>
  </si>
  <si>
    <t>Saturday</t>
  </si>
  <si>
    <t>Grand Total</t>
  </si>
  <si>
    <t>Fairly Active</t>
  </si>
  <si>
    <t>Lightly Active</t>
  </si>
  <si>
    <t>Sedentary</t>
  </si>
  <si>
    <t>Very_Active</t>
  </si>
  <si>
    <t>Average of total_steps</t>
  </si>
  <si>
    <t>Average of calories</t>
  </si>
  <si>
    <t>sleep_date</t>
  </si>
  <si>
    <t>sleep_records</t>
  </si>
  <si>
    <t>minute_asleep</t>
  </si>
  <si>
    <t>time_in_bed</t>
  </si>
  <si>
    <t>sleep_hours</t>
  </si>
  <si>
    <t>Count of activity_levels</t>
  </si>
  <si>
    <t>Average of minute_asleep</t>
  </si>
  <si>
    <t>Average of very_active_minutes</t>
  </si>
  <si>
    <t>sleep_efficency</t>
  </si>
  <si>
    <t>Average of sleep_efficency</t>
  </si>
  <si>
    <t>bellabeats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</si>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</sst>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Rockwell"/>
      <family val="2"/>
      <scheme val="minor"/>
    </font>
    <font>
      <sz val="11"/>
      <color theme="1"/>
      <name val="Rockwell"/>
      <family val="2"/>
      <scheme val="minor"/>
    </font>
    <font>
      <sz val="18"/>
      <color theme="3"/>
      <name val="Rockwell Condensed"/>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8"/>
      <name val="Rockwell"/>
      <family val="2"/>
      <scheme val="minor"/>
    </font>
    <font>
      <sz val="26"/>
      <color rgb="FFFF5050"/>
      <name val="Rockwell"/>
      <family val="2"/>
      <scheme val="minor"/>
    </font>
    <font>
      <sz val="11"/>
      <color theme="1"/>
      <name val="BankGothic Lt B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2" fontId="0" fillId="33" borderId="0" xfId="0" applyNumberFormat="1" applyFill="1"/>
    <xf numFmtId="0" fontId="0" fillId="33" borderId="0" xfId="0" applyFill="1"/>
    <xf numFmtId="164" fontId="0" fillId="0" borderId="0" xfId="0" applyNumberFormat="1"/>
    <xf numFmtId="164" fontId="0" fillId="33" borderId="0" xfId="0" applyNumberFormat="1" applyFill="1"/>
    <xf numFmtId="0" fontId="0" fillId="0" borderId="0" xfId="0" pivotButton="1"/>
    <xf numFmtId="0" fontId="0" fillId="0" borderId="0" xfId="0" applyAlignment="1">
      <alignment horizontal="left"/>
    </xf>
    <xf numFmtId="14" fontId="0" fillId="0" borderId="0" xfId="0" applyNumberFormat="1"/>
    <xf numFmtId="0" fontId="20" fillId="0" borderId="0" xfId="0" applyFont="1"/>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font>
      <numFmt numFmtId="164" formatCode="yyyy/mm/dd;@"/>
    </dxf>
    <dxf>
      <numFmt numFmtId="0" formatCode="General"/>
    </dxf>
    <dxf>
      <numFmt numFmtId="0" formatCode="General"/>
    </dxf>
    <dxf>
      <numFmt numFmtId="19" formatCode="yyyy/mm/dd"/>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Steps by Day of Week!PivotTable2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Steps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Steps by Day of Week'!$B$3</c:f>
              <c:strCache>
                <c:ptCount val="1"/>
                <c:pt idx="0">
                  <c:v>Total</c:v>
                </c:pt>
              </c:strCache>
            </c:strRef>
          </c:tx>
          <c:spPr>
            <a:solidFill>
              <a:schemeClr val="accent1"/>
            </a:solidFill>
            <a:ln>
              <a:noFill/>
            </a:ln>
            <a:effectLst/>
          </c:spPr>
          <c:invertIfNegative val="0"/>
          <c:cat>
            <c:strRef>
              <c:f>'Average Steps by Day of Week'!$A$4:$A$11</c:f>
              <c:strCache>
                <c:ptCount val="7"/>
                <c:pt idx="0">
                  <c:v>Sunday</c:v>
                </c:pt>
                <c:pt idx="1">
                  <c:v>Monday</c:v>
                </c:pt>
                <c:pt idx="2">
                  <c:v>Tuesday</c:v>
                </c:pt>
                <c:pt idx="3">
                  <c:v>Wednesday</c:v>
                </c:pt>
                <c:pt idx="4">
                  <c:v>Thursday</c:v>
                </c:pt>
                <c:pt idx="5">
                  <c:v>Friday</c:v>
                </c:pt>
                <c:pt idx="6">
                  <c:v>Saturday</c:v>
                </c:pt>
              </c:strCache>
            </c:strRef>
          </c:cat>
          <c:val>
            <c:numRef>
              <c:f>'Average Steps by Day of Week'!$B$4:$B$11</c:f>
              <c:numCache>
                <c:formatCode>General</c:formatCode>
                <c:ptCount val="7"/>
                <c:pt idx="0">
                  <c:v>7387.4603174603171</c:v>
                </c:pt>
                <c:pt idx="1">
                  <c:v>7164.2767857142853</c:v>
                </c:pt>
                <c:pt idx="2">
                  <c:v>7359.5394736842109</c:v>
                </c:pt>
                <c:pt idx="3">
                  <c:v>7837.6097560975613</c:v>
                </c:pt>
                <c:pt idx="4">
                  <c:v>8059.7539682539682</c:v>
                </c:pt>
                <c:pt idx="5">
                  <c:v>7293.8431372549021</c:v>
                </c:pt>
                <c:pt idx="6">
                  <c:v>8326.04054054054</c:v>
                </c:pt>
              </c:numCache>
            </c:numRef>
          </c:val>
          <c:extLst>
            <c:ext xmlns:c16="http://schemas.microsoft.com/office/drawing/2014/chart" uri="{C3380CC4-5D6E-409C-BE32-E72D297353CC}">
              <c16:uniqueId val="{00000000-3C5F-40C7-BF55-3DB113E66EA5}"/>
            </c:ext>
          </c:extLst>
        </c:ser>
        <c:dLbls>
          <c:showLegendKey val="0"/>
          <c:showVal val="0"/>
          <c:showCatName val="0"/>
          <c:showSerName val="0"/>
          <c:showPercent val="0"/>
          <c:showBubbleSize val="0"/>
        </c:dLbls>
        <c:gapWidth val="150"/>
        <c:axId val="813512928"/>
        <c:axId val="813515448"/>
      </c:barChart>
      <c:catAx>
        <c:axId val="81351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5448"/>
        <c:crosses val="autoZero"/>
        <c:auto val="1"/>
        <c:lblAlgn val="ctr"/>
        <c:lblOffset val="100"/>
        <c:noMultiLvlLbl val="0"/>
      </c:catAx>
      <c:valAx>
        <c:axId val="813515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Calories Burned by Day!PivotTable4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Calories Burned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Calories Burned by Day'!$B$3</c:f>
              <c:strCache>
                <c:ptCount val="1"/>
                <c:pt idx="0">
                  <c:v>Total</c:v>
                </c:pt>
              </c:strCache>
            </c:strRef>
          </c:tx>
          <c:spPr>
            <a:solidFill>
              <a:schemeClr val="accent1"/>
            </a:solidFill>
            <a:ln>
              <a:noFill/>
            </a:ln>
            <a:effectLst/>
          </c:spPr>
          <c:invertIfNegative val="0"/>
          <c:cat>
            <c:strRef>
              <c:f>'Average Calories Burned by Day'!$A$4:$A$11</c:f>
              <c:strCache>
                <c:ptCount val="7"/>
                <c:pt idx="0">
                  <c:v>Sunday</c:v>
                </c:pt>
                <c:pt idx="1">
                  <c:v>Monday</c:v>
                </c:pt>
                <c:pt idx="2">
                  <c:v>Tuesday</c:v>
                </c:pt>
                <c:pt idx="3">
                  <c:v>Wednesday</c:v>
                </c:pt>
                <c:pt idx="4">
                  <c:v>Thursday</c:v>
                </c:pt>
                <c:pt idx="5">
                  <c:v>Friday</c:v>
                </c:pt>
                <c:pt idx="6">
                  <c:v>Saturday</c:v>
                </c:pt>
              </c:strCache>
            </c:strRef>
          </c:cat>
          <c:val>
            <c:numRef>
              <c:f>'Average Calories Burned by Day'!$B$4:$B$11</c:f>
              <c:numCache>
                <c:formatCode>General</c:formatCode>
                <c:ptCount val="7"/>
                <c:pt idx="0">
                  <c:v>2321.3253968253966</c:v>
                </c:pt>
                <c:pt idx="1">
                  <c:v>2114.6607142857142</c:v>
                </c:pt>
                <c:pt idx="2">
                  <c:v>2291.8421052631579</c:v>
                </c:pt>
                <c:pt idx="3">
                  <c:v>2313.6829268292681</c:v>
                </c:pt>
                <c:pt idx="4">
                  <c:v>2376.2857142857142</c:v>
                </c:pt>
                <c:pt idx="5">
                  <c:v>2307.9019607843138</c:v>
                </c:pt>
                <c:pt idx="6">
                  <c:v>2368.9189189189187</c:v>
                </c:pt>
              </c:numCache>
            </c:numRef>
          </c:val>
          <c:extLst>
            <c:ext xmlns:c16="http://schemas.microsoft.com/office/drawing/2014/chart" uri="{C3380CC4-5D6E-409C-BE32-E72D297353CC}">
              <c16:uniqueId val="{00000000-386C-402E-ABA6-BD086EDEF807}"/>
            </c:ext>
          </c:extLst>
        </c:ser>
        <c:dLbls>
          <c:showLegendKey val="0"/>
          <c:showVal val="0"/>
          <c:showCatName val="0"/>
          <c:showSerName val="0"/>
          <c:showPercent val="0"/>
          <c:showBubbleSize val="0"/>
        </c:dLbls>
        <c:gapWidth val="150"/>
        <c:axId val="1697806736"/>
        <c:axId val="1697807456"/>
      </c:barChart>
      <c:catAx>
        <c:axId val="169780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7456"/>
        <c:crosses val="autoZero"/>
        <c:auto val="1"/>
        <c:lblAlgn val="ctr"/>
        <c:lblOffset val="100"/>
        <c:noMultiLvlLbl val="0"/>
      </c:catAx>
      <c:valAx>
        <c:axId val="169780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Sleep Duration by Day !PivotTable9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Sleep Duration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Sleep Duration by Day '!$B$3</c:f>
              <c:strCache>
                <c:ptCount val="1"/>
                <c:pt idx="0">
                  <c:v>Total</c:v>
                </c:pt>
              </c:strCache>
            </c:strRef>
          </c:tx>
          <c:spPr>
            <a:solidFill>
              <a:schemeClr val="accent1"/>
            </a:solidFill>
            <a:ln>
              <a:noFill/>
            </a:ln>
            <a:effectLst/>
          </c:spPr>
          <c:invertIfNegative val="0"/>
          <c:cat>
            <c:strRef>
              <c:f>'Average Sleep Duration by Day '!$A$4:$A$12</c:f>
              <c:strCache>
                <c:ptCount val="8"/>
                <c:pt idx="0">
                  <c:v>Sunday</c:v>
                </c:pt>
                <c:pt idx="1">
                  <c:v>Monday</c:v>
                </c:pt>
                <c:pt idx="2">
                  <c:v>Tuesday</c:v>
                </c:pt>
                <c:pt idx="3">
                  <c:v>Wednesday</c:v>
                </c:pt>
                <c:pt idx="4">
                  <c:v>Thursday</c:v>
                </c:pt>
                <c:pt idx="5">
                  <c:v>Friday</c:v>
                </c:pt>
                <c:pt idx="6">
                  <c:v>Saturday</c:v>
                </c:pt>
                <c:pt idx="7">
                  <c:v>(blank)</c:v>
                </c:pt>
              </c:strCache>
            </c:strRef>
          </c:cat>
          <c:val>
            <c:numRef>
              <c:f>'Average Sleep Duration by Day '!$B$4:$B$12</c:f>
              <c:numCache>
                <c:formatCode>General</c:formatCode>
                <c:ptCount val="8"/>
                <c:pt idx="0">
                  <c:v>452.74545454545455</c:v>
                </c:pt>
                <c:pt idx="1">
                  <c:v>419.5</c:v>
                </c:pt>
                <c:pt idx="2">
                  <c:v>404.53846153846155</c:v>
                </c:pt>
                <c:pt idx="3">
                  <c:v>434.68181818181819</c:v>
                </c:pt>
                <c:pt idx="4">
                  <c:v>401.296875</c:v>
                </c:pt>
                <c:pt idx="5">
                  <c:v>405.42105263157896</c:v>
                </c:pt>
                <c:pt idx="6">
                  <c:v>419.07017543859649</c:v>
                </c:pt>
              </c:numCache>
            </c:numRef>
          </c:val>
          <c:extLst>
            <c:ext xmlns:c16="http://schemas.microsoft.com/office/drawing/2014/chart" uri="{C3380CC4-5D6E-409C-BE32-E72D297353CC}">
              <c16:uniqueId val="{00000000-7E36-43BF-93FF-EE823AABB4D4}"/>
            </c:ext>
          </c:extLst>
        </c:ser>
        <c:dLbls>
          <c:showLegendKey val="0"/>
          <c:showVal val="0"/>
          <c:showCatName val="0"/>
          <c:showSerName val="0"/>
          <c:showPercent val="0"/>
          <c:showBubbleSize val="0"/>
        </c:dLbls>
        <c:gapWidth val="150"/>
        <c:axId val="1697809616"/>
        <c:axId val="1697815736"/>
      </c:barChart>
      <c:catAx>
        <c:axId val="169780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15736"/>
        <c:crosses val="autoZero"/>
        <c:auto val="1"/>
        <c:lblAlgn val="ctr"/>
        <c:lblOffset val="100"/>
        <c:noMultiLvlLbl val="0"/>
      </c:catAx>
      <c:valAx>
        <c:axId val="1697815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[Dashboard_bellabeats.xlsx]Sleep Efficiency!PivotTable12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Sleep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'Sleep Efficiency'!$B$3</c:f>
              <c:strCache>
                <c:ptCount val="1"/>
                <c:pt idx="0">
                  <c:v>Total</c:v>
                </c:pt>
              </c:strCache>
            </c:strRef>
          </c:tx>
          <c:spPr>
            <a:solidFill>
              <a:schemeClr val="accent1"/>
            </a:solidFill>
            <a:ln>
              <a:noFill/>
            </a:ln>
            <a:effectLst/>
          </c:spPr>
          <c:invertIfNegative val="0"/>
          <c:cat>
            <c:strRef>
              <c:f>'Sleep Efficiency'!$A$4:$A$11</c:f>
              <c:strCache>
                <c:ptCount val="7"/>
                <c:pt idx="0">
                  <c:v>Sunday</c:v>
                </c:pt>
                <c:pt idx="1">
                  <c:v>Monday</c:v>
                </c:pt>
                <c:pt idx="2">
                  <c:v>Tuesday</c:v>
                </c:pt>
                <c:pt idx="3">
                  <c:v>Wednesday</c:v>
                </c:pt>
                <c:pt idx="4">
                  <c:v>Thursday</c:v>
                </c:pt>
                <c:pt idx="5">
                  <c:v>Friday</c:v>
                </c:pt>
                <c:pt idx="6">
                  <c:v>Saturday</c:v>
                </c:pt>
              </c:strCache>
            </c:strRef>
          </c:cat>
          <c:val>
            <c:numRef>
              <c:f>'Sleep Efficiency'!$B$4:$B$11</c:f>
              <c:numCache>
                <c:formatCode>General</c:formatCode>
                <c:ptCount val="7"/>
                <c:pt idx="0">
                  <c:v>0.9050897761569775</c:v>
                </c:pt>
                <c:pt idx="1">
                  <c:v>0.91968620522069011</c:v>
                </c:pt>
                <c:pt idx="2">
                  <c:v>0.91094808821702256</c:v>
                </c:pt>
                <c:pt idx="3">
                  <c:v>0.92128524549884916</c:v>
                </c:pt>
                <c:pt idx="4">
                  <c:v>0.92268031653442872</c:v>
                </c:pt>
                <c:pt idx="5">
                  <c:v>0.9200713753772819</c:v>
                </c:pt>
                <c:pt idx="6">
                  <c:v>0.91497871164468869</c:v>
                </c:pt>
              </c:numCache>
            </c:numRef>
          </c:val>
          <c:extLst>
            <c:ext xmlns:c16="http://schemas.microsoft.com/office/drawing/2014/chart" uri="{C3380CC4-5D6E-409C-BE32-E72D297353CC}">
              <c16:uniqueId val="{00000000-A31C-40A3-A554-3457063EA3B1}"/>
            </c:ext>
          </c:extLst>
        </c:ser>
        <c:dLbls>
          <c:showLegendKey val="0"/>
          <c:showVal val="0"/>
          <c:showCatName val="0"/>
          <c:showSerName val="0"/>
          <c:showPercent val="0"/>
          <c:showBubbleSize val="0"/>
        </c:dLbls>
        <c:gapWidth val="182"/>
        <c:axId val="813502128"/>
        <c:axId val="813501048"/>
      </c:barChart>
      <c:catAx>
        <c:axId val="81350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01048"/>
        <c:crosses val="autoZero"/>
        <c:auto val="1"/>
        <c:lblAlgn val="ctr"/>
        <c:lblOffset val="100"/>
        <c:noMultiLvlLbl val="0"/>
      </c:catAx>
      <c:valAx>
        <c:axId val="813501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0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[Dashboard_bellabeats.xlsx]Activity Level Distribution!PivotTable8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Activity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'Activity Level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C8-46D4-B4D8-8488244CF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C8-46D4-B4D8-8488244CF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C8-46D4-B4D8-8488244CFD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C8-46D4-B4D8-8488244CFDAB}"/>
              </c:ext>
            </c:extLst>
          </c:dPt>
          <c:cat>
            <c:strRef>
              <c:f>'Activity Level Distribution'!$A$4:$A$8</c:f>
              <c:strCache>
                <c:ptCount val="4"/>
                <c:pt idx="0">
                  <c:v>Fairly Active</c:v>
                </c:pt>
                <c:pt idx="1">
                  <c:v>Lightly Active</c:v>
                </c:pt>
                <c:pt idx="2">
                  <c:v>Sedentary</c:v>
                </c:pt>
                <c:pt idx="3">
                  <c:v>Very_Active</c:v>
                </c:pt>
              </c:strCache>
            </c:strRef>
          </c:cat>
          <c:val>
            <c:numRef>
              <c:f>'Activity Level Distribution'!$B$4:$B$8</c:f>
              <c:numCache>
                <c:formatCode>General</c:formatCode>
                <c:ptCount val="4"/>
                <c:pt idx="0">
                  <c:v>163</c:v>
                </c:pt>
                <c:pt idx="1">
                  <c:v>171</c:v>
                </c:pt>
                <c:pt idx="2">
                  <c:v>303</c:v>
                </c:pt>
                <c:pt idx="3">
                  <c:v>303</c:v>
                </c:pt>
              </c:numCache>
            </c:numRef>
          </c:val>
          <c:extLst>
            <c:ext xmlns:c16="http://schemas.microsoft.com/office/drawing/2014/chart" uri="{C3380CC4-5D6E-409C-BE32-E72D297353CC}">
              <c16:uniqueId val="{00000000-22EC-40B3-83EC-AD9AC419AA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Active Minutes by Day!PivotTable11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Average Active Minutes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Active Minutes by Day'!$B$3</c:f>
              <c:strCache>
                <c:ptCount val="1"/>
                <c:pt idx="0">
                  <c:v>Total</c:v>
                </c:pt>
              </c:strCache>
            </c:strRef>
          </c:tx>
          <c:spPr>
            <a:solidFill>
              <a:schemeClr val="accent1"/>
            </a:solidFill>
            <a:ln>
              <a:noFill/>
            </a:ln>
            <a:effectLst/>
          </c:spPr>
          <c:invertIfNegative val="0"/>
          <c:cat>
            <c:strRef>
              <c:f>'Average Active Minutes by Day'!$A$4:$A$11</c:f>
              <c:strCache>
                <c:ptCount val="7"/>
                <c:pt idx="0">
                  <c:v>Sunday</c:v>
                </c:pt>
                <c:pt idx="1">
                  <c:v>Monday</c:v>
                </c:pt>
                <c:pt idx="2">
                  <c:v>Tuesday</c:v>
                </c:pt>
                <c:pt idx="3">
                  <c:v>Wednesday</c:v>
                </c:pt>
                <c:pt idx="4">
                  <c:v>Thursday</c:v>
                </c:pt>
                <c:pt idx="5">
                  <c:v>Friday</c:v>
                </c:pt>
                <c:pt idx="6">
                  <c:v>Saturday</c:v>
                </c:pt>
              </c:strCache>
            </c:strRef>
          </c:cat>
          <c:val>
            <c:numRef>
              <c:f>'Average Active Minutes by Day'!$B$4:$B$11</c:f>
              <c:numCache>
                <c:formatCode>General</c:formatCode>
                <c:ptCount val="7"/>
                <c:pt idx="0">
                  <c:v>20.682539682539684</c:v>
                </c:pt>
                <c:pt idx="1">
                  <c:v>21.383928571428573</c:v>
                </c:pt>
                <c:pt idx="2">
                  <c:v>20.282894736842106</c:v>
                </c:pt>
                <c:pt idx="3">
                  <c:v>23.016260162601625</c:v>
                </c:pt>
                <c:pt idx="4">
                  <c:v>21.944444444444443</c:v>
                </c:pt>
                <c:pt idx="5">
                  <c:v>18.705882352941178</c:v>
                </c:pt>
                <c:pt idx="6">
                  <c:v>22.655405405405407</c:v>
                </c:pt>
              </c:numCache>
            </c:numRef>
          </c:val>
          <c:extLst>
            <c:ext xmlns:c16="http://schemas.microsoft.com/office/drawing/2014/chart" uri="{C3380CC4-5D6E-409C-BE32-E72D297353CC}">
              <c16:uniqueId val="{00000000-BF04-44B8-9A5F-E130A61BB2D2}"/>
            </c:ext>
          </c:extLst>
        </c:ser>
        <c:dLbls>
          <c:showLegendKey val="0"/>
          <c:showVal val="0"/>
          <c:showCatName val="0"/>
          <c:showSerName val="0"/>
          <c:showPercent val="0"/>
          <c:showBubbleSize val="0"/>
        </c:dLbls>
        <c:gapWidth val="219"/>
        <c:overlap val="-27"/>
        <c:axId val="806728888"/>
        <c:axId val="806737888"/>
      </c:barChart>
      <c:catAx>
        <c:axId val="8067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37888"/>
        <c:crosses val="autoZero"/>
        <c:auto val="1"/>
        <c:lblAlgn val="ctr"/>
        <c:lblOffset val="100"/>
        <c:noMultiLvlLbl val="0"/>
      </c:catAx>
      <c:valAx>
        <c:axId val="8067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28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Steps by Day of Week!PivotTable2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Steps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Steps by Day of Week'!$B$3</c:f>
              <c:strCache>
                <c:ptCount val="1"/>
                <c:pt idx="0">
                  <c:v>Total</c:v>
                </c:pt>
              </c:strCache>
            </c:strRef>
          </c:tx>
          <c:spPr>
            <a:solidFill>
              <a:schemeClr val="accent1"/>
            </a:solidFill>
            <a:ln>
              <a:noFill/>
            </a:ln>
            <a:effectLst/>
          </c:spPr>
          <c:invertIfNegative val="0"/>
          <c:cat>
            <c:strRef>
              <c:f>'Average Steps by Day of Week'!$A$4:$A$11</c:f>
              <c:strCache>
                <c:ptCount val="7"/>
                <c:pt idx="0">
                  <c:v>Sunday</c:v>
                </c:pt>
                <c:pt idx="1">
                  <c:v>Monday</c:v>
                </c:pt>
                <c:pt idx="2">
                  <c:v>Tuesday</c:v>
                </c:pt>
                <c:pt idx="3">
                  <c:v>Wednesday</c:v>
                </c:pt>
                <c:pt idx="4">
                  <c:v>Thursday</c:v>
                </c:pt>
                <c:pt idx="5">
                  <c:v>Friday</c:v>
                </c:pt>
                <c:pt idx="6">
                  <c:v>Saturday</c:v>
                </c:pt>
              </c:strCache>
            </c:strRef>
          </c:cat>
          <c:val>
            <c:numRef>
              <c:f>'Average Steps by Day of Week'!$B$4:$B$11</c:f>
              <c:numCache>
                <c:formatCode>General</c:formatCode>
                <c:ptCount val="7"/>
                <c:pt idx="0">
                  <c:v>7387.4603174603171</c:v>
                </c:pt>
                <c:pt idx="1">
                  <c:v>7164.2767857142853</c:v>
                </c:pt>
                <c:pt idx="2">
                  <c:v>7359.5394736842109</c:v>
                </c:pt>
                <c:pt idx="3">
                  <c:v>7837.6097560975613</c:v>
                </c:pt>
                <c:pt idx="4">
                  <c:v>8059.7539682539682</c:v>
                </c:pt>
                <c:pt idx="5">
                  <c:v>7293.8431372549021</c:v>
                </c:pt>
                <c:pt idx="6">
                  <c:v>8326.04054054054</c:v>
                </c:pt>
              </c:numCache>
            </c:numRef>
          </c:val>
          <c:extLst>
            <c:ext xmlns:c16="http://schemas.microsoft.com/office/drawing/2014/chart" uri="{C3380CC4-5D6E-409C-BE32-E72D297353CC}">
              <c16:uniqueId val="{00000000-27EA-4075-A3AB-79A9F35E69FB}"/>
            </c:ext>
          </c:extLst>
        </c:ser>
        <c:dLbls>
          <c:showLegendKey val="0"/>
          <c:showVal val="0"/>
          <c:showCatName val="0"/>
          <c:showSerName val="0"/>
          <c:showPercent val="0"/>
          <c:showBubbleSize val="0"/>
        </c:dLbls>
        <c:gapWidth val="150"/>
        <c:axId val="813512928"/>
        <c:axId val="813515448"/>
      </c:barChart>
      <c:catAx>
        <c:axId val="81351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5448"/>
        <c:crosses val="autoZero"/>
        <c:auto val="1"/>
        <c:lblAlgn val="ctr"/>
        <c:lblOffset val="100"/>
        <c:noMultiLvlLbl val="0"/>
      </c:catAx>
      <c:valAx>
        <c:axId val="813515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Active Minutes by Day!PivotTable11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Average Active Minutes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Active Minutes by Day'!$B$3</c:f>
              <c:strCache>
                <c:ptCount val="1"/>
                <c:pt idx="0">
                  <c:v>Total</c:v>
                </c:pt>
              </c:strCache>
            </c:strRef>
          </c:tx>
          <c:spPr>
            <a:solidFill>
              <a:schemeClr val="accent1"/>
            </a:solidFill>
            <a:ln>
              <a:noFill/>
            </a:ln>
            <a:effectLst/>
          </c:spPr>
          <c:invertIfNegative val="0"/>
          <c:cat>
            <c:strRef>
              <c:f>'Average Active Minutes by Day'!$A$4:$A$11</c:f>
              <c:strCache>
                <c:ptCount val="7"/>
                <c:pt idx="0">
                  <c:v>Sunday</c:v>
                </c:pt>
                <c:pt idx="1">
                  <c:v>Monday</c:v>
                </c:pt>
                <c:pt idx="2">
                  <c:v>Tuesday</c:v>
                </c:pt>
                <c:pt idx="3">
                  <c:v>Wednesday</c:v>
                </c:pt>
                <c:pt idx="4">
                  <c:v>Thursday</c:v>
                </c:pt>
                <c:pt idx="5">
                  <c:v>Friday</c:v>
                </c:pt>
                <c:pt idx="6">
                  <c:v>Saturday</c:v>
                </c:pt>
              </c:strCache>
            </c:strRef>
          </c:cat>
          <c:val>
            <c:numRef>
              <c:f>'Average Active Minutes by Day'!$B$4:$B$11</c:f>
              <c:numCache>
                <c:formatCode>General</c:formatCode>
                <c:ptCount val="7"/>
                <c:pt idx="0">
                  <c:v>20.682539682539684</c:v>
                </c:pt>
                <c:pt idx="1">
                  <c:v>21.383928571428573</c:v>
                </c:pt>
                <c:pt idx="2">
                  <c:v>20.282894736842106</c:v>
                </c:pt>
                <c:pt idx="3">
                  <c:v>23.016260162601625</c:v>
                </c:pt>
                <c:pt idx="4">
                  <c:v>21.944444444444443</c:v>
                </c:pt>
                <c:pt idx="5">
                  <c:v>18.705882352941178</c:v>
                </c:pt>
                <c:pt idx="6">
                  <c:v>22.655405405405407</c:v>
                </c:pt>
              </c:numCache>
            </c:numRef>
          </c:val>
          <c:extLst>
            <c:ext xmlns:c16="http://schemas.microsoft.com/office/drawing/2014/chart" uri="{C3380CC4-5D6E-409C-BE32-E72D297353CC}">
              <c16:uniqueId val="{00000000-AA64-4648-AA9C-C60547D12661}"/>
            </c:ext>
          </c:extLst>
        </c:ser>
        <c:dLbls>
          <c:showLegendKey val="0"/>
          <c:showVal val="0"/>
          <c:showCatName val="0"/>
          <c:showSerName val="0"/>
          <c:showPercent val="0"/>
          <c:showBubbleSize val="0"/>
        </c:dLbls>
        <c:gapWidth val="219"/>
        <c:overlap val="-27"/>
        <c:axId val="806728888"/>
        <c:axId val="806737888"/>
      </c:barChart>
      <c:catAx>
        <c:axId val="8067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37888"/>
        <c:crosses val="autoZero"/>
        <c:auto val="1"/>
        <c:lblAlgn val="ctr"/>
        <c:lblOffset val="100"/>
        <c:noMultiLvlLbl val="0"/>
      </c:catAx>
      <c:valAx>
        <c:axId val="8067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28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[Dashboard_bellabeats.xlsx]Activity Level Distribution!PivotTable8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Activity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'Activity Level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7E-4EF2-9A40-125F710F3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7E-4EF2-9A40-125F710F3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7E-4EF2-9A40-125F710F37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7E-4EF2-9A40-125F710F3751}"/>
              </c:ext>
            </c:extLst>
          </c:dPt>
          <c:cat>
            <c:strRef>
              <c:f>'Activity Level Distribution'!$A$4:$A$8</c:f>
              <c:strCache>
                <c:ptCount val="4"/>
                <c:pt idx="0">
                  <c:v>Fairly Active</c:v>
                </c:pt>
                <c:pt idx="1">
                  <c:v>Lightly Active</c:v>
                </c:pt>
                <c:pt idx="2">
                  <c:v>Sedentary</c:v>
                </c:pt>
                <c:pt idx="3">
                  <c:v>Very_Active</c:v>
                </c:pt>
              </c:strCache>
            </c:strRef>
          </c:cat>
          <c:val>
            <c:numRef>
              <c:f>'Activity Level Distribution'!$B$4:$B$8</c:f>
              <c:numCache>
                <c:formatCode>General</c:formatCode>
                <c:ptCount val="4"/>
                <c:pt idx="0">
                  <c:v>163</c:v>
                </c:pt>
                <c:pt idx="1">
                  <c:v>171</c:v>
                </c:pt>
                <c:pt idx="2">
                  <c:v>303</c:v>
                </c:pt>
                <c:pt idx="3">
                  <c:v>303</c:v>
                </c:pt>
              </c:numCache>
            </c:numRef>
          </c:val>
          <c:extLst>
            <c:ext xmlns:c16="http://schemas.microsoft.com/office/drawing/2014/chart" uri="{C3380CC4-5D6E-409C-BE32-E72D297353CC}">
              <c16:uniqueId val="{00000008-AD7E-4EF2-9A40-125F710F37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[Dashboard_bellabeats.xlsx]Sleep Efficiency!PivotTable12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Sleep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'Sleep Efficiency'!$B$3</c:f>
              <c:strCache>
                <c:ptCount val="1"/>
                <c:pt idx="0">
                  <c:v>Total</c:v>
                </c:pt>
              </c:strCache>
            </c:strRef>
          </c:tx>
          <c:spPr>
            <a:solidFill>
              <a:schemeClr val="accent1"/>
            </a:solidFill>
            <a:ln>
              <a:noFill/>
            </a:ln>
            <a:effectLst/>
          </c:spPr>
          <c:invertIfNegative val="0"/>
          <c:cat>
            <c:strRef>
              <c:f>'Sleep Efficiency'!$A$4:$A$11</c:f>
              <c:strCache>
                <c:ptCount val="7"/>
                <c:pt idx="0">
                  <c:v>Sunday</c:v>
                </c:pt>
                <c:pt idx="1">
                  <c:v>Monday</c:v>
                </c:pt>
                <c:pt idx="2">
                  <c:v>Tuesday</c:v>
                </c:pt>
                <c:pt idx="3">
                  <c:v>Wednesday</c:v>
                </c:pt>
                <c:pt idx="4">
                  <c:v>Thursday</c:v>
                </c:pt>
                <c:pt idx="5">
                  <c:v>Friday</c:v>
                </c:pt>
                <c:pt idx="6">
                  <c:v>Saturday</c:v>
                </c:pt>
              </c:strCache>
            </c:strRef>
          </c:cat>
          <c:val>
            <c:numRef>
              <c:f>'Sleep Efficiency'!$B$4:$B$11</c:f>
              <c:numCache>
                <c:formatCode>General</c:formatCode>
                <c:ptCount val="7"/>
                <c:pt idx="0">
                  <c:v>0.9050897761569775</c:v>
                </c:pt>
                <c:pt idx="1">
                  <c:v>0.91968620522069011</c:v>
                </c:pt>
                <c:pt idx="2">
                  <c:v>0.91094808821702256</c:v>
                </c:pt>
                <c:pt idx="3">
                  <c:v>0.92128524549884916</c:v>
                </c:pt>
                <c:pt idx="4">
                  <c:v>0.92268031653442872</c:v>
                </c:pt>
                <c:pt idx="5">
                  <c:v>0.9200713753772819</c:v>
                </c:pt>
                <c:pt idx="6">
                  <c:v>0.91497871164468869</c:v>
                </c:pt>
              </c:numCache>
            </c:numRef>
          </c:val>
          <c:extLst>
            <c:ext xmlns:c16="http://schemas.microsoft.com/office/drawing/2014/chart" uri="{C3380CC4-5D6E-409C-BE32-E72D297353CC}">
              <c16:uniqueId val="{00000000-6C5C-4D4B-A763-B1A80BEB407A}"/>
            </c:ext>
          </c:extLst>
        </c:ser>
        <c:dLbls>
          <c:showLegendKey val="0"/>
          <c:showVal val="0"/>
          <c:showCatName val="0"/>
          <c:showSerName val="0"/>
          <c:showPercent val="0"/>
          <c:showBubbleSize val="0"/>
        </c:dLbls>
        <c:gapWidth val="182"/>
        <c:axId val="813502128"/>
        <c:axId val="813501048"/>
      </c:barChart>
      <c:catAx>
        <c:axId val="81350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01048"/>
        <c:crosses val="autoZero"/>
        <c:auto val="1"/>
        <c:lblAlgn val="ctr"/>
        <c:lblOffset val="100"/>
        <c:noMultiLvlLbl val="0"/>
      </c:catAx>
      <c:valAx>
        <c:axId val="813501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0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Sleep Duration by Day !PivotTable9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Sleep Duration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Sleep Duration by Day '!$B$3</c:f>
              <c:strCache>
                <c:ptCount val="1"/>
                <c:pt idx="0">
                  <c:v>Total</c:v>
                </c:pt>
              </c:strCache>
            </c:strRef>
          </c:tx>
          <c:spPr>
            <a:solidFill>
              <a:schemeClr val="accent1"/>
            </a:solidFill>
            <a:ln>
              <a:noFill/>
            </a:ln>
            <a:effectLst/>
          </c:spPr>
          <c:invertIfNegative val="0"/>
          <c:cat>
            <c:strRef>
              <c:f>'Average Sleep Duration by Day '!$A$4:$A$12</c:f>
              <c:strCache>
                <c:ptCount val="8"/>
                <c:pt idx="0">
                  <c:v>Sunday</c:v>
                </c:pt>
                <c:pt idx="1">
                  <c:v>Monday</c:v>
                </c:pt>
                <c:pt idx="2">
                  <c:v>Tuesday</c:v>
                </c:pt>
                <c:pt idx="3">
                  <c:v>Wednesday</c:v>
                </c:pt>
                <c:pt idx="4">
                  <c:v>Thursday</c:v>
                </c:pt>
                <c:pt idx="5">
                  <c:v>Friday</c:v>
                </c:pt>
                <c:pt idx="6">
                  <c:v>Saturday</c:v>
                </c:pt>
                <c:pt idx="7">
                  <c:v>(blank)</c:v>
                </c:pt>
              </c:strCache>
            </c:strRef>
          </c:cat>
          <c:val>
            <c:numRef>
              <c:f>'Average Sleep Duration by Day '!$B$4:$B$12</c:f>
              <c:numCache>
                <c:formatCode>General</c:formatCode>
                <c:ptCount val="8"/>
                <c:pt idx="0">
                  <c:v>452.74545454545455</c:v>
                </c:pt>
                <c:pt idx="1">
                  <c:v>419.5</c:v>
                </c:pt>
                <c:pt idx="2">
                  <c:v>404.53846153846155</c:v>
                </c:pt>
                <c:pt idx="3">
                  <c:v>434.68181818181819</c:v>
                </c:pt>
                <c:pt idx="4">
                  <c:v>401.296875</c:v>
                </c:pt>
                <c:pt idx="5">
                  <c:v>405.42105263157896</c:v>
                </c:pt>
                <c:pt idx="6">
                  <c:v>419.07017543859649</c:v>
                </c:pt>
              </c:numCache>
            </c:numRef>
          </c:val>
          <c:extLst>
            <c:ext xmlns:c16="http://schemas.microsoft.com/office/drawing/2014/chart" uri="{C3380CC4-5D6E-409C-BE32-E72D297353CC}">
              <c16:uniqueId val="{00000000-1409-4D80-94A2-EF75938E992F}"/>
            </c:ext>
          </c:extLst>
        </c:ser>
        <c:dLbls>
          <c:showLegendKey val="0"/>
          <c:showVal val="0"/>
          <c:showCatName val="0"/>
          <c:showSerName val="0"/>
          <c:showPercent val="0"/>
          <c:showBubbleSize val="0"/>
        </c:dLbls>
        <c:gapWidth val="150"/>
        <c:axId val="1697809616"/>
        <c:axId val="1697815736"/>
      </c:barChart>
      <c:catAx>
        <c:axId val="169780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15736"/>
        <c:crosses val="autoZero"/>
        <c:auto val="1"/>
        <c:lblAlgn val="ctr"/>
        <c:lblOffset val="100"/>
        <c:noMultiLvlLbl val="0"/>
      </c:catAx>
      <c:valAx>
        <c:axId val="1697815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Calories Burned by Day!PivotTable4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Calories Burned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Calories Burned by Day'!$B$3</c:f>
              <c:strCache>
                <c:ptCount val="1"/>
                <c:pt idx="0">
                  <c:v>Total</c:v>
                </c:pt>
              </c:strCache>
            </c:strRef>
          </c:tx>
          <c:spPr>
            <a:solidFill>
              <a:schemeClr val="accent1"/>
            </a:solidFill>
            <a:ln>
              <a:noFill/>
            </a:ln>
            <a:effectLst/>
          </c:spPr>
          <c:invertIfNegative val="0"/>
          <c:cat>
            <c:strRef>
              <c:f>'Average Calories Burned by Day'!$A$4:$A$11</c:f>
              <c:strCache>
                <c:ptCount val="7"/>
                <c:pt idx="0">
                  <c:v>Sunday</c:v>
                </c:pt>
                <c:pt idx="1">
                  <c:v>Monday</c:v>
                </c:pt>
                <c:pt idx="2">
                  <c:v>Tuesday</c:v>
                </c:pt>
                <c:pt idx="3">
                  <c:v>Wednesday</c:v>
                </c:pt>
                <c:pt idx="4">
                  <c:v>Thursday</c:v>
                </c:pt>
                <c:pt idx="5">
                  <c:v>Friday</c:v>
                </c:pt>
                <c:pt idx="6">
                  <c:v>Saturday</c:v>
                </c:pt>
              </c:strCache>
            </c:strRef>
          </c:cat>
          <c:val>
            <c:numRef>
              <c:f>'Average Calories Burned by Day'!$B$4:$B$11</c:f>
              <c:numCache>
                <c:formatCode>General</c:formatCode>
                <c:ptCount val="7"/>
                <c:pt idx="0">
                  <c:v>2321.3253968253966</c:v>
                </c:pt>
                <c:pt idx="1">
                  <c:v>2114.6607142857142</c:v>
                </c:pt>
                <c:pt idx="2">
                  <c:v>2291.8421052631579</c:v>
                </c:pt>
                <c:pt idx="3">
                  <c:v>2313.6829268292681</c:v>
                </c:pt>
                <c:pt idx="4">
                  <c:v>2376.2857142857142</c:v>
                </c:pt>
                <c:pt idx="5">
                  <c:v>2307.9019607843138</c:v>
                </c:pt>
                <c:pt idx="6">
                  <c:v>2368.9189189189187</c:v>
                </c:pt>
              </c:numCache>
            </c:numRef>
          </c:val>
          <c:extLst>
            <c:ext xmlns:c16="http://schemas.microsoft.com/office/drawing/2014/chart" uri="{C3380CC4-5D6E-409C-BE32-E72D297353CC}">
              <c16:uniqueId val="{00000000-9C48-4B19-8EDB-E6B235837D92}"/>
            </c:ext>
          </c:extLst>
        </c:ser>
        <c:dLbls>
          <c:showLegendKey val="0"/>
          <c:showVal val="0"/>
          <c:showCatName val="0"/>
          <c:showSerName val="0"/>
          <c:showPercent val="0"/>
          <c:showBubbleSize val="0"/>
        </c:dLbls>
        <c:gapWidth val="150"/>
        <c:axId val="1697806736"/>
        <c:axId val="1697807456"/>
      </c:barChart>
      <c:catAx>
        <c:axId val="169780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7456"/>
        <c:crosses val="autoZero"/>
        <c:auto val="1"/>
        <c:lblAlgn val="ctr"/>
        <c:lblOffset val="100"/>
        <c:noMultiLvlLbl val="0"/>
      </c:catAx>
      <c:valAx>
        <c:axId val="169780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80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[Dashboard_bellabeats.xlsx]Average Steps by Day of Week!PivotTable2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Steps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Steps by Day of Week'!$B$3</c:f>
              <c:strCache>
                <c:ptCount val="1"/>
                <c:pt idx="0">
                  <c:v>Total</c:v>
                </c:pt>
              </c:strCache>
            </c:strRef>
          </c:tx>
          <c:spPr>
            <a:solidFill>
              <a:schemeClr val="accent1"/>
            </a:solidFill>
            <a:ln>
              <a:noFill/>
            </a:ln>
            <a:effectLst/>
          </c:spPr>
          <c:invertIfNegative val="0"/>
          <c:cat>
            <c:strRef>
              <c:f>'Average Steps by Day of Week'!$A$4:$A$11</c:f>
              <c:strCache>
                <c:ptCount val="7"/>
                <c:pt idx="0">
                  <c:v>Sunday</c:v>
                </c:pt>
                <c:pt idx="1">
                  <c:v>Monday</c:v>
                </c:pt>
                <c:pt idx="2">
                  <c:v>Tuesday</c:v>
                </c:pt>
                <c:pt idx="3">
                  <c:v>Wednesday</c:v>
                </c:pt>
                <c:pt idx="4">
                  <c:v>Thursday</c:v>
                </c:pt>
                <c:pt idx="5">
                  <c:v>Friday</c:v>
                </c:pt>
                <c:pt idx="6">
                  <c:v>Saturday</c:v>
                </c:pt>
              </c:strCache>
            </c:strRef>
          </c:cat>
          <c:val>
            <c:numRef>
              <c:f>'Average Steps by Day of Week'!$B$4:$B$11</c:f>
              <c:numCache>
                <c:formatCode>General</c:formatCode>
                <c:ptCount val="7"/>
                <c:pt idx="0">
                  <c:v>7387.4603174603171</c:v>
                </c:pt>
                <c:pt idx="1">
                  <c:v>7164.2767857142853</c:v>
                </c:pt>
                <c:pt idx="2">
                  <c:v>7359.5394736842109</c:v>
                </c:pt>
                <c:pt idx="3">
                  <c:v>7837.6097560975613</c:v>
                </c:pt>
                <c:pt idx="4">
                  <c:v>8059.7539682539682</c:v>
                </c:pt>
                <c:pt idx="5">
                  <c:v>7293.8431372549021</c:v>
                </c:pt>
                <c:pt idx="6">
                  <c:v>8326.04054054054</c:v>
                </c:pt>
              </c:numCache>
            </c:numRef>
          </c:val>
          <c:extLst>
            <c:ext xmlns:c16="http://schemas.microsoft.com/office/drawing/2014/chart" uri="{C3380CC4-5D6E-409C-BE32-E72D297353CC}">
              <c16:uniqueId val="{00000000-3AA6-48E9-86C4-30EB28DECB08}"/>
            </c:ext>
          </c:extLst>
        </c:ser>
        <c:dLbls>
          <c:showLegendKey val="0"/>
          <c:showVal val="0"/>
          <c:showCatName val="0"/>
          <c:showSerName val="0"/>
          <c:showPercent val="0"/>
          <c:showBubbleSize val="0"/>
        </c:dLbls>
        <c:gapWidth val="150"/>
        <c:axId val="813512928"/>
        <c:axId val="813515448"/>
      </c:barChart>
      <c:catAx>
        <c:axId val="81351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5448"/>
        <c:crosses val="autoZero"/>
        <c:auto val="1"/>
        <c:lblAlgn val="ctr"/>
        <c:lblOffset val="100"/>
        <c:noMultiLvlLbl val="0"/>
      </c:catAx>
      <c:valAx>
        <c:axId val="813515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411480</xdr:colOff>
      <xdr:row>4</xdr:row>
      <xdr:rowOff>140970</xdr:rowOff>
    </xdr:from>
    <xdr:to>
      <xdr:col>11</xdr:col>
      <xdr:colOff>106680</xdr:colOff>
      <xdr:row>19</xdr:row>
      <xdr:rowOff>140970</xdr:rowOff>
    </xdr:to>
    <xdr:graphicFrame macro="">
      <xdr:nvGraphicFramePr>
        <xdr:cNvPr id="3" name="Chart 2">
          <a:extLst>
            <a:ext uri="{FF2B5EF4-FFF2-40B4-BE49-F238E27FC236}">
              <a16:creationId xmlns:a16="http://schemas.microsoft.com/office/drawing/2014/main" id="{91BBEC38-FDEF-8887-A606-A9A9CEB4E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11</xdr:col>
      <xdr:colOff>228600</xdr:colOff>
      <xdr:row>21</xdr:row>
      <xdr:rowOff>41910</xdr:rowOff>
    </xdr:to>
    <xdr:graphicFrame macro="">
      <xdr:nvGraphicFramePr>
        <xdr:cNvPr id="3" name="Chart 2">
          <a:extLst>
            <a:ext uri="{FF2B5EF4-FFF2-40B4-BE49-F238E27FC236}">
              <a16:creationId xmlns:a16="http://schemas.microsoft.com/office/drawing/2014/main" id="{6013F031-BADE-58E0-15F3-3CB2D31D8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137160</xdr:colOff>
      <xdr:row>6</xdr:row>
      <xdr:rowOff>41910</xdr:rowOff>
    </xdr:from>
    <xdr:to>
      <xdr:col>10</xdr:col>
      <xdr:colOff>441960</xdr:colOff>
      <xdr:row>21</xdr:row>
      <xdr:rowOff>41910</xdr:rowOff>
    </xdr:to>
    <xdr:graphicFrame macro="">
      <xdr:nvGraphicFramePr>
        <xdr:cNvPr id="3" name="Chart 2">
          <a:extLst>
            <a:ext uri="{FF2B5EF4-FFF2-40B4-BE49-F238E27FC236}">
              <a16:creationId xmlns:a16="http://schemas.microsoft.com/office/drawing/2014/main" id="{3EBFA9CF-EF40-20BD-507F-6CEF87C62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6</xdr:row>
      <xdr:rowOff>41910</xdr:rowOff>
    </xdr:from>
    <xdr:to>
      <xdr:col>10</xdr:col>
      <xdr:colOff>205740</xdr:colOff>
      <xdr:row>21</xdr:row>
      <xdr:rowOff>41910</xdr:rowOff>
    </xdr:to>
    <xdr:graphicFrame macro="">
      <xdr:nvGraphicFramePr>
        <xdr:cNvPr id="2" name="Chart 1">
          <a:extLst>
            <a:ext uri="{FF2B5EF4-FFF2-40B4-BE49-F238E27FC236}">
              <a16:creationId xmlns:a16="http://schemas.microsoft.com/office/drawing/2014/main" id="{BF0EE41B-67DA-D80A-5558-227BEC24C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403860</xdr:colOff>
      <xdr:row>6</xdr:row>
      <xdr:rowOff>41910</xdr:rowOff>
    </xdr:from>
    <xdr:to>
      <xdr:col>11</xdr:col>
      <xdr:colOff>99060</xdr:colOff>
      <xdr:row>21</xdr:row>
      <xdr:rowOff>41910</xdr:rowOff>
    </xdr:to>
    <xdr:graphicFrame macro="">
      <xdr:nvGraphicFramePr>
        <xdr:cNvPr id="6" name="Chart 5">
          <a:extLst>
            <a:ext uri="{FF2B5EF4-FFF2-40B4-BE49-F238E27FC236}">
              <a16:creationId xmlns:a16="http://schemas.microsoft.com/office/drawing/2014/main" id="{573B1032-EBE5-2786-A1AA-B7AD5B026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419100</xdr:colOff>
      <xdr:row>6</xdr:row>
      <xdr:rowOff>41910</xdr:rowOff>
    </xdr:from>
    <xdr:to>
      <xdr:col>10</xdr:col>
      <xdr:colOff>114300</xdr:colOff>
      <xdr:row>21</xdr:row>
      <xdr:rowOff>41910</xdr:rowOff>
    </xdr:to>
    <xdr:graphicFrame macro="">
      <xdr:nvGraphicFramePr>
        <xdr:cNvPr id="2" name="Chart 1">
          <a:extLst>
            <a:ext uri="{FF2B5EF4-FFF2-40B4-BE49-F238E27FC236}">
              <a16:creationId xmlns:a16="http://schemas.microsoft.com/office/drawing/2014/main" id="{9ED575B1-1975-951C-E60E-786E47B37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1</xdr:row>
      <xdr:rowOff>106680</xdr:rowOff>
    </xdr:from>
    <xdr:to>
      <xdr:col>7</xdr:col>
      <xdr:colOff>175260</xdr:colOff>
      <xdr:row>13</xdr:row>
      <xdr:rowOff>106680</xdr:rowOff>
    </xdr:to>
    <xdr:graphicFrame macro="">
      <xdr:nvGraphicFramePr>
        <xdr:cNvPr id="2" name="Chart 1">
          <a:extLst>
            <a:ext uri="{FF2B5EF4-FFF2-40B4-BE49-F238E27FC236}">
              <a16:creationId xmlns:a16="http://schemas.microsoft.com/office/drawing/2014/main" id="{8C7F568A-2712-4F61-80F3-2C0CEAAD3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144780</xdr:colOff>
      <xdr:row>1</xdr:row>
      <xdr:rowOff>83820</xdr:rowOff>
    </xdr:from>
    <xdr:to>
      <xdr:col>17</xdr:col>
      <xdr:colOff>190500</xdr:colOff>
      <xdr:row>13</xdr:row>
      <xdr:rowOff>83820</xdr:rowOff>
    </xdr:to>
    <xdr:graphicFrame macro="">
      <xdr:nvGraphicFramePr>
        <xdr:cNvPr id="3" name="Chart 2">
          <a:extLst>
            <a:ext uri="{FF2B5EF4-FFF2-40B4-BE49-F238E27FC236}">
              <a16:creationId xmlns:a16="http://schemas.microsoft.com/office/drawing/2014/main" id="{EF8712AB-7D13-4553-A527-42B9E5E3F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175260</xdr:colOff>
      <xdr:row>13</xdr:row>
      <xdr:rowOff>121920</xdr:rowOff>
    </xdr:from>
    <xdr:to>
      <xdr:col>12</xdr:col>
      <xdr:colOff>152400</xdr:colOff>
      <xdr:row>24</xdr:row>
      <xdr:rowOff>152400</xdr:rowOff>
    </xdr:to>
    <xdr:graphicFrame macro="">
      <xdr:nvGraphicFramePr>
        <xdr:cNvPr id="4" name="Chart 3">
          <a:extLst>
            <a:ext uri="{FF2B5EF4-FFF2-40B4-BE49-F238E27FC236}">
              <a16:creationId xmlns:a16="http://schemas.microsoft.com/office/drawing/2014/main" id="{61921E9B-3E51-472E-8991-473ADBE81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167640</xdr:colOff>
      <xdr:row>13</xdr:row>
      <xdr:rowOff>53340</xdr:rowOff>
    </xdr:from>
    <xdr:to>
      <xdr:col>17</xdr:col>
      <xdr:colOff>205740</xdr:colOff>
      <xdr:row>24</xdr:row>
      <xdr:rowOff>106680</xdr:rowOff>
    </xdr:to>
    <xdr:graphicFrame macro="">
      <xdr:nvGraphicFramePr>
        <xdr:cNvPr id="5" name="Chart 4">
          <a:extLst>
            <a:ext uri="{FF2B5EF4-FFF2-40B4-BE49-F238E27FC236}">
              <a16:creationId xmlns:a16="http://schemas.microsoft.com/office/drawing/2014/main" id="{7911A3F1-9E31-4A54-AD20-7EC870A91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13</xdr:row>
      <xdr:rowOff>106680</xdr:rowOff>
    </xdr:from>
    <xdr:to>
      <xdr:col>7</xdr:col>
      <xdr:colOff>175260</xdr:colOff>
      <xdr:row>24</xdr:row>
      <xdr:rowOff>114300</xdr:rowOff>
    </xdr:to>
    <xdr:graphicFrame macro="">
      <xdr:nvGraphicFramePr>
        <xdr:cNvPr id="6" name="Chart 5">
          <a:extLst>
            <a:ext uri="{FF2B5EF4-FFF2-40B4-BE49-F238E27FC236}">
              <a16:creationId xmlns:a16="http://schemas.microsoft.com/office/drawing/2014/main" id="{C942003E-6666-4708-9F85-4E928949E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182880</xdr:colOff>
      <xdr:row>1</xdr:row>
      <xdr:rowOff>121920</xdr:rowOff>
    </xdr:from>
    <xdr:to>
      <xdr:col>12</xdr:col>
      <xdr:colOff>175260</xdr:colOff>
      <xdr:row>13</xdr:row>
      <xdr:rowOff>114300</xdr:rowOff>
    </xdr:to>
    <xdr:graphicFrame macro="">
      <xdr:nvGraphicFramePr>
        <xdr:cNvPr id="7" name="Chart 6">
          <a:extLst>
            <a:ext uri="{FF2B5EF4-FFF2-40B4-BE49-F238E27FC236}">
              <a16:creationId xmlns:a16="http://schemas.microsoft.com/office/drawing/2014/main" id="{9B2A574D-862B-40B5-93FE-BFC570E82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137160</xdr:colOff>
      <xdr:row>1</xdr:row>
      <xdr:rowOff>83820</xdr:rowOff>
    </xdr:from>
    <xdr:to>
      <xdr:col>21</xdr:col>
      <xdr:colOff>411480</xdr:colOff>
      <xdr:row>24</xdr:row>
      <xdr:rowOff>83820</xdr:rowOff>
    </xdr:to>
    <xdr:graphicFrame macro="">
      <xdr:nvGraphicFramePr>
        <xdr:cNvPr id="8" name="Chart 7">
          <a:extLst>
            <a:ext uri="{FF2B5EF4-FFF2-40B4-BE49-F238E27FC236}">
              <a16:creationId xmlns:a16="http://schemas.microsoft.com/office/drawing/2014/main" id="{3CD1A6C9-251B-444E-8D6A-FB01D28B3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xdr:row>
      <xdr:rowOff>121920</xdr:rowOff>
    </xdr:from>
    <xdr:to>
      <xdr:col>2</xdr:col>
      <xdr:colOff>114300</xdr:colOff>
      <xdr:row>11</xdr:row>
      <xdr:rowOff>60960</xdr:rowOff>
    </xdr:to>
    <mc:AlternateContent xmlns:mc="http://schemas.openxmlformats.org/markup-compatibility/2006">
      <mc:Choice xmlns:tsle="http://schemas.microsoft.com/office/drawing/2012/timeslicer" Requires="tsle">
        <xdr:graphicFrame macro="">
          <xdr:nvGraphicFramePr>
            <xdr:cNvPr id="14" name="activity_data">
              <a:extLst>
                <a:ext uri="{FF2B5EF4-FFF2-40B4-BE49-F238E27FC236}">
                  <a16:creationId xmlns:a16="http://schemas.microsoft.com/office/drawing/2014/main" id="{07F742F0-289C-E441-0427-A900962A4773}"/>
                </a:ext>
              </a:extLst>
            </xdr:cNvPr>
            <xdr:cNvGraphicFramePr/>
          </xdr:nvGraphicFramePr>
          <xdr:xfrm>
            <a:off x="0" y="0"/>
            <a:ext cx="0" cy="0"/>
          </xdr:xfrm>
          <a:graphic>
            <a:graphicData uri="http://schemas.microsoft.com/office/drawing/2012/timeslicer">
              <tsle:timeslicer xmlns:tsle="http://schemas.microsoft.com/office/drawing/2012/timeslicer" name="activity_data"/>
            </a:graphicData>
          </a:graphic>
        </xdr:graphicFrame>
      </mc:Choice>
      <mc:Fallback>
        <xdr:sp macro="" textlink="">
          <xdr:nvSpPr>
            <xdr:cNvPr id="0" name=""/>
            <xdr:cNvSpPr>
              <a:spLocks noTextEdit="1"/>
            </xdr:cNvSpPr>
          </xdr:nvSpPr>
          <xdr:spPr>
            <a:xfrm>
              <a:off x="0" y="533400"/>
              <a:ext cx="1455420" cy="169164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0</xdr:col>
      <xdr:colOff>0</xdr:colOff>
      <xdr:row>11</xdr:row>
      <xdr:rowOff>167641</xdr:rowOff>
    </xdr:from>
    <xdr:to>
      <xdr:col>2</xdr:col>
      <xdr:colOff>129540</xdr:colOff>
      <xdr:row>24</xdr:row>
      <xdr:rowOff>106681</xdr:rowOff>
    </xdr:to>
    <mc:AlternateContent xmlns:mc="http://schemas.openxmlformats.org/markup-compatibility/2006">
      <mc:Choice xmlns:a14="http://schemas.microsoft.com/office/drawing/2010/main" Requires="a14">
        <xdr:graphicFrame macro="">
          <xdr:nvGraphicFramePr>
            <xdr:cNvPr id="12" name="day_of_week">
              <a:extLst>
                <a:ext uri="{FF2B5EF4-FFF2-40B4-BE49-F238E27FC236}">
                  <a16:creationId xmlns:a16="http://schemas.microsoft.com/office/drawing/2014/main" id="{BD5E3F6B-1A7F-4572-EC95-CC021FA8ADBA}"/>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dr:sp macro="" textlink="">
          <xdr:nvSpPr>
            <xdr:cNvPr id="0" name=""/>
            <xdr:cNvSpPr>
              <a:spLocks noTextEdit="1"/>
            </xdr:cNvSpPr>
          </xdr:nvSpPr>
          <xdr:spPr>
            <a:xfrm>
              <a:off x="0" y="2331721"/>
              <a:ext cx="1470660" cy="22174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16.320133217596" createdVersion="8" refreshedVersion="8" minRefreshableVersion="3" recordCount="942" xr:uid="{ED1ED8DF-CC72-4B64-96D4-EBAEF0ED1979}">
  <cacheSource type="worksheet">
    <worksheetSource ref="A1:S1048576" sheet="dailyActivity_4.12.16-5.12.16"/>
  </cacheSource>
  <cacheFields count="19">
    <cacheField name="Id" numFmtId="0">
      <sharedItems containsString="0" containsBlank="1" containsNumber="1" containsInteger="1" minValue="1503960366" maxValue="8877689391" count="34">
        <n v="1503960366"/>
        <n v="6290855005"/>
        <n v="8253242879"/>
        <n v="8583815059"/>
        <n v="3977333714"/>
        <n v="8792009665"/>
        <n v="7007744171"/>
        <n v="4319703577"/>
        <n v="2347167796"/>
        <n v="1844505072"/>
        <n v="5553957443"/>
        <n v="6962181067"/>
        <n v="1624580081"/>
        <n v="6775888955"/>
        <n v="4020332650"/>
        <n v="2320127002"/>
        <n v="2026352035"/>
        <n v="7086361926"/>
        <n v="4445114986"/>
        <n v="3372868164"/>
        <n v="4702921684"/>
        <n v="6117666160"/>
        <n v="1644430081"/>
        <n v="1927972279"/>
        <n v="2873212765"/>
        <n v="4558609924"/>
        <n v="8053475328"/>
        <n v="4057192912"/>
        <n v="4388161847"/>
        <n v="5577150313"/>
        <n v="2022484408"/>
        <n v="8877689391"/>
        <n v="8378563200"/>
        <m/>
      </sharedItems>
    </cacheField>
    <cacheField name="activity_data" numFmtId="164">
      <sharedItems containsNonDate="0" containsDate="1" containsString="0" containsBlank="1" minDate="2016-01-05T00:00:00" maxDate="2016-12-06T00:00:00" count="32">
        <d v="2016-12-05T00:00:00"/>
        <d v="2016-10-05T00:00:00"/>
        <d v="2016-04-30T00:00:00"/>
        <d v="2016-11-05T00:00:00"/>
        <d v="2016-07-05T00:00:00"/>
        <d v="2016-04-29T00:00:00"/>
        <d v="2016-04-17T00:00:00"/>
        <d v="2016-01-05T00:00:00"/>
        <d v="2016-09-05T00:00:00"/>
        <d v="2016-03-05T00:00:00"/>
        <d v="2016-06-05T00:00:00"/>
        <d v="2016-04-15T00:00:00"/>
        <d v="2016-04-24T00:00:00"/>
        <d v="2016-04-25T00:00:00"/>
        <d v="2016-04-26T00:00:00"/>
        <d v="2016-08-05T00:00:00"/>
        <d v="2016-02-05T00:00:00"/>
        <d v="2016-04-27T00:00:00"/>
        <d v="2016-04-20T00:00:00"/>
        <d v="2016-04-19T00:00:00"/>
        <d v="2016-04-05T00:00:00"/>
        <d v="2016-04-21T00:00:00"/>
        <d v="2016-05-05T00:00:00"/>
        <d v="2016-04-16T00:00:00"/>
        <d v="2016-04-22T00:00:00"/>
        <d v="2016-04-28T00:00:00"/>
        <d v="2016-04-13T00:00:00"/>
        <d v="2016-04-18T00:00:00"/>
        <d v="2016-04-14T00:00:00"/>
        <d v="2016-12-04T00:00:00"/>
        <d v="2016-04-23T00:00:00"/>
        <m/>
      </sharedItems>
    </cacheField>
    <cacheField name="total_steps" numFmtId="0">
      <sharedItems containsString="0" containsBlank="1" containsNumber="1" containsInteger="1" minValue="0" maxValue="36019" count="843">
        <n v="0"/>
        <n v="746"/>
        <n v="17"/>
        <n v="42"/>
        <n v="3121"/>
        <n v="3587"/>
        <n v="2971"/>
        <n v="1967"/>
        <n v="590"/>
        <n v="2661"/>
        <n v="254"/>
        <n v="3789"/>
        <n v="768"/>
        <n v="838"/>
        <n v="3077"/>
        <n v="2752"/>
        <n v="4477"/>
        <n v="1329"/>
        <n v="1732"/>
        <n v="2100"/>
        <n v="1727"/>
        <n v="1510"/>
        <n v="4"/>
        <n v="8"/>
        <n v="44"/>
        <n v="2424"/>
        <n v="3134"/>
        <n v="8891"/>
        <n v="197"/>
        <n v="2193"/>
        <n v="2467"/>
        <n v="2470"/>
        <n v="2547"/>
        <n v="7193"/>
        <n v="2969"/>
        <n v="655"/>
        <n v="6093"/>
        <n v="2915"/>
        <n v="2759"/>
        <n v="3490"/>
        <n v="2826"/>
        <n v="772"/>
        <n v="2390"/>
        <n v="7114"/>
        <n v="924"/>
        <n v="7007"/>
        <n v="3325"/>
        <n v="1201"/>
        <n v="3427"/>
        <n v="3335"/>
        <n v="7566"/>
        <n v="8163"/>
        <n v="7641"/>
        <n v="2916"/>
        <n v="3821"/>
        <n v="4974"/>
        <n v="3609"/>
        <n v="8856"/>
        <n v="6307"/>
        <n v="4414"/>
        <n v="1202"/>
        <n v="5370"/>
        <n v="29"/>
        <n v="1551"/>
        <n v="6349"/>
        <n v="9010"/>
        <n v="4026"/>
        <n v="1532"/>
        <n v="2104"/>
        <n v="1715"/>
        <n v="8911"/>
        <n v="4193"/>
        <n v="6497"/>
        <n v="1868"/>
        <n v="10035"/>
        <n v="7155"/>
        <n v="10414"/>
        <n v="4998"/>
        <n v="4729"/>
        <n v="1807"/>
        <n v="4993"/>
        <n v="3984"/>
        <n v="2524"/>
        <n v="10415"/>
        <n v="2573"/>
        <n v="10645"/>
        <n v="2080"/>
        <n v="11388"/>
        <n v="6175"/>
        <n v="11658"/>
        <n v="5528"/>
        <n v="8538"/>
        <n v="2713"/>
        <n v="11177"/>
        <n v="9107"/>
        <n v="11550"/>
        <n v="6017"/>
        <n v="2718"/>
        <n v="11663"/>
        <n v="2237"/>
        <n v="11677"/>
        <n v="1251"/>
        <n v="6088"/>
        <n v="5933"/>
        <n v="5992"/>
        <n v="10536"/>
        <n v="3404"/>
        <n v="3634"/>
        <n v="6076"/>
        <n v="12312"/>
        <n v="3369"/>
        <n v="13459"/>
        <n v="13559"/>
        <n v="3090"/>
        <n v="13072"/>
        <n v="2276"/>
        <n v="2672"/>
        <n v="3409"/>
        <n v="13585"/>
        <n v="31"/>
        <n v="12058"/>
        <n v="12414"/>
        <n v="3570"/>
        <n v="6375"/>
        <n v="13238"/>
        <n v="2824"/>
        <n v="3588"/>
        <n v="6474"/>
        <n v="14112"/>
        <n v="3414"/>
        <n v="6564"/>
        <n v="4188"/>
        <n v="4038"/>
        <n v="7222"/>
        <n v="14687"/>
        <n v="3843"/>
        <n v="8367"/>
        <n v="3727"/>
        <n v="7018"/>
        <n v="3428"/>
        <n v="7604"/>
        <n v="4926"/>
        <n v="3973"/>
        <n v="4249"/>
        <n v="8580"/>
        <n v="5029"/>
        <n v="5234"/>
        <n v="14335"/>
        <n v="4832"/>
        <n v="5652"/>
        <n v="144"/>
        <n v="244"/>
        <n v="3755"/>
        <n v="4978"/>
        <n v="5057"/>
        <n v="3844"/>
        <n v="4165"/>
        <n v="9705"/>
        <n v="8198"/>
        <n v="7399"/>
        <n v="5454"/>
        <n v="10060"/>
        <n v="4059"/>
        <n v="4878"/>
        <n v="9762"/>
        <n v="5164"/>
        <n v="5563"/>
        <n v="16520"/>
        <n v="6083"/>
        <n v="4014"/>
        <n v="4212"/>
        <n v="9819"/>
        <n v="4112"/>
        <n v="10460"/>
        <n v="4571"/>
        <n v="5202"/>
        <n v="7365"/>
        <n v="12770"/>
        <n v="10544"/>
        <n v="4747"/>
        <n v="4803"/>
        <n v="10039"/>
        <n v="3672"/>
        <n v="3702"/>
        <n v="4525"/>
        <n v="10735"/>
        <n v="400"/>
        <n v="5205"/>
        <n v="5079"/>
        <n v="5997"/>
        <n v="4562"/>
        <n v="4597"/>
        <n v="11100"/>
        <n v="12022"/>
        <n v="10602"/>
        <n v="5161"/>
        <n v="11992"/>
        <n v="6440"/>
        <n v="5372"/>
        <n v="12764"/>
        <n v="5151"/>
        <n v="8452"/>
        <n v="5771"/>
        <n v="7913"/>
        <n v="11181"/>
        <n v="3365"/>
        <n v="5232"/>
        <n v="9"/>
        <n v="3292"/>
        <n v="8064"/>
        <n v="5908"/>
        <n v="5583"/>
        <n v="6198"/>
        <n v="9117"/>
        <n v="5439"/>
        <n v="6260"/>
        <n v="6722"/>
        <n v="4920"/>
        <n v="12207"/>
        <n v="4929"/>
        <n v="5980"/>
        <n v="12669"/>
        <n v="4880"/>
        <n v="10685"/>
        <n v="5401"/>
        <n v="7443"/>
        <n v="7525"/>
        <n v="3403"/>
        <n v="4081"/>
        <n v="9256"/>
        <n v="5472"/>
        <n v="8242"/>
        <n v="4744"/>
        <n v="1170"/>
        <n v="4500"/>
        <n v="6435"/>
        <n v="7762"/>
        <n v="7910"/>
        <n v="12159"/>
        <n v="4940"/>
        <n v="6873"/>
        <n v="13154"/>
        <n v="6227"/>
        <n v="2997"/>
        <n v="6424"/>
        <n v="6559"/>
        <n v="7412"/>
        <n v="7726"/>
        <n v="7373"/>
        <n v="6905"/>
        <n v="7451"/>
        <n v="5135"/>
        <n v="6829"/>
        <n v="7063"/>
        <n v="9632"/>
        <n v="12357"/>
        <n v="7833"/>
        <n v="6731"/>
        <n v="13019"/>
        <n v="637"/>
        <n v="6799"/>
        <n v="7192"/>
        <n v="10538"/>
        <n v="12167"/>
        <n v="1321"/>
        <n v="6466"/>
        <n v="2268"/>
        <n v="1320"/>
        <n v="8053"/>
        <n v="8247"/>
        <n v="4935"/>
        <n v="5250"/>
        <n v="7804"/>
        <n v="6815"/>
        <n v="14673"/>
        <n v="14371"/>
        <n v="5267"/>
        <n v="2064"/>
        <n v="7948"/>
        <n v="14070"/>
        <n v="1619"/>
        <n v="8275"/>
        <n v="1219"/>
        <n v="8199"/>
        <n v="2817"/>
        <n v="3516"/>
        <n v="8859"/>
        <n v="13755"/>
        <n v="8314"/>
        <n v="5512"/>
        <n v="7379"/>
        <n v="8237"/>
        <n v="2072"/>
        <n v="4561"/>
        <n v="8905"/>
        <n v="8796"/>
        <n v="5664"/>
        <n v="7711"/>
        <n v="13162"/>
        <n v="1969"/>
        <n v="16"/>
        <n v="15103"/>
        <n v="6907"/>
        <n v="703"/>
        <n v="10199"/>
        <n v="62"/>
        <n v="6708"/>
        <n v="7396"/>
        <n v="9769"/>
        <n v="7289"/>
        <n v="11393"/>
        <n v="10081"/>
        <n v="7275"/>
        <n v="7618"/>
        <n v="14727"/>
        <n v="10232"/>
        <n v="2483"/>
        <n v="5995"/>
        <n v="10129"/>
        <n v="108"/>
        <n v="10433"/>
        <n v="15355"/>
        <n v="6798"/>
        <n v="1831"/>
        <n v="8278"/>
        <n v="5153"/>
        <n v="9317"/>
        <n v="11596"/>
        <n v="10145"/>
        <n v="6697"/>
        <n v="10946"/>
        <n v="10320"/>
        <n v="15506"/>
        <n v="10352"/>
        <n v="11404"/>
        <n v="2564"/>
        <n v="4933"/>
        <n v="9033"/>
        <n v="9135"/>
        <n v="10742"/>
        <n v="10080"/>
        <n v="3520"/>
        <n v="3761"/>
        <n v="2153"/>
        <n v="8283"/>
        <n v="8054"/>
        <n v="8482"/>
        <n v="8844"/>
        <n v="7891"/>
        <n v="10524"/>
        <n v="12346"/>
        <n v="1758"/>
        <n v="2283"/>
        <n v="2497"/>
        <n v="6001"/>
        <n v="2923"/>
        <n v="3385"/>
        <n v="12109"/>
        <n v="4631"/>
        <n v="6890"/>
        <n v="10147"/>
        <n v="10725"/>
        <n v="8221"/>
        <n v="149"/>
        <n v="9715"/>
        <n v="11886"/>
        <n v="9202"/>
        <n v="9601"/>
        <n v="2961"/>
        <n v="7904"/>
        <n v="9482"/>
        <n v="8168"/>
        <n v="5273"/>
        <n v="9557"/>
        <n v="152"/>
        <n v="10319"/>
        <n v="11682"/>
        <n v="12342"/>
        <n v="10204"/>
        <n v="3276"/>
        <n v="7753"/>
        <n v="8940"/>
        <n v="12848"/>
        <n v="9634"/>
        <n v="3800"/>
        <n v="7795"/>
        <n v="5183"/>
        <n v="8857"/>
        <n v="1282"/>
        <n v="7937"/>
        <n v="9108"/>
        <n v="9282"/>
        <n v="10465"/>
        <n v="8204"/>
        <n v="1223"/>
        <n v="9685"/>
        <n v="4363"/>
        <n v="3809"/>
        <n v="356"/>
        <n v="14331"/>
        <n v="18134"/>
        <n v="12912"/>
        <n v="8563"/>
        <n v="13217"/>
        <n v="13928"/>
        <n v="6277"/>
        <n v="7990"/>
        <n v="10100"/>
        <n v="11835"/>
        <n v="3945"/>
        <n v="3915"/>
        <n v="12627"/>
        <n v="9451"/>
        <n v="9471"/>
        <n v="3147"/>
        <n v="4790"/>
        <n v="3974"/>
        <n v="11423"/>
        <n v="13239"/>
        <n v="1326"/>
        <n v="4676"/>
        <n v="10999"/>
        <n v="8925"/>
        <n v="4493"/>
        <n v="475"/>
        <n v="4514"/>
        <n v="11268"/>
        <n v="678"/>
        <n v="8954"/>
        <n v="980"/>
        <n v="2309"/>
        <n v="9148"/>
        <n v="11451"/>
        <n v="4732"/>
        <n v="5600"/>
        <n v="7150"/>
        <n v="8095"/>
        <n v="9129"/>
        <n v="9648"/>
        <n v="9899"/>
        <n v="1664"/>
        <n v="7286"/>
        <n v="5002"/>
        <n v="6155"/>
        <n v="7328"/>
        <n v="10762"/>
        <n v="16556"/>
        <n v="9487"/>
        <n v="10611"/>
        <n v="9524"/>
        <n v="9261"/>
        <n v="11611"/>
        <n v="6987"/>
        <n v="2503"/>
        <n v="5275"/>
        <n v="10429"/>
        <n v="8093"/>
        <n v="15482"/>
        <n v="5394"/>
        <n v="6326"/>
        <n v="10140"/>
        <n v="2421"/>
        <n v="10210"/>
        <n v="7623"/>
        <n v="5974"/>
        <n v="10690"/>
        <n v="9259"/>
        <n v="2487"/>
        <n v="2090"/>
        <n v="10780"/>
        <n v="17022"/>
        <n v="16358"/>
        <n v="6910"/>
        <n v="1786"/>
        <n v="3673"/>
        <n v="10113"/>
        <n v="10378"/>
        <n v="6711"/>
        <n v="1675"/>
        <n v="7243"/>
        <n v="8915"/>
        <n v="15448"/>
        <n v="6222"/>
        <n v="10817"/>
        <n v="2091"/>
        <n v="2163"/>
        <n v="8059"/>
        <n v="8564"/>
        <n v="11875"/>
        <n v="8585"/>
        <n v="4053"/>
        <n v="7135"/>
        <n v="8206"/>
        <n v="2704"/>
        <n v="3321"/>
        <n v="4068"/>
        <n v="7502"/>
        <n v="7303"/>
        <n v="2436"/>
        <n v="6831"/>
        <n v="3008"/>
        <n v="3135"/>
        <n v="9543"/>
        <n v="9469"/>
        <n v="10159"/>
        <n v="7336"/>
        <n v="11369"/>
        <n v="10379"/>
        <n v="13743"/>
        <n v="3032"/>
        <n v="3421"/>
        <n v="11548"/>
        <n v="4697"/>
        <n v="7198"/>
        <n v="3580"/>
        <n v="3176"/>
        <n v="10227"/>
        <n v="2945"/>
        <n v="9105"/>
        <n v="3430"/>
        <n v="3790"/>
        <n v="5162"/>
        <n v="5813"/>
        <n v="11034"/>
        <n v="13481"/>
        <n v="13658"/>
        <n v="10677"/>
        <n v="3864"/>
        <n v="10449"/>
        <n v="13272"/>
        <n v="4503"/>
        <n v="5077"/>
        <n v="11459"/>
        <n v="9592"/>
        <n v="20031"/>
        <n v="2132"/>
        <n v="4660"/>
        <n v="9411"/>
        <n v="3758"/>
        <n v="7091"/>
        <n v="4512"/>
        <n v="12024"/>
        <n v="11135"/>
        <n v="11895"/>
        <n v="10245"/>
        <n v="5510"/>
        <n v="7881"/>
        <n v="16901"/>
        <n v="9799"/>
        <n v="12954"/>
        <n v="13041"/>
        <n v="4950"/>
        <n v="3689"/>
        <n v="11768"/>
        <n v="5014"/>
        <n v="11495"/>
        <n v="5571"/>
        <n v="10520"/>
        <n v="10988"/>
        <n v="2946"/>
        <n v="6543"/>
        <n v="11085"/>
        <n v="5697"/>
        <n v="11179"/>
        <n v="22244"/>
        <n v="6047"/>
        <n v="6637"/>
        <n v="6339"/>
        <n v="5843"/>
        <n v="2943"/>
        <n v="5731"/>
        <n v="36019"/>
        <n v="5319"/>
        <n v="11107"/>
        <n v="6132"/>
        <n v="9733"/>
        <n v="6361"/>
        <n v="5896"/>
        <n v="4369"/>
        <n v="13379"/>
        <n v="7706"/>
        <n v="5832"/>
        <n v="6781"/>
        <n v="6530"/>
        <n v="12390"/>
        <n v="18387"/>
        <n v="9123"/>
        <n v="9572"/>
        <n v="12827"/>
        <n v="3703"/>
        <n v="12862"/>
        <n v="5565"/>
        <n v="9827"/>
        <n v="5245"/>
        <n v="5263"/>
        <n v="10091"/>
        <n v="12183"/>
        <n v="10052"/>
        <n v="10288"/>
        <n v="5206"/>
        <n v="6174"/>
        <n v="13744"/>
        <n v="12465"/>
        <n v="6885"/>
        <n v="14131"/>
        <n v="7802"/>
        <n v="11317"/>
        <n v="6157"/>
        <n v="10387"/>
        <n v="15112"/>
        <n v="8301"/>
        <n v="6108"/>
        <n v="4556"/>
        <n v="10930"/>
        <n v="10119"/>
        <n v="12315"/>
        <n v="6238"/>
        <n v="12798"/>
        <n v="8294"/>
        <n v="4468"/>
        <n v="9167"/>
        <n v="14433"/>
        <n v="8701"/>
        <n v="6116"/>
        <n v="7132"/>
        <n v="12209"/>
        <n v="6117"/>
        <n v="14194"/>
        <n v="10818"/>
        <n v="4496"/>
        <n v="14450"/>
        <n v="13541"/>
        <n v="10733"/>
        <n v="14816"/>
        <n v="15128"/>
        <n v="7142"/>
        <n v="6744"/>
        <n v="8240"/>
        <n v="9753"/>
        <n v="12685"/>
        <n v="10686"/>
        <n v="12422"/>
        <n v="6943"/>
        <n v="7245"/>
        <n v="13953"/>
        <n v="11101"/>
        <n v="11584"/>
        <n v="14019"/>
        <n v="14549"/>
        <n v="5417"/>
        <n v="10243"/>
        <n v="8286"/>
        <n v="15299"/>
        <n v="8469"/>
        <n v="6506"/>
        <n v="7174"/>
        <n v="9501"/>
        <n v="6877"/>
        <n v="9603"/>
        <n v="8001"/>
        <n v="5709"/>
        <n v="7047"/>
        <n v="14581"/>
        <n v="12461"/>
        <n v="5546"/>
        <n v="10255"/>
        <n v="14810"/>
        <n v="9461"/>
        <n v="15010"/>
        <n v="14172"/>
        <n v="15090"/>
        <n v="9217"/>
        <n v="8687"/>
        <n v="10688"/>
        <n v="7213"/>
        <n v="9877"/>
        <n v="14990"/>
        <n v="1882"/>
        <n v="7671"/>
        <n v="10201"/>
        <n v="10122"/>
        <n v="13566"/>
        <n v="10074"/>
        <n v="14510"/>
        <n v="9232"/>
        <n v="7860"/>
        <n v="6724"/>
        <n v="8232"/>
        <n v="14560"/>
        <n v="14365"/>
        <n v="8863"/>
        <n v="7550"/>
        <n v="8161"/>
        <n v="8614"/>
        <n v="6643"/>
        <n v="8757"/>
        <n v="9423"/>
        <n v="10218"/>
        <n v="7439"/>
        <n v="10181"/>
        <n v="15484"/>
        <n v="9023"/>
        <n v="15108"/>
        <n v="1982"/>
        <n v="14055"/>
        <n v="18229"/>
        <n v="14890"/>
        <n v="7359"/>
        <n v="8793"/>
        <n v="10299"/>
        <n v="15447"/>
        <n v="8758"/>
        <n v="9810"/>
        <n v="10055"/>
        <n v="6580"/>
        <n v="11193"/>
        <n v="10553"/>
        <n v="5325"/>
        <n v="5862"/>
        <n v="10993"/>
        <n v="10499"/>
        <n v="15566"/>
        <n v="8360"/>
        <n v="16057"/>
        <n v="9405"/>
        <n v="7875"/>
        <n v="15929"/>
        <n v="10144"/>
        <n v="9919"/>
        <n v="17076"/>
        <n v="16433"/>
        <n v="12474"/>
        <n v="9454"/>
        <n v="10096"/>
        <n v="7638"/>
        <n v="12453"/>
        <n v="12375"/>
        <n v="10085"/>
        <n v="9930"/>
        <n v="7851"/>
        <n v="10613"/>
        <n v="20067"/>
        <n v="18060"/>
        <n v="8330"/>
        <n v="10694"/>
        <n v="12015"/>
        <n v="18827"/>
        <n v="11037"/>
        <n v="12427"/>
        <n v="11009"/>
        <n v="12533"/>
        <n v="12857"/>
        <n v="12961"/>
        <n v="12727"/>
        <n v="6805"/>
        <n v="11256"/>
        <n v="13236"/>
        <n v="12850"/>
        <n v="9837"/>
        <n v="9787"/>
        <n v="11140"/>
        <n v="9172"/>
        <n v="19769"/>
        <n v="11207"/>
        <n v="11419"/>
        <n v="6393"/>
        <n v="12692"/>
        <n v="20500"/>
        <n v="13372"/>
        <n v="8135"/>
        <n v="20669"/>
        <n v="20159"/>
        <n v="13175"/>
        <n v="18258"/>
        <n v="11728"/>
        <n v="16674"/>
        <n v="18193"/>
        <n v="6064"/>
        <n v="15300"/>
        <n v="12574"/>
        <n v="15168"/>
        <n v="15050"/>
        <n v="7924"/>
        <n v="12139"/>
        <n v="15118"/>
        <n v="22359"/>
        <n v="15337"/>
        <n v="22988"/>
        <n v="9841"/>
        <n v="6582"/>
        <n v="22026"/>
        <n v="9893"/>
        <n v="7626"/>
        <n v="7045"/>
        <n v="8539"/>
        <n v="19377"/>
        <n v="14461"/>
        <n v="18785"/>
        <n v="19948"/>
        <n v="14370"/>
        <n v="15126"/>
        <n v="20226"/>
        <n v="8382"/>
        <n v="10771"/>
        <n v="16208"/>
        <n v="8567"/>
        <n v="8712"/>
        <n v="9388"/>
        <n v="9143"/>
        <n v="21129"/>
        <n v="11045"/>
        <n v="12986"/>
        <n v="23629"/>
        <n v="21420"/>
        <n v="8869"/>
        <n v="18213"/>
        <n v="10252"/>
        <n v="11200"/>
        <n v="23186"/>
        <n v="13422"/>
        <n v="17298"/>
        <n v="12087"/>
        <n v="12405"/>
        <n v="21727"/>
        <n v="10830"/>
        <n v="8596"/>
        <n v="22770"/>
        <n v="12200"/>
        <n v="12386"/>
        <n v="13070"/>
        <n v="12332"/>
        <n v="13630"/>
        <n v="13318"/>
        <n v="15148"/>
        <n v="14269"/>
        <n v="15764"/>
        <n v="27745"/>
        <n v="12363"/>
        <n v="13368"/>
        <n v="29326"/>
        <n v="12231"/>
        <n v="19542"/>
        <m/>
      </sharedItems>
    </cacheField>
    <cacheField name="total_distance" numFmtId="0">
      <sharedItems containsString="0" containsBlank="1" containsNumber="1" minValue="0" maxValue="28.030000686645501"/>
    </cacheField>
    <cacheField name="tracker_distance" numFmtId="0">
      <sharedItems containsString="0" containsBlank="1" containsNumber="1" minValue="0" maxValue="28.030000686645501"/>
    </cacheField>
    <cacheField name="logged_activities_distance" numFmtId="0">
      <sharedItems containsString="0" containsBlank="1" containsNumber="1" minValue="0" maxValue="4.9421420097351101"/>
    </cacheField>
    <cacheField name="very_active_distance" numFmtId="0">
      <sharedItems containsString="0" containsBlank="1" containsNumber="1" minValue="0" maxValue="21.920000076293899"/>
    </cacheField>
    <cacheField name="moderately_active_distance" numFmtId="0">
      <sharedItems containsString="0" containsBlank="1" containsNumber="1" minValue="0" maxValue="6.4800000190734899"/>
    </cacheField>
    <cacheField name="light_active_distance" numFmtId="0">
      <sharedItems containsString="0" containsBlank="1" containsNumber="1" minValue="0" maxValue="10.710000038146999"/>
    </cacheField>
    <cacheField name="sedentary_active_distance" numFmtId="0">
      <sharedItems containsString="0" containsBlank="1" containsNumber="1" minValue="0" maxValue="0.109999999403954"/>
    </cacheField>
    <cacheField name="very_active_minutes" numFmtId="0">
      <sharedItems containsString="0" containsBlank="1" containsNumber="1" containsInteger="1" minValue="0" maxValue="210"/>
    </cacheField>
    <cacheField name="fairly_active_minutes" numFmtId="0">
      <sharedItems containsString="0" containsBlank="1" containsNumber="1" containsInteger="1" minValue="0" maxValue="143"/>
    </cacheField>
    <cacheField name="lightly_active_minutes" numFmtId="0">
      <sharedItems containsString="0" containsBlank="1" containsNumber="1" containsInteger="1" minValue="0" maxValue="518"/>
    </cacheField>
    <cacheField name="sedentary_minutes" numFmtId="0">
      <sharedItems containsString="0" containsBlank="1" containsNumber="1" containsInteger="1" minValue="0" maxValue="1440"/>
    </cacheField>
    <cacheField name="calories" numFmtId="0">
      <sharedItems containsString="0" containsBlank="1" containsNumber="1" containsInteger="1" minValue="0" maxValue="4900" count="735">
        <n v="0"/>
        <n v="52"/>
        <n v="57"/>
        <n v="120"/>
        <n v="257"/>
        <n v="403"/>
        <n v="665"/>
        <n v="741"/>
        <n v="928"/>
        <n v="1002"/>
        <n v="1032"/>
        <n v="1120"/>
        <n v="1125"/>
        <n v="1141"/>
        <n v="1199"/>
        <n v="1212"/>
        <n v="1214"/>
        <n v="1237"/>
        <n v="1240"/>
        <n v="1248"/>
        <n v="1276"/>
        <n v="1328"/>
        <n v="1334"/>
        <n v="1341"/>
        <n v="1344"/>
        <n v="1347"/>
        <n v="1348"/>
        <n v="1349"/>
        <n v="1351"/>
        <n v="1356"/>
        <n v="1359"/>
        <n v="1364"/>
        <n v="1366"/>
        <n v="1368"/>
        <n v="1370"/>
        <n v="1373"/>
        <n v="1377"/>
        <n v="1383"/>
        <n v="1393"/>
        <n v="1397"/>
        <n v="1399"/>
        <n v="1401"/>
        <n v="1402"/>
        <n v="1403"/>
        <n v="1404"/>
        <n v="1407"/>
        <n v="1410"/>
        <n v="1411"/>
        <n v="1419"/>
        <n v="1426"/>
        <n v="1427"/>
        <n v="1431"/>
        <n v="1432"/>
        <n v="1433"/>
        <n v="1435"/>
        <n v="1444"/>
        <n v="1446"/>
        <n v="1447"/>
        <n v="1450"/>
        <n v="1452"/>
        <n v="1459"/>
        <n v="1463"/>
        <n v="1464"/>
        <n v="1466"/>
        <n v="1467"/>
        <n v="1468"/>
        <n v="1470"/>
        <n v="1473"/>
        <n v="1474"/>
        <n v="1481"/>
        <n v="1491"/>
        <n v="1492"/>
        <n v="1494"/>
        <n v="1495"/>
        <n v="1496"/>
        <n v="1497"/>
        <n v="1501"/>
        <n v="1505"/>
        <n v="1506"/>
        <n v="1507"/>
        <n v="1521"/>
        <n v="1527"/>
        <n v="1529"/>
        <n v="1541"/>
        <n v="1545"/>
        <n v="1549"/>
        <n v="1551"/>
        <n v="1554"/>
        <n v="1555"/>
        <n v="1557"/>
        <n v="1562"/>
        <n v="1570"/>
        <n v="1572"/>
        <n v="1574"/>
        <n v="1576"/>
        <n v="1580"/>
        <n v="1584"/>
        <n v="1589"/>
        <n v="1590"/>
        <n v="1593"/>
        <n v="1595"/>
        <n v="1604"/>
        <n v="1610"/>
        <n v="1613"/>
        <n v="1617"/>
        <n v="1618"/>
        <n v="1623"/>
        <n v="1625"/>
        <n v="1628"/>
        <n v="1629"/>
        <n v="1630"/>
        <n v="1632"/>
        <n v="1633"/>
        <n v="1635"/>
        <n v="1638"/>
        <n v="1645"/>
        <n v="1649"/>
        <n v="1650"/>
        <n v="1651"/>
        <n v="1654"/>
        <n v="1655"/>
        <n v="1657"/>
        <n v="1658"/>
        <n v="1659"/>
        <n v="1665"/>
        <n v="1667"/>
        <n v="1669"/>
        <n v="1670"/>
        <n v="1683"/>
        <n v="1688"/>
        <n v="1690"/>
        <n v="1692"/>
        <n v="1693"/>
        <n v="1696"/>
        <n v="1698"/>
        <n v="1705"/>
        <n v="1710"/>
        <n v="1718"/>
        <n v="1720"/>
        <n v="1721"/>
        <n v="1722"/>
        <n v="1724"/>
        <n v="1725"/>
        <n v="1728"/>
        <n v="1736"/>
        <n v="1739"/>
        <n v="1740"/>
        <n v="1742"/>
        <n v="1745"/>
        <n v="1747"/>
        <n v="1756"/>
        <n v="1760"/>
        <n v="1762"/>
        <n v="1763"/>
        <n v="1775"/>
        <n v="1776"/>
        <n v="1779"/>
        <n v="1780"/>
        <n v="1783"/>
        <n v="1786"/>
        <n v="1788"/>
        <n v="1792"/>
        <n v="1793"/>
        <n v="1797"/>
        <n v="1799"/>
        <n v="1801"/>
        <n v="1804"/>
        <n v="1811"/>
        <n v="1813"/>
        <n v="1814"/>
        <n v="1819"/>
        <n v="1820"/>
        <n v="1821"/>
        <n v="1826"/>
        <n v="1827"/>
        <n v="1829"/>
        <n v="1830"/>
        <n v="1831"/>
        <n v="1835"/>
        <n v="1837"/>
        <n v="1838"/>
        <n v="1841"/>
        <n v="1842"/>
        <n v="1843"/>
        <n v="1848"/>
        <n v="1849"/>
        <n v="1850"/>
        <n v="1851"/>
        <n v="1852"/>
        <n v="1853"/>
        <n v="1854"/>
        <n v="1855"/>
        <n v="1856"/>
        <n v="1859"/>
        <n v="1860"/>
        <n v="1861"/>
        <n v="1863"/>
        <n v="1867"/>
        <n v="1869"/>
        <n v="1876"/>
        <n v="1878"/>
        <n v="1879"/>
        <n v="1880"/>
        <n v="1882"/>
        <n v="1884"/>
        <n v="1886"/>
        <n v="1889"/>
        <n v="1890"/>
        <n v="1893"/>
        <n v="1896"/>
        <n v="1897"/>
        <n v="1898"/>
        <n v="1899"/>
        <n v="1902"/>
        <n v="1903"/>
        <n v="1905"/>
        <n v="1906"/>
        <n v="1907"/>
        <n v="1908"/>
        <n v="1909"/>
        <n v="1910"/>
        <n v="1916"/>
        <n v="1918"/>
        <n v="1921"/>
        <n v="1922"/>
        <n v="1926"/>
        <n v="1928"/>
        <n v="1931"/>
        <n v="1933"/>
        <n v="1934"/>
        <n v="1935"/>
        <n v="1944"/>
        <n v="1945"/>
        <n v="1946"/>
        <n v="1947"/>
        <n v="1949"/>
        <n v="1953"/>
        <n v="1954"/>
        <n v="1956"/>
        <n v="1959"/>
        <n v="1962"/>
        <n v="1963"/>
        <n v="1964"/>
        <n v="1965"/>
        <n v="1966"/>
        <n v="1970"/>
        <n v="1971"/>
        <n v="1972"/>
        <n v="1973"/>
        <n v="1974"/>
        <n v="1976"/>
        <n v="1980"/>
        <n v="1981"/>
        <n v="1982"/>
        <n v="1985"/>
        <n v="1988"/>
        <n v="1990"/>
        <n v="1992"/>
        <n v="1993"/>
        <n v="1994"/>
        <n v="1995"/>
        <n v="1996"/>
        <n v="1997"/>
        <n v="1999"/>
        <n v="2002"/>
        <n v="2003"/>
        <n v="2004"/>
        <n v="2008"/>
        <n v="2009"/>
        <n v="2010"/>
        <n v="2011"/>
        <n v="2012"/>
        <n v="2013"/>
        <n v="2014"/>
        <n v="2015"/>
        <n v="2017"/>
        <n v="2018"/>
        <n v="2021"/>
        <n v="2026"/>
        <n v="2027"/>
        <n v="2030"/>
        <n v="2033"/>
        <n v="2034"/>
        <n v="2035"/>
        <n v="2038"/>
        <n v="2039"/>
        <n v="2044"/>
        <n v="2046"/>
        <n v="2048"/>
        <n v="2049"/>
        <n v="2051"/>
        <n v="2053"/>
        <n v="2057"/>
        <n v="2060"/>
        <n v="2062"/>
        <n v="2063"/>
        <n v="2064"/>
        <n v="2065"/>
        <n v="2066"/>
        <n v="2067"/>
        <n v="2069"/>
        <n v="2070"/>
        <n v="2072"/>
        <n v="2076"/>
        <n v="2085"/>
        <n v="2086"/>
        <n v="2092"/>
        <n v="2093"/>
        <n v="2094"/>
        <n v="2095"/>
        <n v="2096"/>
        <n v="2098"/>
        <n v="2100"/>
        <n v="2105"/>
        <n v="2111"/>
        <n v="2112"/>
        <n v="2113"/>
        <n v="2115"/>
        <n v="2116"/>
        <n v="2117"/>
        <n v="2120"/>
        <n v="2121"/>
        <n v="2123"/>
        <n v="2124"/>
        <n v="2127"/>
        <n v="2130"/>
        <n v="2131"/>
        <n v="2132"/>
        <n v="2133"/>
        <n v="2135"/>
        <n v="2140"/>
        <n v="2148"/>
        <n v="2149"/>
        <n v="2150"/>
        <n v="2151"/>
        <n v="2156"/>
        <n v="2158"/>
        <n v="2159"/>
        <n v="2162"/>
        <n v="2169"/>
        <n v="2173"/>
        <n v="2174"/>
        <n v="2175"/>
        <n v="2177"/>
        <n v="2179"/>
        <n v="2180"/>
        <n v="2181"/>
        <n v="2182"/>
        <n v="2185"/>
        <n v="2187"/>
        <n v="2188"/>
        <n v="2189"/>
        <n v="2194"/>
        <n v="2195"/>
        <n v="2196"/>
        <n v="2198"/>
        <n v="2200"/>
        <n v="2203"/>
        <n v="2207"/>
        <n v="2211"/>
        <n v="2218"/>
        <n v="2220"/>
        <n v="2221"/>
        <n v="2222"/>
        <n v="2223"/>
        <n v="2225"/>
        <n v="2229"/>
        <n v="2232"/>
        <n v="2235"/>
        <n v="2236"/>
        <n v="2241"/>
        <n v="2246"/>
        <n v="2247"/>
        <n v="2248"/>
        <n v="2250"/>
        <n v="2254"/>
        <n v="2260"/>
        <n v="2262"/>
        <n v="2266"/>
        <n v="2270"/>
        <n v="2272"/>
        <n v="2275"/>
        <n v="2280"/>
        <n v="2281"/>
        <n v="2282"/>
        <n v="2284"/>
        <n v="2286"/>
        <n v="2291"/>
        <n v="2296"/>
        <n v="2297"/>
        <n v="2302"/>
        <n v="2305"/>
        <n v="2306"/>
        <n v="2312"/>
        <n v="2314"/>
        <n v="2319"/>
        <n v="2324"/>
        <n v="2335"/>
        <n v="2336"/>
        <n v="2338"/>
        <n v="2344"/>
        <n v="2345"/>
        <n v="2346"/>
        <n v="2351"/>
        <n v="2361"/>
        <n v="2363"/>
        <n v="2367"/>
        <n v="2380"/>
        <n v="2383"/>
        <n v="2386"/>
        <n v="2390"/>
        <n v="2395"/>
        <n v="2400"/>
        <n v="2408"/>
        <n v="2409"/>
        <n v="2411"/>
        <n v="2413"/>
        <n v="2419"/>
        <n v="2421"/>
        <n v="2423"/>
        <n v="2430"/>
        <n v="2432"/>
        <n v="2439"/>
        <n v="2443"/>
        <n v="2450"/>
        <n v="2463"/>
        <n v="2469"/>
        <n v="2470"/>
        <n v="2473"/>
        <n v="2484"/>
        <n v="2486"/>
        <n v="2489"/>
        <n v="2496"/>
        <n v="2497"/>
        <n v="2498"/>
        <n v="2499"/>
        <n v="2505"/>
        <n v="2507"/>
        <n v="2516"/>
        <n v="2525"/>
        <n v="2529"/>
        <n v="2530"/>
        <n v="2534"/>
        <n v="2536"/>
        <n v="2544"/>
        <n v="2547"/>
        <n v="2551"/>
        <n v="2553"/>
        <n v="2560"/>
        <n v="2571"/>
        <n v="2572"/>
        <n v="2576"/>
        <n v="2580"/>
        <n v="2584"/>
        <n v="2596"/>
        <n v="2601"/>
        <n v="2606"/>
        <n v="2609"/>
        <n v="2611"/>
        <n v="2613"/>
        <n v="2616"/>
        <n v="2629"/>
        <n v="2636"/>
        <n v="2638"/>
        <n v="2642"/>
        <n v="2643"/>
        <n v="2645"/>
        <n v="2647"/>
        <n v="2649"/>
        <n v="2650"/>
        <n v="2651"/>
        <n v="2654"/>
        <n v="2655"/>
        <n v="2660"/>
        <n v="2664"/>
        <n v="2666"/>
        <n v="2667"/>
        <n v="2668"/>
        <n v="2670"/>
        <n v="2671"/>
        <n v="2677"/>
        <n v="2682"/>
        <n v="2683"/>
        <n v="2685"/>
        <n v="2687"/>
        <n v="2690"/>
        <n v="2693"/>
        <n v="2696"/>
        <n v="2698"/>
        <n v="2701"/>
        <n v="2703"/>
        <n v="2704"/>
        <n v="2709"/>
        <n v="2712"/>
        <n v="2718"/>
        <n v="2725"/>
        <n v="2729"/>
        <n v="2730"/>
        <n v="2732"/>
        <n v="2734"/>
        <n v="2735"/>
        <n v="2739"/>
        <n v="2741"/>
        <n v="2742"/>
        <n v="2743"/>
        <n v="2748"/>
        <n v="2750"/>
        <n v="2752"/>
        <n v="2754"/>
        <n v="2755"/>
        <n v="2757"/>
        <n v="2761"/>
        <n v="2763"/>
        <n v="2765"/>
        <n v="2766"/>
        <n v="2770"/>
        <n v="2771"/>
        <n v="2772"/>
        <n v="2780"/>
        <n v="2781"/>
        <n v="2782"/>
        <n v="2783"/>
        <n v="2784"/>
        <n v="2785"/>
        <n v="2786"/>
        <n v="2793"/>
        <n v="2794"/>
        <n v="2796"/>
        <n v="2797"/>
        <n v="2798"/>
        <n v="2799"/>
        <n v="2800"/>
        <n v="2804"/>
        <n v="2806"/>
        <n v="2809"/>
        <n v="2810"/>
        <n v="2812"/>
        <n v="2817"/>
        <n v="2828"/>
        <n v="2830"/>
        <n v="2832"/>
        <n v="2836"/>
        <n v="2839"/>
        <n v="2843"/>
        <n v="2846"/>
        <n v="2847"/>
        <n v="2852"/>
        <n v="2859"/>
        <n v="2860"/>
        <n v="2862"/>
        <n v="2865"/>
        <n v="2867"/>
        <n v="2883"/>
        <n v="2884"/>
        <n v="2885"/>
        <n v="2889"/>
        <n v="2894"/>
        <n v="2896"/>
        <n v="2897"/>
        <n v="2898"/>
        <n v="2899"/>
        <n v="2902"/>
        <n v="2905"/>
        <n v="2908"/>
        <n v="2918"/>
        <n v="2924"/>
        <n v="2926"/>
        <n v="2929"/>
        <n v="2933"/>
        <n v="2937"/>
        <n v="2939"/>
        <n v="2940"/>
        <n v="2944"/>
        <n v="2947"/>
        <n v="2950"/>
        <n v="2951"/>
        <n v="2952"/>
        <n v="2954"/>
        <n v="2955"/>
        <n v="2960"/>
        <n v="2969"/>
        <n v="2975"/>
        <n v="2976"/>
        <n v="2979"/>
        <n v="2982"/>
        <n v="2984"/>
        <n v="2987"/>
        <n v="2990"/>
        <n v="2995"/>
        <n v="2997"/>
        <n v="2998"/>
        <n v="3004"/>
        <n v="3006"/>
        <n v="3008"/>
        <n v="3011"/>
        <n v="3012"/>
        <n v="3013"/>
        <n v="3014"/>
        <n v="3015"/>
        <n v="3023"/>
        <n v="3033"/>
        <n v="3043"/>
        <n v="3051"/>
        <n v="3052"/>
        <n v="3055"/>
        <n v="3060"/>
        <n v="3061"/>
        <n v="3062"/>
        <n v="3064"/>
        <n v="3066"/>
        <n v="3069"/>
        <n v="3073"/>
        <n v="3074"/>
        <n v="3083"/>
        <n v="3088"/>
        <n v="3089"/>
        <n v="3092"/>
        <n v="3093"/>
        <n v="3096"/>
        <n v="3101"/>
        <n v="3103"/>
        <n v="3108"/>
        <n v="3110"/>
        <n v="3114"/>
        <n v="3115"/>
        <n v="3123"/>
        <n v="3133"/>
        <n v="3140"/>
        <n v="3142"/>
        <n v="3145"/>
        <n v="3147"/>
        <n v="3152"/>
        <n v="3158"/>
        <n v="3162"/>
        <n v="3164"/>
        <n v="3165"/>
        <n v="3171"/>
        <n v="3172"/>
        <n v="3180"/>
        <n v="3186"/>
        <n v="3192"/>
        <n v="3199"/>
        <n v="3212"/>
        <n v="3213"/>
        <n v="3226"/>
        <n v="3266"/>
        <n v="3274"/>
        <n v="3283"/>
        <n v="3287"/>
        <n v="3288"/>
        <n v="3290"/>
        <n v="3294"/>
        <n v="3300"/>
        <n v="3306"/>
        <n v="3324"/>
        <n v="3327"/>
        <n v="3328"/>
        <n v="3329"/>
        <n v="3331"/>
        <n v="3363"/>
        <n v="3369"/>
        <n v="3374"/>
        <n v="3394"/>
        <n v="3403"/>
        <n v="3404"/>
        <n v="3405"/>
        <n v="3410"/>
        <n v="3411"/>
        <n v="3425"/>
        <n v="3427"/>
        <n v="3429"/>
        <n v="3455"/>
        <n v="3477"/>
        <n v="3491"/>
        <n v="3493"/>
        <n v="3501"/>
        <n v="3513"/>
        <n v="3538"/>
        <n v="3544"/>
        <n v="3545"/>
        <n v="3554"/>
        <n v="3566"/>
        <n v="3577"/>
        <n v="3580"/>
        <n v="3586"/>
        <n v="3589"/>
        <n v="3625"/>
        <n v="3635"/>
        <n v="3644"/>
        <n v="3654"/>
        <n v="3659"/>
        <n v="3666"/>
        <n v="3676"/>
        <n v="3679"/>
        <n v="3683"/>
        <n v="3691"/>
        <n v="3710"/>
        <n v="3721"/>
        <n v="3727"/>
        <n v="3763"/>
        <n v="3783"/>
        <n v="3784"/>
        <n v="3787"/>
        <n v="3788"/>
        <n v="3793"/>
        <n v="3795"/>
        <n v="3802"/>
        <n v="3808"/>
        <n v="3832"/>
        <n v="3841"/>
        <n v="3846"/>
        <n v="3879"/>
        <n v="3891"/>
        <n v="3921"/>
        <n v="3934"/>
        <n v="4005"/>
        <n v="4015"/>
        <n v="4018"/>
        <n v="4022"/>
        <n v="4044"/>
        <n v="4079"/>
        <n v="4092"/>
        <n v="4142"/>
        <n v="4157"/>
        <n v="4163"/>
        <n v="4236"/>
        <n v="4274"/>
        <n v="4392"/>
        <n v="4398"/>
        <n v="4501"/>
        <n v="4546"/>
        <n v="4547"/>
        <n v="4552"/>
        <n v="4900"/>
        <m/>
      </sharedItems>
    </cacheField>
    <cacheField name="day_of_week" numFmtId="0">
      <sharedItems containsBlank="1" count="8">
        <s v="Monday"/>
        <s v="Wednesday"/>
        <s v="Saturday"/>
        <s v="Tuesday"/>
        <s v="Friday"/>
        <s v="Sunday"/>
        <s v="Thursday"/>
        <m/>
      </sharedItems>
    </cacheField>
    <cacheField name="total_minutes" numFmtId="0">
      <sharedItems containsString="0" containsBlank="1" containsNumber="1" containsInteger="1" minValue="0" maxValue="1440"/>
    </cacheField>
    <cacheField name="weekday_weekend" numFmtId="0">
      <sharedItems containsBlank="1"/>
    </cacheField>
    <cacheField name="activity_levels" numFmtId="0">
      <sharedItems containsBlank="1" count="5">
        <s v="Sedentary"/>
        <s v="Fairly Active"/>
        <s v="Lightly Active"/>
        <s v="Very_Active"/>
        <m/>
      </sharedItems>
    </cacheField>
  </cacheFields>
  <extLst>
    <ext xmlns:x14="http://schemas.microsoft.com/office/spreadsheetml/2009/9/main" uri="{725AE2AE-9491-48be-B2B4-4EB974FC3084}">
      <x14:pivotCacheDefinition pivotCacheId="9102177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16.332745949076" createdVersion="8" refreshedVersion="8" minRefreshableVersion="3" recordCount="411" xr:uid="{EA10A1C4-1316-483C-8281-00388D1D33FE}">
  <cacheSource type="worksheet">
    <worksheetSource ref="A1:G1048576" sheet="sleepDay_4 12 16-5 12 16"/>
  </cacheSource>
  <cacheFields count="7">
    <cacheField name="Id" numFmtId="0">
      <sharedItems containsString="0" containsBlank="1" containsNumber="1" containsInteger="1" minValue="1503960366" maxValue="8792009665" count="25">
        <n v="1503960366"/>
        <n v="1644430081"/>
        <n v="1844505072"/>
        <n v="1927972279"/>
        <n v="2026352035"/>
        <n v="2320127002"/>
        <n v="2347167796"/>
        <n v="3977333714"/>
        <n v="4020332650"/>
        <n v="4319703577"/>
        <n v="4388161847"/>
        <n v="4445114986"/>
        <n v="4558609924"/>
        <n v="4702921684"/>
        <n v="5553957443"/>
        <n v="5577150313"/>
        <n v="6117666160"/>
        <n v="6775888955"/>
        <n v="6962181067"/>
        <n v="7007744171"/>
        <n v="7086361926"/>
        <n v="8053475328"/>
        <n v="8378563200"/>
        <n v="8792009665"/>
        <m/>
      </sharedItems>
    </cacheField>
    <cacheField name="sleep_date" numFmtId="0">
      <sharedItems containsNonDate="0" containsDate="1" containsString="0" containsBlank="1" minDate="2016-04-12T00:00:00" maxDate="2016-05-13T00:00:00"/>
    </cacheField>
    <cacheField name="sleep_records" numFmtId="0">
      <sharedItems containsString="0" containsBlank="1" containsNumber="1" containsInteger="1" minValue="1" maxValue="3"/>
    </cacheField>
    <cacheField name="minute_asleep" numFmtId="0">
      <sharedItems containsString="0" containsBlank="1" containsNumber="1" containsInteger="1" minValue="58" maxValue="796"/>
    </cacheField>
    <cacheField name="time_in_bed" numFmtId="0">
      <sharedItems containsString="0" containsBlank="1" containsNumber="1" containsInteger="1" minValue="61" maxValue="961"/>
    </cacheField>
    <cacheField name="sleep_hours" numFmtId="0">
      <sharedItems containsString="0" containsBlank="1" containsNumber="1" minValue="0.96666666666666667" maxValue="13.266666666666667" count="257">
        <n v="5.45"/>
        <n v="6.4"/>
        <n v="6.8666666666666663"/>
        <n v="5.666666666666667"/>
        <n v="11.666666666666666"/>
        <n v="5.0666666666666664"/>
        <n v="6"/>
        <n v="5.416666666666667"/>
        <n v="6.0166666666666666"/>
        <n v="7.166666666666667"/>
        <n v="4.6166666666666663"/>
        <n v="4.083333333333333"/>
        <n v="6.1"/>
        <n v="5.6833333333333336"/>
        <n v="6.7333333333333334"/>
        <n v="6.15"/>
        <n v="4.55"/>
        <n v="4.1166666666666663"/>
        <n v="5.5666666666666664"/>
        <n v="5.5166666666666666"/>
        <n v="9.9"/>
        <n v="5.6333333333333337"/>
        <n v="6.3833333333333337"/>
        <n v="4.75"/>
        <n v="1.9833333333333334"/>
        <n v="2.0666666666666669"/>
        <n v="13.266666666666667"/>
        <n v="2.2833333333333332"/>
        <n v="10.733333333333333"/>
        <n v="12.033333333333333"/>
        <n v="9.8333333333333339"/>
        <n v="12.5"/>
        <n v="6.6333333333333337"/>
        <n v="7.916666666666667"/>
        <n v="4.9333333333333336"/>
        <n v="2.7666666666666666"/>
        <n v="8.3833333333333329"/>
        <n v="8.85"/>
        <n v="9.0833333333333339"/>
        <n v="8.7166666666666668"/>
        <n v="8.7333333333333325"/>
        <n v="7.2833333333333332"/>
        <n v="8.3000000000000007"/>
        <n v="7.6833333333333336"/>
        <n v="7.95"/>
        <n v="8.6666666666666661"/>
        <n v="8.6999999999999993"/>
        <n v="9.25"/>
        <n v="8.4333333333333336"/>
        <n v="8.4666666666666668"/>
        <n v="8.5500000000000007"/>
        <n v="8.1666666666666661"/>
        <n v="9.5500000000000007"/>
        <n v="8.7833333333333332"/>
        <n v="8.5166666666666675"/>
        <n v="8.9666666666666668"/>
        <n v="7.8"/>
        <n v="9.0166666666666675"/>
        <n v="5.95"/>
        <n v="7.6"/>
        <n v="1.0166666666666666"/>
        <n v="7.7833333333333332"/>
        <n v="7.416666666666667"/>
        <n v="7.5333333333333332"/>
        <n v="9.2666666666666675"/>
        <n v="8.3333333333333339"/>
        <n v="7.75"/>
        <n v="7.666666666666667"/>
        <n v="6.75"/>
        <n v="6.2333333333333334"/>
        <n v="7.3666666666666663"/>
        <n v="7.2166666666666668"/>
        <n v="7.2666666666666666"/>
        <n v="7.4666666666666668"/>
        <n v="6.8"/>
        <n v="6.85"/>
        <n v="4.5666666666666664"/>
        <n v="4.916666666666667"/>
        <n v="4.8499999999999996"/>
        <n v="7.0666666666666664"/>
        <n v="4.7166666666666668"/>
        <n v="6.35"/>
        <n v="3.65"/>
        <n v="2.5333333333333332"/>
        <n v="5.5333333333333332"/>
        <n v="5.916666666666667"/>
        <n v="3.9166666666666665"/>
        <n v="5.166666666666667"/>
        <n v="4.3666666666666663"/>
        <n v="4.166666666666667"/>
        <n v="5.8166666666666664"/>
        <n v="4.3499999999999996"/>
        <n v="5.55"/>
        <n v="3.95"/>
        <n v="3.8333333333333335"/>
        <n v="4.8666666666666663"/>
        <n v="3.55"/>
        <n v="5.3"/>
        <n v="5.3833333333333337"/>
        <n v="4.3166666666666664"/>
        <n v="5.2"/>
        <n v="8.35"/>
        <n v="1.2833333333333334"/>
        <n v="5.3666666666666663"/>
        <n v="7.9666666666666668"/>
        <n v="3.7666666666666666"/>
        <n v="6.416666666666667"/>
        <n v="6.0666666666666664"/>
        <n v="8.9166666666666661"/>
        <n v="8.5833333333333339"/>
        <n v="0.98333333333333328"/>
        <n v="8.8833333333333329"/>
        <n v="11.533333333333333"/>
        <n v="8.1333333333333329"/>
        <n v="8.4166666666666661"/>
        <n v="4.7666666666666666"/>
        <n v="8.2833333333333332"/>
        <n v="8.0666666666666664"/>
        <n v="7.9"/>
        <n v="7.5"/>
        <n v="8.4499999999999993"/>
        <n v="10.033333333333333"/>
        <n v="8.1166666666666671"/>
        <n v="8.8166666666666664"/>
        <n v="5.0333333333333332"/>
        <n v="8.3166666666666664"/>
        <n v="7.1"/>
        <n v="10.316666666666666"/>
        <n v="1.65"/>
        <n v="5.4833333333333334"/>
        <n v="7.0166666666666666"/>
        <n v="1.3666666666666667"/>
        <n v="9.1999999999999993"/>
        <n v="5.3166666666666664"/>
        <n v="7.3166666666666664"/>
        <n v="7.1333333333333337"/>
        <n v="6.8166666666666664"/>
        <n v="9.1166666666666671"/>
        <n v="6.1333333333333337"/>
        <n v="6.5"/>
        <n v="7.85"/>
        <n v="7.8666666666666663"/>
        <n v="1.0333333333333334"/>
        <n v="5.9"/>
        <n v="7.8166666666666664"/>
        <n v="7.15"/>
        <n v="6.166666666666667"/>
        <n v="7.35"/>
        <n v="5.6166666666666663"/>
        <n v="7.7"/>
        <n v="1.6333333333333333"/>
        <n v="6.4666666666666668"/>
        <n v="5.4666666666666668"/>
        <n v="5.8833333333333337"/>
        <n v="6.9833333333333334"/>
        <n v="1.7666666666666666"/>
        <n v="8.3666666666666671"/>
        <n v="6.95"/>
        <n v="6.6833333333333336"/>
        <n v="7.6166666666666663"/>
        <n v="8.0500000000000007"/>
        <n v="2.1"/>
        <n v="1.7166666666666666"/>
        <n v="2.85"/>
        <n v="1.9166666666666667"/>
        <n v="2.0499999999999998"/>
        <n v="7.083333333333333"/>
        <n v="6.666666666666667"/>
        <n v="4.2166666666666668"/>
        <n v="6.3666666666666663"/>
        <n v="9.85"/>
        <n v="4.8833333333333337"/>
        <n v="7.5666666666666664"/>
        <n v="8"/>
        <n v="7.2"/>
        <n v="7.9833333333333334"/>
        <n v="6.9"/>
        <n v="7.25"/>
        <n v="6.9333333333333336"/>
        <n v="7.583333333333333"/>
        <n v="6.2833333333333332"/>
        <n v="10.85"/>
        <n v="5.833333333333333"/>
        <n v="10.966666666666667"/>
        <n v="6.65"/>
        <n v="10.516666666666667"/>
        <n v="9.2166666666666668"/>
        <n v="5.7833333333333332"/>
        <n v="12.916666666666666"/>
        <n v="10.366666666666667"/>
        <n v="6.333333333333333"/>
        <n v="7.45"/>
        <n v="9.4666666666666668"/>
        <n v="7.55"/>
        <n v="6.9666666666666668"/>
        <n v="7.7166666666666668"/>
        <n v="7.3"/>
        <n v="6.5333333333333332"/>
        <n v="6.7666666666666666"/>
        <n v="9.15"/>
        <n v="7.4833333333333334"/>
        <n v="9.0500000000000007"/>
        <n v="7.65"/>
        <n v="6.3166666666666664"/>
        <n v="8.75"/>
        <n v="10.050000000000001"/>
        <n v="1.2333333333333334"/>
        <n v="8.4"/>
        <n v="7.1833333333333336"/>
        <n v="5.6"/>
        <n v="8.2166666666666668"/>
        <n v="8.1999999999999993"/>
        <n v="9.0333333333333332"/>
        <n v="6.55"/>
        <n v="10"/>
        <n v="7.05"/>
        <n v="6.5166666666666666"/>
        <n v="10.5"/>
        <n v="7.1166666666666663"/>
        <n v="7.9333333333333336"/>
        <n v="7.5166666666666666"/>
        <n v="8.8000000000000007"/>
        <n v="7.333333333333333"/>
        <n v="7.0333333333333332"/>
        <n v="7.7666666666666666"/>
        <n v="6.5666666666666664"/>
        <n v="7.3833333333333337"/>
        <n v="4.9666666666666668"/>
        <n v="8.15"/>
        <n v="8.6"/>
        <n v="1.3166666666666667"/>
        <n v="0.96666666666666667"/>
        <n v="8.5666666666666664"/>
        <n v="11.35"/>
        <n v="7.4333333333333336"/>
        <n v="8.0833333333333339"/>
        <n v="7"/>
        <n v="8.8333333333333339"/>
        <n v="8.0166666666666675"/>
        <n v="7.4"/>
        <n v="8.1"/>
        <n v="10.183333333333334"/>
        <n v="6.45"/>
        <n v="6.6"/>
        <n v="9.4166666666666661"/>
        <n v="7.6333333333333337"/>
        <n v="9.1666666666666661"/>
        <n v="5.85"/>
        <n v="5.9833333333333334"/>
        <n v="5.7"/>
        <n v="8.2666666666666675"/>
        <n v="6.05"/>
        <n v="5.65"/>
        <n v="6.7"/>
        <n v="5.7166666666666668"/>
        <n v="6.916666666666667"/>
        <m/>
      </sharedItems>
    </cacheField>
    <cacheField name="day_of_week" numFmtId="0">
      <sharedItems containsBlank="1" count="8">
        <s v="Tuesday"/>
        <s v="Wednesday"/>
        <s v="Friday"/>
        <s v="Saturday"/>
        <s v="Sunday"/>
        <s v="Thursday"/>
        <s v="Monday"/>
        <m/>
      </sharedItems>
    </cacheField>
  </cacheFields>
  <extLst>
    <ext xmlns:x14="http://schemas.microsoft.com/office/spreadsheetml/2009/9/main" uri="{725AE2AE-9491-48be-B2B4-4EB974FC3084}">
      <x14:pivotCacheDefinition pivotCacheId="13932948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16.34755648148" createdVersion="8" refreshedVersion="8" minRefreshableVersion="3" recordCount="411" xr:uid="{ABF3F452-774E-4168-B79F-24607012F8F2}">
  <cacheSource type="worksheet">
    <worksheetSource ref="A1:H1048576" sheet="sleepDay_4 12 16-5 12 16"/>
  </cacheSource>
  <cacheFields count="8">
    <cacheField name="Id" numFmtId="0">
      <sharedItems containsString="0" containsBlank="1" containsNumber="1" containsInteger="1" minValue="1503960366" maxValue="8792009665"/>
    </cacheField>
    <cacheField name="sleep_date" numFmtId="0">
      <sharedItems containsNonDate="0" containsDate="1" containsString="0" containsBlank="1" minDate="2016-04-12T00:00:00" maxDate="2016-05-13T00:00:00" count="32">
        <d v="2016-04-12T00:00:00"/>
        <d v="2016-04-13T00:00:00"/>
        <d v="2016-04-15T00:00:00"/>
        <d v="2016-04-16T00:00:00"/>
        <d v="2016-04-17T00:00:00"/>
        <d v="2016-04-19T00:00:00"/>
        <d v="2016-04-20T00:00:00"/>
        <d v="2016-04-21T00:00:00"/>
        <d v="2016-04-23T00:00:00"/>
        <d v="2016-04-24T00:00:00"/>
        <d v="2016-04-25T00:00:00"/>
        <d v="2016-04-26T00:00:00"/>
        <d v="2016-04-28T00:00:00"/>
        <d v="2016-04-29T00:00:00"/>
        <d v="2016-04-30T00:00:00"/>
        <d v="2016-05-01T00:00:00"/>
        <d v="2016-05-02T00:00:00"/>
        <d v="2016-05-03T00:00:00"/>
        <d v="2016-05-05T00:00:00"/>
        <d v="2016-05-06T00:00:00"/>
        <d v="2016-05-07T00:00:00"/>
        <d v="2016-05-08T00:00:00"/>
        <d v="2016-05-09T00:00:00"/>
        <d v="2016-05-10T00:00:00"/>
        <d v="2016-05-11T00:00:00"/>
        <d v="2016-04-14T00:00:00"/>
        <d v="2016-04-22T00:00:00"/>
        <d v="2016-04-27T00:00:00"/>
        <d v="2016-05-04T00:00:00"/>
        <d v="2016-05-12T00:00:00"/>
        <d v="2016-04-18T00:00:00"/>
        <m/>
      </sharedItems>
    </cacheField>
    <cacheField name="sleep_records" numFmtId="0">
      <sharedItems containsString="0" containsBlank="1" containsNumber="1" containsInteger="1" minValue="1" maxValue="3"/>
    </cacheField>
    <cacheField name="minute_asleep" numFmtId="0">
      <sharedItems containsString="0" containsBlank="1" containsNumber="1" containsInteger="1" minValue="58" maxValue="796"/>
    </cacheField>
    <cacheField name="time_in_bed" numFmtId="0">
      <sharedItems containsString="0" containsBlank="1" containsNumber="1" containsInteger="1" minValue="61" maxValue="961"/>
    </cacheField>
    <cacheField name="sleep_hours" numFmtId="0">
      <sharedItems containsString="0" containsBlank="1" containsNumber="1" minValue="0.96666666666666667" maxValue="13.266666666666667"/>
    </cacheField>
    <cacheField name="day_of_week" numFmtId="0">
      <sharedItems containsBlank="1" count="8">
        <s v="Tuesday"/>
        <s v="Wednesday"/>
        <s v="Friday"/>
        <s v="Saturday"/>
        <s v="Sunday"/>
        <s v="Thursday"/>
        <s v="Monday"/>
        <m/>
      </sharedItems>
    </cacheField>
    <cacheField name="sleep_efficency" numFmtId="0">
      <sharedItems containsString="0" containsBlank="1" containsNumber="1" minValue="0.49836065573770494" maxValue="1"/>
    </cacheField>
  </cacheFields>
  <extLst>
    <ext xmlns:x14="http://schemas.microsoft.com/office/spreadsheetml/2009/9/main" uri="{725AE2AE-9491-48be-B2B4-4EB974FC3084}">
      <x14:pivotCacheDefinition pivotCacheId="1263187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x v="0"/>
    <n v="0"/>
    <n v="0"/>
    <n v="0"/>
    <n v="0"/>
    <n v="0"/>
    <n v="0"/>
    <n v="0"/>
    <n v="0"/>
    <n v="0"/>
    <n v="0"/>
    <n v="1440"/>
    <x v="0"/>
    <x v="0"/>
    <n v="1440"/>
    <s v="Weekday"/>
    <x v="0"/>
  </r>
  <r>
    <x v="1"/>
    <x v="1"/>
    <x v="0"/>
    <n v="0"/>
    <n v="0"/>
    <n v="0"/>
    <n v="0"/>
    <n v="0"/>
    <n v="0"/>
    <n v="0"/>
    <n v="0"/>
    <n v="0"/>
    <n v="0"/>
    <n v="1440"/>
    <x v="0"/>
    <x v="1"/>
    <n v="1440"/>
    <s v="Weekday"/>
    <x v="0"/>
  </r>
  <r>
    <x v="2"/>
    <x v="2"/>
    <x v="0"/>
    <n v="0"/>
    <n v="0"/>
    <n v="0"/>
    <n v="0"/>
    <n v="0"/>
    <n v="0"/>
    <n v="0"/>
    <n v="0"/>
    <n v="0"/>
    <n v="0"/>
    <n v="1440"/>
    <x v="0"/>
    <x v="2"/>
    <n v="1440"/>
    <s v="Weekend"/>
    <x v="0"/>
  </r>
  <r>
    <x v="3"/>
    <x v="0"/>
    <x v="0"/>
    <n v="0"/>
    <n v="0"/>
    <n v="0"/>
    <n v="0"/>
    <n v="0"/>
    <n v="0"/>
    <n v="0"/>
    <n v="0"/>
    <n v="0"/>
    <n v="0"/>
    <n v="1440"/>
    <x v="0"/>
    <x v="0"/>
    <n v="1440"/>
    <s v="Weekday"/>
    <x v="0"/>
  </r>
  <r>
    <x v="4"/>
    <x v="3"/>
    <x v="1"/>
    <n v="0.5"/>
    <n v="0.5"/>
    <n v="0"/>
    <n v="0.37000000476837203"/>
    <n v="0"/>
    <n v="0.129999995231628"/>
    <n v="0"/>
    <n v="4"/>
    <n v="0"/>
    <n v="9"/>
    <n v="13"/>
    <x v="1"/>
    <x v="2"/>
    <n v="26"/>
    <s v="Weekend"/>
    <x v="0"/>
  </r>
  <r>
    <x v="5"/>
    <x v="1"/>
    <x v="0"/>
    <n v="0"/>
    <n v="0"/>
    <n v="0"/>
    <n v="0"/>
    <n v="0"/>
    <n v="0"/>
    <n v="0"/>
    <n v="0"/>
    <n v="0"/>
    <n v="0"/>
    <n v="48"/>
    <x v="2"/>
    <x v="1"/>
    <n v="48"/>
    <s v="Weekday"/>
    <x v="0"/>
  </r>
  <r>
    <x v="6"/>
    <x v="4"/>
    <x v="0"/>
    <n v="0"/>
    <n v="0"/>
    <n v="0"/>
    <n v="0"/>
    <n v="0"/>
    <n v="0"/>
    <n v="0"/>
    <n v="0"/>
    <n v="0"/>
    <n v="0"/>
    <n v="111"/>
    <x v="3"/>
    <x v="3"/>
    <n v="111"/>
    <s v="Weekday"/>
    <x v="0"/>
  </r>
  <r>
    <x v="7"/>
    <x v="0"/>
    <x v="2"/>
    <n v="9.9999997764825804E-3"/>
    <n v="9.9999997764825804E-3"/>
    <n v="0"/>
    <n v="0"/>
    <n v="0"/>
    <n v="9.9999997764825804E-3"/>
    <n v="0"/>
    <n v="0"/>
    <n v="0"/>
    <n v="2"/>
    <n v="0"/>
    <x v="4"/>
    <x v="0"/>
    <n v="2"/>
    <s v="Weekday"/>
    <x v="0"/>
  </r>
  <r>
    <x v="8"/>
    <x v="5"/>
    <x v="3"/>
    <n v="2.9999999329447701E-2"/>
    <n v="2.9999999329447701E-2"/>
    <n v="0"/>
    <n v="0"/>
    <n v="0"/>
    <n v="2.9999999329447701E-2"/>
    <n v="0"/>
    <n v="0"/>
    <n v="0"/>
    <n v="4"/>
    <n v="2"/>
    <x v="5"/>
    <x v="4"/>
    <n v="6"/>
    <s v="Weekday"/>
    <x v="0"/>
  </r>
  <r>
    <x v="9"/>
    <x v="0"/>
    <x v="0"/>
    <n v="0"/>
    <n v="0"/>
    <n v="0"/>
    <n v="0"/>
    <n v="0"/>
    <n v="0"/>
    <n v="0"/>
    <n v="0"/>
    <n v="0"/>
    <n v="0"/>
    <n v="711"/>
    <x v="6"/>
    <x v="0"/>
    <n v="711"/>
    <s v="Weekday"/>
    <x v="0"/>
  </r>
  <r>
    <x v="10"/>
    <x v="0"/>
    <x v="4"/>
    <n v="2.03999996185303"/>
    <n v="2.03999996185303"/>
    <n v="0"/>
    <n v="0.57999998331069902"/>
    <n v="0.40000000596046398"/>
    <n v="1.0599999427795399"/>
    <n v="0"/>
    <n v="8"/>
    <n v="6"/>
    <n v="48"/>
    <n v="222"/>
    <x v="7"/>
    <x v="0"/>
    <n v="284"/>
    <s v="Weekday"/>
    <x v="0"/>
  </r>
  <r>
    <x v="11"/>
    <x v="0"/>
    <x v="5"/>
    <n v="2.3699998855590798"/>
    <n v="2.3699998855590798"/>
    <n v="0"/>
    <n v="0"/>
    <n v="0.25"/>
    <n v="2.1099998950958301"/>
    <n v="0"/>
    <n v="0"/>
    <n v="8"/>
    <n v="105"/>
    <n v="127"/>
    <x v="8"/>
    <x v="0"/>
    <n v="240"/>
    <s v="Weekday"/>
    <x v="0"/>
  </r>
  <r>
    <x v="12"/>
    <x v="0"/>
    <x v="6"/>
    <n v="1.9299999475479099"/>
    <n v="1.9299999475479099"/>
    <n v="0"/>
    <n v="0"/>
    <n v="0"/>
    <n v="1.91999995708466"/>
    <n v="9.9999997764825804E-3"/>
    <n v="0"/>
    <n v="0"/>
    <n v="107"/>
    <n v="890"/>
    <x v="9"/>
    <x v="0"/>
    <n v="997"/>
    <s v="Weekday"/>
    <x v="0"/>
  </r>
  <r>
    <x v="13"/>
    <x v="4"/>
    <x v="7"/>
    <n v="1.4099999666214"/>
    <n v="1.4099999666214"/>
    <n v="0"/>
    <n v="0.129999995231628"/>
    <n v="0.239999994635582"/>
    <n v="1.04999995231628"/>
    <n v="0"/>
    <n v="2"/>
    <n v="5"/>
    <n v="49"/>
    <n v="551"/>
    <x v="10"/>
    <x v="3"/>
    <n v="607"/>
    <s v="Weekday"/>
    <x v="0"/>
  </r>
  <r>
    <x v="14"/>
    <x v="0"/>
    <x v="8"/>
    <n v="0.41999998688697798"/>
    <n v="0.41999998688697798"/>
    <n v="0"/>
    <n v="0"/>
    <n v="0"/>
    <n v="0.40999999642372098"/>
    <n v="0"/>
    <n v="0"/>
    <n v="0"/>
    <n v="21"/>
    <n v="721"/>
    <x v="11"/>
    <x v="0"/>
    <n v="742"/>
    <s v="Weekday"/>
    <x v="0"/>
  </r>
  <r>
    <x v="15"/>
    <x v="0"/>
    <x v="9"/>
    <n v="1.78999996185303"/>
    <n v="1.78999996185303"/>
    <n v="0"/>
    <n v="0"/>
    <n v="0"/>
    <n v="1.78999996185303"/>
    <n v="0"/>
    <n v="0"/>
    <n v="0"/>
    <n v="128"/>
    <n v="830"/>
    <x v="12"/>
    <x v="0"/>
    <n v="958"/>
    <s v="Weekday"/>
    <x v="0"/>
  </r>
  <r>
    <x v="16"/>
    <x v="1"/>
    <x v="10"/>
    <n v="0.15999999642372101"/>
    <n v="0.15999999642372101"/>
    <n v="0"/>
    <n v="0"/>
    <n v="0"/>
    <n v="0.15999999642372101"/>
    <n v="0"/>
    <n v="0"/>
    <n v="0"/>
    <n v="17"/>
    <n v="1002"/>
    <x v="13"/>
    <x v="1"/>
    <n v="1019"/>
    <s v="Weekday"/>
    <x v="0"/>
  </r>
  <r>
    <x v="17"/>
    <x v="0"/>
    <x v="11"/>
    <n v="2.5599999427795401"/>
    <n v="2.5599999427795401"/>
    <n v="0"/>
    <n v="0.37999999523162797"/>
    <n v="0.270000010728836"/>
    <n v="1.8899999856948899"/>
    <n v="0"/>
    <n v="5"/>
    <n v="4"/>
    <n v="58"/>
    <n v="343"/>
    <x v="14"/>
    <x v="0"/>
    <n v="410"/>
    <s v="Weekday"/>
    <x v="0"/>
  </r>
  <r>
    <x v="18"/>
    <x v="0"/>
    <x v="12"/>
    <n v="0.519999980926514"/>
    <n v="0.519999980926514"/>
    <n v="0"/>
    <n v="0"/>
    <n v="0"/>
    <n v="0.519999980926514"/>
    <n v="0"/>
    <n v="0"/>
    <n v="0"/>
    <n v="58"/>
    <n v="380"/>
    <x v="15"/>
    <x v="0"/>
    <n v="438"/>
    <s v="Weekday"/>
    <x v="0"/>
  </r>
  <r>
    <x v="16"/>
    <x v="6"/>
    <x v="13"/>
    <n v="0.519999980926514"/>
    <n v="0.519999980926514"/>
    <n v="0"/>
    <n v="0"/>
    <n v="0"/>
    <n v="0.519999980926514"/>
    <n v="0"/>
    <n v="0"/>
    <n v="0"/>
    <n v="60"/>
    <n v="1053"/>
    <x v="16"/>
    <x v="5"/>
    <n v="1113"/>
    <s v="Weekend"/>
    <x v="0"/>
  </r>
  <r>
    <x v="19"/>
    <x v="7"/>
    <x v="14"/>
    <n v="2.0999999046325701"/>
    <n v="2.0999999046325701"/>
    <n v="0"/>
    <n v="0"/>
    <n v="0"/>
    <n v="2.0899999141693102"/>
    <n v="0"/>
    <n v="0"/>
    <n v="0"/>
    <n v="172"/>
    <n v="842"/>
    <x v="17"/>
    <x v="3"/>
    <n v="1014"/>
    <s v="Weekday"/>
    <x v="0"/>
  </r>
  <r>
    <x v="20"/>
    <x v="0"/>
    <x v="15"/>
    <n v="2.2300000190734899"/>
    <n v="2.2300000190734899"/>
    <n v="0"/>
    <n v="0"/>
    <n v="0"/>
    <n v="2.2300000190734899"/>
    <n v="0"/>
    <n v="0"/>
    <n v="0"/>
    <n v="68"/>
    <n v="241"/>
    <x v="18"/>
    <x v="0"/>
    <n v="309"/>
    <s v="Weekday"/>
    <x v="0"/>
  </r>
  <r>
    <x v="21"/>
    <x v="8"/>
    <x v="16"/>
    <n v="3.3800001144409202"/>
    <n v="3.3800001144409202"/>
    <n v="0"/>
    <n v="0"/>
    <n v="0"/>
    <n v="3.3800001144409202"/>
    <n v="0"/>
    <n v="0"/>
    <n v="0"/>
    <n v="197"/>
    <n v="125"/>
    <x v="19"/>
    <x v="0"/>
    <n v="322"/>
    <s v="Weekday"/>
    <x v="0"/>
  </r>
  <r>
    <x v="22"/>
    <x v="3"/>
    <x v="17"/>
    <n v="0.97000002861022905"/>
    <n v="0.97000002861022905"/>
    <n v="0"/>
    <n v="0"/>
    <n v="0"/>
    <n v="0.94999998807907104"/>
    <n v="9.9999997764825804E-3"/>
    <n v="0"/>
    <n v="0"/>
    <n v="49"/>
    <n v="713"/>
    <x v="20"/>
    <x v="2"/>
    <n v="762"/>
    <s v="Weekend"/>
    <x v="0"/>
  </r>
  <r>
    <x v="12"/>
    <x v="8"/>
    <x v="18"/>
    <n v="1.12999999523163"/>
    <n v="1.12999999523163"/>
    <n v="0"/>
    <n v="0"/>
    <n v="0"/>
    <n v="1.12999999523163"/>
    <n v="0"/>
    <n v="0"/>
    <n v="0"/>
    <n v="91"/>
    <n v="1349"/>
    <x v="21"/>
    <x v="0"/>
    <n v="1440"/>
    <s v="Weekday"/>
    <x v="0"/>
  </r>
  <r>
    <x v="12"/>
    <x v="9"/>
    <x v="19"/>
    <n v="1.37000000476837"/>
    <n v="1.37000000476837"/>
    <n v="0"/>
    <n v="0"/>
    <n v="0"/>
    <n v="1.3400000333786"/>
    <n v="1.9999999552965199E-2"/>
    <n v="0"/>
    <n v="0"/>
    <n v="96"/>
    <n v="1344"/>
    <x v="22"/>
    <x v="2"/>
    <n v="1440"/>
    <s v="Weekend"/>
    <x v="0"/>
  </r>
  <r>
    <x v="12"/>
    <x v="10"/>
    <x v="20"/>
    <n v="1.12000000476837"/>
    <n v="1.12000000476837"/>
    <n v="0"/>
    <n v="0"/>
    <n v="0"/>
    <n v="1.12000000476837"/>
    <n v="9.9999997764825804E-3"/>
    <n v="0"/>
    <n v="0"/>
    <n v="102"/>
    <n v="1338"/>
    <x v="23"/>
    <x v="5"/>
    <n v="1440"/>
    <s v="Weekend"/>
    <x v="0"/>
  </r>
  <r>
    <x v="12"/>
    <x v="11"/>
    <x v="21"/>
    <n v="0.980000019073486"/>
    <n v="0.980000019073486"/>
    <n v="0"/>
    <n v="0"/>
    <n v="0"/>
    <n v="0.97000002861022905"/>
    <n v="0"/>
    <n v="0"/>
    <n v="0"/>
    <n v="96"/>
    <n v="1344"/>
    <x v="24"/>
    <x v="4"/>
    <n v="1440"/>
    <s v="Weekday"/>
    <x v="0"/>
  </r>
  <r>
    <x v="9"/>
    <x v="12"/>
    <x v="0"/>
    <n v="0"/>
    <n v="0"/>
    <n v="0"/>
    <n v="0"/>
    <n v="0"/>
    <n v="0"/>
    <n v="0"/>
    <n v="0"/>
    <n v="0"/>
    <n v="0"/>
    <n v="1440"/>
    <x v="25"/>
    <x v="5"/>
    <n v="1440"/>
    <s v="Weekend"/>
    <x v="0"/>
  </r>
  <r>
    <x v="9"/>
    <x v="13"/>
    <x v="0"/>
    <n v="0"/>
    <n v="0"/>
    <n v="0"/>
    <n v="0"/>
    <n v="0"/>
    <n v="0"/>
    <n v="0"/>
    <n v="0"/>
    <n v="0"/>
    <n v="0"/>
    <n v="1440"/>
    <x v="25"/>
    <x v="0"/>
    <n v="1440"/>
    <s v="Weekday"/>
    <x v="0"/>
  </r>
  <r>
    <x v="9"/>
    <x v="14"/>
    <x v="0"/>
    <n v="0"/>
    <n v="0"/>
    <n v="0"/>
    <n v="0"/>
    <n v="0"/>
    <n v="0"/>
    <n v="0"/>
    <n v="0"/>
    <n v="0"/>
    <n v="0"/>
    <n v="1440"/>
    <x v="25"/>
    <x v="3"/>
    <n v="1440"/>
    <s v="Weekday"/>
    <x v="0"/>
  </r>
  <r>
    <x v="9"/>
    <x v="4"/>
    <x v="0"/>
    <n v="0"/>
    <n v="0"/>
    <n v="0"/>
    <n v="0"/>
    <n v="0"/>
    <n v="0"/>
    <n v="0"/>
    <n v="0"/>
    <n v="0"/>
    <n v="0"/>
    <n v="1440"/>
    <x v="25"/>
    <x v="3"/>
    <n v="1440"/>
    <s v="Weekday"/>
    <x v="0"/>
  </r>
  <r>
    <x v="9"/>
    <x v="15"/>
    <x v="0"/>
    <n v="0"/>
    <n v="0"/>
    <n v="0"/>
    <n v="0"/>
    <n v="0"/>
    <n v="0"/>
    <n v="0"/>
    <n v="0"/>
    <n v="0"/>
    <n v="0"/>
    <n v="1440"/>
    <x v="25"/>
    <x v="4"/>
    <n v="1440"/>
    <s v="Weekday"/>
    <x v="0"/>
  </r>
  <r>
    <x v="9"/>
    <x v="8"/>
    <x v="0"/>
    <n v="0"/>
    <n v="0"/>
    <n v="0"/>
    <n v="0"/>
    <n v="0"/>
    <n v="0"/>
    <n v="0"/>
    <n v="0"/>
    <n v="0"/>
    <n v="0"/>
    <n v="1440"/>
    <x v="25"/>
    <x v="0"/>
    <n v="1440"/>
    <s v="Weekday"/>
    <x v="0"/>
  </r>
  <r>
    <x v="9"/>
    <x v="1"/>
    <x v="0"/>
    <n v="0"/>
    <n v="0"/>
    <n v="0"/>
    <n v="0"/>
    <n v="0"/>
    <n v="0"/>
    <n v="0"/>
    <n v="0"/>
    <n v="0"/>
    <n v="0"/>
    <n v="1440"/>
    <x v="25"/>
    <x v="1"/>
    <n v="1440"/>
    <s v="Weekday"/>
    <x v="0"/>
  </r>
  <r>
    <x v="9"/>
    <x v="3"/>
    <x v="0"/>
    <n v="0"/>
    <n v="0"/>
    <n v="0"/>
    <n v="0"/>
    <n v="0"/>
    <n v="0"/>
    <n v="0"/>
    <n v="0"/>
    <n v="0"/>
    <n v="0"/>
    <n v="1440"/>
    <x v="25"/>
    <x v="2"/>
    <n v="1440"/>
    <s v="Weekend"/>
    <x v="0"/>
  </r>
  <r>
    <x v="9"/>
    <x v="16"/>
    <x v="0"/>
    <n v="0"/>
    <n v="0"/>
    <n v="0"/>
    <n v="0"/>
    <n v="0"/>
    <n v="0"/>
    <n v="0"/>
    <n v="0"/>
    <n v="0"/>
    <n v="0"/>
    <n v="1440"/>
    <x v="26"/>
    <x v="4"/>
    <n v="1440"/>
    <s v="Weekday"/>
    <x v="0"/>
  </r>
  <r>
    <x v="9"/>
    <x v="17"/>
    <x v="22"/>
    <n v="0"/>
    <n v="0"/>
    <n v="0"/>
    <n v="0"/>
    <n v="0"/>
    <n v="0"/>
    <n v="0"/>
    <n v="0"/>
    <n v="0"/>
    <n v="1"/>
    <n v="1439"/>
    <x v="26"/>
    <x v="1"/>
    <n v="1440"/>
    <s v="Weekday"/>
    <x v="0"/>
  </r>
  <r>
    <x v="9"/>
    <x v="18"/>
    <x v="23"/>
    <n v="9.9999997764825804E-3"/>
    <n v="9.9999997764825804E-3"/>
    <n v="0"/>
    <n v="0"/>
    <n v="0"/>
    <n v="9.9999997764825804E-3"/>
    <n v="0"/>
    <n v="0"/>
    <n v="0"/>
    <n v="1"/>
    <n v="1439"/>
    <x v="27"/>
    <x v="1"/>
    <n v="1440"/>
    <s v="Weekday"/>
    <x v="0"/>
  </r>
  <r>
    <x v="9"/>
    <x v="10"/>
    <x v="24"/>
    <n v="2.9999999329447701E-2"/>
    <n v="2.9999999329447701E-2"/>
    <n v="0"/>
    <n v="0"/>
    <n v="0"/>
    <n v="2.9999999329447701E-2"/>
    <n v="0"/>
    <n v="0"/>
    <n v="0"/>
    <n v="2"/>
    <n v="1438"/>
    <x v="28"/>
    <x v="5"/>
    <n v="1440"/>
    <s v="Weekend"/>
    <x v="0"/>
  </r>
  <r>
    <x v="16"/>
    <x v="19"/>
    <x v="25"/>
    <n v="1.5"/>
    <n v="1.5"/>
    <n v="0"/>
    <n v="0"/>
    <n v="0"/>
    <n v="1.5"/>
    <n v="0"/>
    <n v="0"/>
    <n v="0"/>
    <n v="141"/>
    <n v="785"/>
    <x v="29"/>
    <x v="3"/>
    <n v="926"/>
    <s v="Weekday"/>
    <x v="0"/>
  </r>
  <r>
    <x v="12"/>
    <x v="3"/>
    <x v="26"/>
    <n v="2.03999996185303"/>
    <n v="2.03999996185303"/>
    <n v="0"/>
    <n v="0"/>
    <n v="0"/>
    <n v="2.03999996185303"/>
    <n v="0"/>
    <n v="0"/>
    <n v="0"/>
    <n v="112"/>
    <n v="1328"/>
    <x v="30"/>
    <x v="2"/>
    <n v="1440"/>
    <s v="Weekend"/>
    <x v="0"/>
  </r>
  <r>
    <x v="16"/>
    <x v="0"/>
    <x v="27"/>
    <n v="5.5100002288818404"/>
    <n v="5.5100002288818404"/>
    <n v="0"/>
    <n v="0"/>
    <n v="0"/>
    <n v="5.5100002288818404"/>
    <n v="0"/>
    <n v="0"/>
    <n v="0"/>
    <n v="343"/>
    <n v="330"/>
    <x v="31"/>
    <x v="0"/>
    <n v="673"/>
    <s v="Weekday"/>
    <x v="1"/>
  </r>
  <r>
    <x v="9"/>
    <x v="19"/>
    <x v="28"/>
    <n v="0.129999995231628"/>
    <n v="0.129999995231628"/>
    <n v="0"/>
    <n v="0"/>
    <n v="0"/>
    <n v="0.129999995231628"/>
    <n v="0"/>
    <n v="0"/>
    <n v="0"/>
    <n v="10"/>
    <n v="1430"/>
    <x v="32"/>
    <x v="3"/>
    <n v="1440"/>
    <s v="Weekday"/>
    <x v="0"/>
  </r>
  <r>
    <x v="12"/>
    <x v="20"/>
    <x v="29"/>
    <n v="1.4299999475479099"/>
    <n v="1.4299999475479099"/>
    <n v="0"/>
    <n v="0"/>
    <n v="0"/>
    <n v="1.41999995708466"/>
    <n v="0"/>
    <n v="0"/>
    <n v="0"/>
    <n v="118"/>
    <n v="1322"/>
    <x v="33"/>
    <x v="3"/>
    <n v="1440"/>
    <s v="Weekday"/>
    <x v="0"/>
  </r>
  <r>
    <x v="16"/>
    <x v="21"/>
    <x v="30"/>
    <n v="1.5299999713897701"/>
    <n v="1.5299999713897701"/>
    <n v="0"/>
    <n v="0"/>
    <n v="0"/>
    <n v="1.5299999713897701"/>
    <n v="0"/>
    <n v="0"/>
    <n v="0"/>
    <n v="153"/>
    <n v="749"/>
    <x v="34"/>
    <x v="6"/>
    <n v="902"/>
    <s v="Weekday"/>
    <x v="0"/>
  </r>
  <r>
    <x v="12"/>
    <x v="22"/>
    <x v="31"/>
    <n v="1.6100000143051101"/>
    <n v="1.6100000143051101"/>
    <n v="0"/>
    <n v="0"/>
    <n v="0"/>
    <n v="1.58000004291534"/>
    <n v="1.9999999552965199E-2"/>
    <n v="0"/>
    <n v="0"/>
    <n v="117"/>
    <n v="1323"/>
    <x v="34"/>
    <x v="6"/>
    <n v="1440"/>
    <s v="Weekday"/>
    <x v="0"/>
  </r>
  <r>
    <x v="16"/>
    <x v="23"/>
    <x v="32"/>
    <n v="1.58000004291534"/>
    <n v="1.58000004291534"/>
    <n v="0"/>
    <n v="0"/>
    <n v="0"/>
    <n v="1.58000004291534"/>
    <n v="0"/>
    <n v="0"/>
    <n v="0"/>
    <n v="150"/>
    <n v="728"/>
    <x v="35"/>
    <x v="2"/>
    <n v="878"/>
    <s v="Weekend"/>
    <x v="0"/>
  </r>
  <r>
    <x v="4"/>
    <x v="17"/>
    <x v="33"/>
    <n v="5.03999996185303"/>
    <n v="5.03999996185303"/>
    <n v="0"/>
    <n v="0"/>
    <n v="0.41999998688697798"/>
    <n v="4.6199998855590803"/>
    <n v="0"/>
    <n v="0"/>
    <n v="10"/>
    <n v="176"/>
    <n v="714"/>
    <x v="36"/>
    <x v="1"/>
    <n v="900"/>
    <s v="Weekday"/>
    <x v="2"/>
  </r>
  <r>
    <x v="23"/>
    <x v="0"/>
    <x v="0"/>
    <n v="0"/>
    <n v="0"/>
    <n v="0"/>
    <n v="0"/>
    <n v="0"/>
    <n v="0"/>
    <n v="0"/>
    <n v="0"/>
    <n v="0"/>
    <n v="0"/>
    <n v="966"/>
    <x v="37"/>
    <x v="0"/>
    <n v="966"/>
    <s v="Weekday"/>
    <x v="0"/>
  </r>
  <r>
    <x v="12"/>
    <x v="1"/>
    <x v="34"/>
    <n v="1.9299999475479099"/>
    <n v="1.9299999475479099"/>
    <n v="0"/>
    <n v="0"/>
    <n v="0"/>
    <n v="1.91999995708466"/>
    <n v="9.9999997764825804E-3"/>
    <n v="0"/>
    <n v="0"/>
    <n v="139"/>
    <n v="1301"/>
    <x v="38"/>
    <x v="1"/>
    <n v="1440"/>
    <s v="Weekday"/>
    <x v="0"/>
  </r>
  <r>
    <x v="10"/>
    <x v="6"/>
    <x v="35"/>
    <n v="0.43000000715255698"/>
    <n v="0.43000000715255698"/>
    <n v="0"/>
    <n v="0"/>
    <n v="0"/>
    <n v="0.43000000715255698"/>
    <n v="0"/>
    <n v="0"/>
    <n v="0"/>
    <n v="46"/>
    <n v="943"/>
    <x v="39"/>
    <x v="5"/>
    <n v="989"/>
    <s v="Weekend"/>
    <x v="0"/>
  </r>
  <r>
    <x v="4"/>
    <x v="21"/>
    <x v="36"/>
    <n v="4.0799999237060502"/>
    <n v="4.0799999237060502"/>
    <n v="0"/>
    <n v="0"/>
    <n v="0"/>
    <n v="4.0599999427795401"/>
    <n v="0"/>
    <n v="0"/>
    <n v="0"/>
    <n v="242"/>
    <n v="712"/>
    <x v="39"/>
    <x v="6"/>
    <n v="954"/>
    <s v="Weekday"/>
    <x v="2"/>
  </r>
  <r>
    <x v="16"/>
    <x v="24"/>
    <x v="37"/>
    <n v="1.8099999427795399"/>
    <n v="1.8099999427795399"/>
    <n v="0"/>
    <n v="0"/>
    <n v="0"/>
    <n v="1.8099999427795399"/>
    <n v="0"/>
    <n v="0"/>
    <n v="0"/>
    <n v="162"/>
    <n v="712"/>
    <x v="40"/>
    <x v="4"/>
    <n v="874"/>
    <s v="Weekday"/>
    <x v="0"/>
  </r>
  <r>
    <x v="12"/>
    <x v="25"/>
    <x v="38"/>
    <n v="1.78999996185303"/>
    <n v="1.78999996185303"/>
    <n v="0"/>
    <n v="0"/>
    <n v="0.20000000298023199"/>
    <n v="1.6000000238418599"/>
    <n v="0"/>
    <n v="0"/>
    <n v="5"/>
    <n v="115"/>
    <n v="1320"/>
    <x v="41"/>
    <x v="6"/>
    <n v="1440"/>
    <s v="Weekday"/>
    <x v="0"/>
  </r>
  <r>
    <x v="16"/>
    <x v="12"/>
    <x v="39"/>
    <n v="2.1600000858306898"/>
    <n v="2.1600000858306898"/>
    <n v="0"/>
    <n v="0"/>
    <n v="0"/>
    <n v="2.1600000858306898"/>
    <n v="0"/>
    <n v="0"/>
    <n v="0"/>
    <n v="164"/>
    <n v="704"/>
    <x v="41"/>
    <x v="5"/>
    <n v="868"/>
    <s v="Weekend"/>
    <x v="0"/>
  </r>
  <r>
    <x v="12"/>
    <x v="14"/>
    <x v="40"/>
    <n v="1.8400000333786"/>
    <n v="1.8400000333786"/>
    <n v="0"/>
    <n v="0"/>
    <n v="0"/>
    <n v="1.83000004291534"/>
    <n v="9.9999997764825804E-3"/>
    <n v="0"/>
    <n v="0"/>
    <n v="140"/>
    <n v="1300"/>
    <x v="42"/>
    <x v="3"/>
    <n v="1440"/>
    <s v="Weekday"/>
    <x v="0"/>
  </r>
  <r>
    <x v="15"/>
    <x v="7"/>
    <x v="41"/>
    <n v="0.519999980926514"/>
    <n v="0.519999980926514"/>
    <n v="0"/>
    <n v="0"/>
    <n v="0"/>
    <n v="0.519999980926514"/>
    <n v="0"/>
    <n v="0"/>
    <n v="0"/>
    <n v="40"/>
    <n v="1400"/>
    <x v="43"/>
    <x v="3"/>
    <n v="1440"/>
    <s v="Weekday"/>
    <x v="0"/>
  </r>
  <r>
    <x v="12"/>
    <x v="5"/>
    <x v="42"/>
    <n v="1.54999995231628"/>
    <n v="1.54999995231628"/>
    <n v="0"/>
    <n v="0"/>
    <n v="0"/>
    <n v="1.54999995231628"/>
    <n v="0"/>
    <n v="0"/>
    <n v="0"/>
    <n v="150"/>
    <n v="1290"/>
    <x v="44"/>
    <x v="4"/>
    <n v="1440"/>
    <s v="Weekday"/>
    <x v="0"/>
  </r>
  <r>
    <x v="4"/>
    <x v="25"/>
    <x v="43"/>
    <n v="4.8800001144409197"/>
    <n v="4.8800001144409197"/>
    <n v="0"/>
    <n v="1.37000000476837"/>
    <n v="0.28999999165535001"/>
    <n v="3.2200000286102299"/>
    <n v="0"/>
    <n v="15"/>
    <n v="8"/>
    <n v="190"/>
    <n v="804"/>
    <x v="45"/>
    <x v="6"/>
    <n v="1017"/>
    <s v="Weekday"/>
    <x v="2"/>
  </r>
  <r>
    <x v="15"/>
    <x v="5"/>
    <x v="44"/>
    <n v="0.62000000476837203"/>
    <n v="0.62000000476837203"/>
    <n v="0"/>
    <n v="0"/>
    <n v="0"/>
    <n v="0.62000000476837203"/>
    <n v="0"/>
    <n v="0"/>
    <n v="0"/>
    <n v="45"/>
    <n v="1395"/>
    <x v="46"/>
    <x v="4"/>
    <n v="1440"/>
    <s v="Weekday"/>
    <x v="0"/>
  </r>
  <r>
    <x v="12"/>
    <x v="26"/>
    <x v="45"/>
    <n v="4.5500001907348597"/>
    <n v="4.5500001907348597"/>
    <n v="0"/>
    <n v="0"/>
    <n v="0"/>
    <n v="4.5500001907348597"/>
    <n v="0"/>
    <n v="0"/>
    <n v="0"/>
    <n v="148"/>
    <n v="1292"/>
    <x v="47"/>
    <x v="1"/>
    <n v="1440"/>
    <s v="Weekday"/>
    <x v="2"/>
  </r>
  <r>
    <x v="16"/>
    <x v="27"/>
    <x v="46"/>
    <n v="2.0599999427795401"/>
    <n v="2.0599999427795401"/>
    <n v="0"/>
    <n v="0"/>
    <n v="0"/>
    <n v="2.0599999427795401"/>
    <n v="0"/>
    <n v="0"/>
    <n v="0"/>
    <n v="182"/>
    <n v="1062"/>
    <x v="48"/>
    <x v="0"/>
    <n v="1244"/>
    <s v="Weekday"/>
    <x v="0"/>
  </r>
  <r>
    <x v="15"/>
    <x v="20"/>
    <x v="47"/>
    <n v="0.81000000238418601"/>
    <n v="0.81000000238418601"/>
    <n v="0"/>
    <n v="0"/>
    <n v="0"/>
    <n v="0.81000000238418601"/>
    <n v="0"/>
    <n v="0"/>
    <n v="0"/>
    <n v="52"/>
    <n v="1388"/>
    <x v="49"/>
    <x v="3"/>
    <n v="1440"/>
    <s v="Weekday"/>
    <x v="0"/>
  </r>
  <r>
    <x v="12"/>
    <x v="15"/>
    <x v="48"/>
    <n v="2.2300000190734899"/>
    <n v="2.2300000190734899"/>
    <n v="0"/>
    <n v="0"/>
    <n v="0"/>
    <n v="2.2200000286102299"/>
    <n v="0"/>
    <n v="0"/>
    <n v="0"/>
    <n v="152"/>
    <n v="1288"/>
    <x v="50"/>
    <x v="4"/>
    <n v="1440"/>
    <s v="Weekday"/>
    <x v="0"/>
  </r>
  <r>
    <x v="16"/>
    <x v="28"/>
    <x v="49"/>
    <n v="2.0699999332428001"/>
    <n v="2.0699999332428001"/>
    <n v="0"/>
    <n v="0"/>
    <n v="0"/>
    <n v="2.0499999523162802"/>
    <n v="0"/>
    <n v="0"/>
    <n v="0"/>
    <n v="197"/>
    <n v="653"/>
    <x v="51"/>
    <x v="6"/>
    <n v="850"/>
    <s v="Weekday"/>
    <x v="0"/>
  </r>
  <r>
    <x v="24"/>
    <x v="0"/>
    <x v="50"/>
    <n v="5.1100001335143999"/>
    <n v="5.1100001335143999"/>
    <n v="0"/>
    <n v="0"/>
    <n v="0"/>
    <n v="5.1100001335143999"/>
    <n v="0"/>
    <n v="0"/>
    <n v="0"/>
    <n v="268"/>
    <n v="720"/>
    <x v="51"/>
    <x v="0"/>
    <n v="988"/>
    <s v="Weekday"/>
    <x v="1"/>
  </r>
  <r>
    <x v="12"/>
    <x v="29"/>
    <x v="51"/>
    <n v="5.3099999427795401"/>
    <n v="5.3099999427795401"/>
    <n v="0"/>
    <n v="0"/>
    <n v="0"/>
    <n v="5.3099999427795401"/>
    <n v="0"/>
    <n v="0"/>
    <n v="0"/>
    <n v="146"/>
    <n v="1294"/>
    <x v="52"/>
    <x v="5"/>
    <n v="1440"/>
    <s v="Weekend"/>
    <x v="1"/>
  </r>
  <r>
    <x v="4"/>
    <x v="28"/>
    <x v="52"/>
    <n v="5.1100001335143999"/>
    <n v="5.1100001335143999"/>
    <n v="0"/>
    <n v="0.31999999284744302"/>
    <n v="0.97000002861022905"/>
    <n v="3.8199999332428001"/>
    <n v="0"/>
    <n v="5"/>
    <n v="23"/>
    <n v="214"/>
    <n v="801"/>
    <x v="53"/>
    <x v="6"/>
    <n v="1043"/>
    <s v="Weekday"/>
    <x v="1"/>
  </r>
  <r>
    <x v="12"/>
    <x v="19"/>
    <x v="53"/>
    <n v="1.8999999761581401"/>
    <n v="1.8999999761581401"/>
    <n v="0"/>
    <n v="0"/>
    <n v="0"/>
    <n v="1.8999999761581401"/>
    <n v="0"/>
    <n v="0"/>
    <n v="0"/>
    <n v="141"/>
    <n v="1299"/>
    <x v="54"/>
    <x v="3"/>
    <n v="1440"/>
    <s v="Weekday"/>
    <x v="0"/>
  </r>
  <r>
    <x v="16"/>
    <x v="11"/>
    <x v="54"/>
    <n v="2.3699998855590798"/>
    <n v="2.3699998855590798"/>
    <n v="0"/>
    <n v="0"/>
    <n v="0"/>
    <n v="2.3699998855590798"/>
    <n v="0"/>
    <n v="0"/>
    <n v="0"/>
    <n v="188"/>
    <n v="687"/>
    <x v="55"/>
    <x v="4"/>
    <n v="875"/>
    <s v="Weekday"/>
    <x v="0"/>
  </r>
  <r>
    <x v="12"/>
    <x v="18"/>
    <x v="55"/>
    <n v="3.2300000190734899"/>
    <n v="3.2300000190734899"/>
    <n v="0"/>
    <n v="0"/>
    <n v="0"/>
    <n v="3.2300000190734899"/>
    <n v="0"/>
    <n v="0"/>
    <n v="0"/>
    <n v="151"/>
    <n v="1289"/>
    <x v="56"/>
    <x v="1"/>
    <n v="1440"/>
    <s v="Weekday"/>
    <x v="0"/>
  </r>
  <r>
    <x v="16"/>
    <x v="7"/>
    <x v="56"/>
    <n v="2.2799999713897701"/>
    <n v="2.2799999713897701"/>
    <n v="0"/>
    <n v="0"/>
    <n v="0"/>
    <n v="2.2799999713897701"/>
    <n v="0"/>
    <n v="0"/>
    <n v="0"/>
    <n v="191"/>
    <n v="716"/>
    <x v="57"/>
    <x v="3"/>
    <n v="907"/>
    <s v="Weekday"/>
    <x v="0"/>
  </r>
  <r>
    <x v="4"/>
    <x v="29"/>
    <x v="57"/>
    <n v="5.9800000190734899"/>
    <n v="5.9800000190734899"/>
    <n v="0"/>
    <n v="3.0599999427795401"/>
    <n v="0.91000002622604403"/>
    <n v="2.0099999904632599"/>
    <n v="0"/>
    <n v="44"/>
    <n v="19"/>
    <n v="131"/>
    <n v="777"/>
    <x v="58"/>
    <x v="5"/>
    <n v="971"/>
    <s v="Weekend"/>
    <x v="1"/>
  </r>
  <r>
    <x v="25"/>
    <x v="0"/>
    <x v="58"/>
    <n v="4.1700000762939498"/>
    <n v="4.1700000762939498"/>
    <n v="0"/>
    <n v="0"/>
    <n v="0"/>
    <n v="4.1700000762939498"/>
    <n v="0"/>
    <n v="0"/>
    <n v="0"/>
    <n v="247"/>
    <n v="736"/>
    <x v="59"/>
    <x v="0"/>
    <n v="983"/>
    <s v="Weekday"/>
    <x v="2"/>
  </r>
  <r>
    <x v="16"/>
    <x v="29"/>
    <x v="59"/>
    <n v="2.7400000095367401"/>
    <n v="2.7400000095367401"/>
    <n v="0"/>
    <n v="0.18999999761581399"/>
    <n v="0.34999999403953602"/>
    <n v="2.2000000476837198"/>
    <n v="0"/>
    <n v="3"/>
    <n v="8"/>
    <n v="181"/>
    <n v="706"/>
    <x v="60"/>
    <x v="5"/>
    <n v="898"/>
    <s v="Weekend"/>
    <x v="0"/>
  </r>
  <r>
    <x v="10"/>
    <x v="2"/>
    <x v="60"/>
    <n v="0.77999997138977095"/>
    <n v="0.77999997138977095"/>
    <n v="0"/>
    <n v="0"/>
    <n v="0"/>
    <n v="0.77999997138977095"/>
    <n v="0"/>
    <n v="0"/>
    <n v="0"/>
    <n v="84"/>
    <n v="506"/>
    <x v="61"/>
    <x v="2"/>
    <n v="590"/>
    <s v="Weekend"/>
    <x v="0"/>
  </r>
  <r>
    <x v="12"/>
    <x v="23"/>
    <x v="61"/>
    <n v="3.4900000095367401"/>
    <n v="3.4900000095367401"/>
    <n v="0"/>
    <n v="0"/>
    <n v="0"/>
    <n v="3.4900000095367401"/>
    <n v="0"/>
    <n v="0"/>
    <n v="0"/>
    <n v="176"/>
    <n v="1264"/>
    <x v="61"/>
    <x v="2"/>
    <n v="1440"/>
    <s v="Weekend"/>
    <x v="2"/>
  </r>
  <r>
    <x v="7"/>
    <x v="6"/>
    <x v="62"/>
    <n v="1.9999999552965199E-2"/>
    <n v="1.9999999552965199E-2"/>
    <n v="0"/>
    <n v="0"/>
    <n v="0"/>
    <n v="1.9999999552965199E-2"/>
    <n v="0"/>
    <n v="0"/>
    <n v="0"/>
    <n v="3"/>
    <n v="1363"/>
    <x v="62"/>
    <x v="5"/>
    <n v="1366"/>
    <s v="Weekend"/>
    <x v="0"/>
  </r>
  <r>
    <x v="11"/>
    <x v="28"/>
    <x v="63"/>
    <n v="1.0299999713897701"/>
    <n v="1.0299999713897701"/>
    <n v="0"/>
    <n v="0"/>
    <n v="0"/>
    <n v="1.0299999713897701"/>
    <n v="0"/>
    <n v="0"/>
    <n v="0"/>
    <n v="86"/>
    <n v="862"/>
    <x v="63"/>
    <x v="6"/>
    <n v="948"/>
    <s v="Weekday"/>
    <x v="0"/>
  </r>
  <r>
    <x v="12"/>
    <x v="21"/>
    <x v="64"/>
    <n v="4.1300001144409197"/>
    <n v="4.1300001144409197"/>
    <n v="0"/>
    <n v="0"/>
    <n v="0"/>
    <n v="4.1100001335143999"/>
    <n v="1.9999999552965199E-2"/>
    <n v="0"/>
    <n v="0"/>
    <n v="186"/>
    <n v="1254"/>
    <x v="64"/>
    <x v="6"/>
    <n v="1440"/>
    <s v="Weekday"/>
    <x v="2"/>
  </r>
  <r>
    <x v="4"/>
    <x v="11"/>
    <x v="65"/>
    <n v="6.0599999427795401"/>
    <n v="6.0599999427795401"/>
    <n v="0"/>
    <n v="1.04999995231628"/>
    <n v="1.75"/>
    <n v="3.2599999904632599"/>
    <n v="0"/>
    <n v="15"/>
    <n v="42"/>
    <n v="183"/>
    <n v="644"/>
    <x v="65"/>
    <x v="4"/>
    <n v="884"/>
    <s v="Weekday"/>
    <x v="1"/>
  </r>
  <r>
    <x v="12"/>
    <x v="24"/>
    <x v="66"/>
    <n v="2.6199998855590798"/>
    <n v="2.6199998855590798"/>
    <n v="0"/>
    <n v="0"/>
    <n v="0"/>
    <n v="2.5999999046325701"/>
    <n v="0"/>
    <n v="0"/>
    <n v="0"/>
    <n v="199"/>
    <n v="1241"/>
    <x v="66"/>
    <x v="4"/>
    <n v="1440"/>
    <s v="Weekday"/>
    <x v="0"/>
  </r>
  <r>
    <x v="15"/>
    <x v="25"/>
    <x v="67"/>
    <n v="1.0299999713897701"/>
    <n v="1.0299999713897701"/>
    <n v="0"/>
    <n v="0"/>
    <n v="0"/>
    <n v="1.0299999713897701"/>
    <n v="0"/>
    <n v="0"/>
    <n v="0"/>
    <n v="76"/>
    <n v="1364"/>
    <x v="67"/>
    <x v="6"/>
    <n v="1440"/>
    <s v="Weekday"/>
    <x v="0"/>
  </r>
  <r>
    <x v="12"/>
    <x v="4"/>
    <x v="68"/>
    <n v="1.37000000476837"/>
    <n v="1.37000000476837"/>
    <n v="0"/>
    <n v="0"/>
    <n v="0"/>
    <n v="1.37000000476837"/>
    <n v="0"/>
    <n v="0"/>
    <n v="0"/>
    <n v="182"/>
    <n v="1258"/>
    <x v="68"/>
    <x v="3"/>
    <n v="1440"/>
    <s v="Weekday"/>
    <x v="0"/>
  </r>
  <r>
    <x v="15"/>
    <x v="17"/>
    <x v="69"/>
    <n v="1.1599999666214"/>
    <n v="1.1599999666214"/>
    <n v="0"/>
    <n v="0"/>
    <n v="0"/>
    <n v="1.1599999666214"/>
    <n v="0"/>
    <n v="0"/>
    <n v="0"/>
    <n v="82"/>
    <n v="1358"/>
    <x v="69"/>
    <x v="1"/>
    <n v="1440"/>
    <s v="Weekday"/>
    <x v="0"/>
  </r>
  <r>
    <x v="4"/>
    <x v="24"/>
    <x v="70"/>
    <n v="5.96000003814697"/>
    <n v="5.96000003814697"/>
    <n v="0"/>
    <n v="2.3299999237060498"/>
    <n v="0.57999998331069902"/>
    <n v="3.0599999427795401"/>
    <n v="0"/>
    <n v="33"/>
    <n v="12"/>
    <n v="188"/>
    <n v="731"/>
    <x v="69"/>
    <x v="4"/>
    <n v="964"/>
    <s v="Weekday"/>
    <x v="1"/>
  </r>
  <r>
    <x v="16"/>
    <x v="4"/>
    <x v="71"/>
    <n v="2.5999999046325701"/>
    <n v="2.5999999046325701"/>
    <n v="0"/>
    <n v="0"/>
    <n v="0"/>
    <n v="2.5999999046325701"/>
    <n v="0"/>
    <n v="0"/>
    <n v="0"/>
    <n v="229"/>
    <n v="665"/>
    <x v="70"/>
    <x v="3"/>
    <n v="894"/>
    <s v="Weekday"/>
    <x v="0"/>
  </r>
  <r>
    <x v="12"/>
    <x v="13"/>
    <x v="72"/>
    <n v="4.2199997901916504"/>
    <n v="4.2199997901916504"/>
    <n v="0"/>
    <n v="0"/>
    <n v="0"/>
    <n v="4.1999998092651403"/>
    <n v="1.9999999552965199E-2"/>
    <n v="0"/>
    <n v="0"/>
    <n v="202"/>
    <n v="1238"/>
    <x v="71"/>
    <x v="0"/>
    <n v="1440"/>
    <s v="Weekday"/>
    <x v="2"/>
  </r>
  <r>
    <x v="10"/>
    <x v="4"/>
    <x v="73"/>
    <n v="1.2200000286102299"/>
    <n v="1.2200000286102299"/>
    <n v="0"/>
    <n v="0"/>
    <n v="0"/>
    <n v="1.2200000286102299"/>
    <n v="0"/>
    <n v="0"/>
    <n v="0"/>
    <n v="96"/>
    <n v="902"/>
    <x v="72"/>
    <x v="3"/>
    <n v="998"/>
    <s v="Weekday"/>
    <x v="0"/>
  </r>
  <r>
    <x v="4"/>
    <x v="26"/>
    <x v="74"/>
    <n v="6.71000003814697"/>
    <n v="6.71000003814697"/>
    <n v="0"/>
    <n v="2.0299999713897701"/>
    <n v="2.1300001144409202"/>
    <n v="2.5499999523162802"/>
    <n v="0"/>
    <n v="31"/>
    <n v="46"/>
    <n v="153"/>
    <n v="754"/>
    <x v="73"/>
    <x v="1"/>
    <n v="984"/>
    <s v="Weekday"/>
    <x v="3"/>
  </r>
  <r>
    <x v="21"/>
    <x v="29"/>
    <x v="0"/>
    <n v="0"/>
    <n v="0"/>
    <n v="0"/>
    <n v="0"/>
    <n v="0"/>
    <n v="0"/>
    <n v="0"/>
    <n v="0"/>
    <n v="0"/>
    <n v="0"/>
    <n v="1440"/>
    <x v="74"/>
    <x v="5"/>
    <n v="1440"/>
    <s v="Weekend"/>
    <x v="0"/>
  </r>
  <r>
    <x v="21"/>
    <x v="26"/>
    <x v="0"/>
    <n v="0"/>
    <n v="0"/>
    <n v="0"/>
    <n v="0"/>
    <n v="0"/>
    <n v="0"/>
    <n v="0"/>
    <n v="0"/>
    <n v="0"/>
    <n v="0"/>
    <n v="1440"/>
    <x v="74"/>
    <x v="1"/>
    <n v="1440"/>
    <s v="Weekday"/>
    <x v="0"/>
  </r>
  <r>
    <x v="21"/>
    <x v="28"/>
    <x v="0"/>
    <n v="0"/>
    <n v="0"/>
    <n v="0"/>
    <n v="0"/>
    <n v="0"/>
    <n v="0"/>
    <n v="0"/>
    <n v="0"/>
    <n v="0"/>
    <n v="0"/>
    <n v="1440"/>
    <x v="74"/>
    <x v="6"/>
    <n v="1440"/>
    <s v="Weekday"/>
    <x v="0"/>
  </r>
  <r>
    <x v="21"/>
    <x v="9"/>
    <x v="0"/>
    <n v="0"/>
    <n v="0"/>
    <n v="0"/>
    <n v="0"/>
    <n v="0"/>
    <n v="0"/>
    <n v="0"/>
    <n v="0"/>
    <n v="0"/>
    <n v="0"/>
    <n v="1440"/>
    <x v="74"/>
    <x v="2"/>
    <n v="1440"/>
    <s v="Weekend"/>
    <x v="0"/>
  </r>
  <r>
    <x v="21"/>
    <x v="13"/>
    <x v="0"/>
    <n v="0"/>
    <n v="0"/>
    <n v="0"/>
    <n v="0"/>
    <n v="0"/>
    <n v="0"/>
    <n v="0"/>
    <n v="0"/>
    <n v="0"/>
    <n v="0"/>
    <n v="1440"/>
    <x v="75"/>
    <x v="0"/>
    <n v="1440"/>
    <s v="Weekday"/>
    <x v="0"/>
  </r>
  <r>
    <x v="12"/>
    <x v="16"/>
    <x v="75"/>
    <n v="4.9299998283386204"/>
    <n v="4.9299998283386204"/>
    <n v="0"/>
    <n v="0.86000001430511497"/>
    <n v="0.58999997377395597"/>
    <n v="3.4700000286102299"/>
    <n v="0"/>
    <n v="7"/>
    <n v="6"/>
    <n v="166"/>
    <n v="1261"/>
    <x v="75"/>
    <x v="4"/>
    <n v="1440"/>
    <s v="Weekday"/>
    <x v="2"/>
  </r>
  <r>
    <x v="4"/>
    <x v="7"/>
    <x v="76"/>
    <n v="7.0700001716613796"/>
    <n v="7.0700001716613796"/>
    <n v="0"/>
    <n v="2.6700000762939502"/>
    <n v="1.9800000190734901"/>
    <n v="2.4100000858306898"/>
    <n v="0"/>
    <n v="41"/>
    <n v="40"/>
    <n v="124"/>
    <n v="691"/>
    <x v="76"/>
    <x v="3"/>
    <n v="896"/>
    <s v="Weekday"/>
    <x v="3"/>
  </r>
  <r>
    <x v="26"/>
    <x v="0"/>
    <x v="77"/>
    <n v="3.9100000858306898"/>
    <n v="3.9100000858306898"/>
    <n v="0"/>
    <n v="2.9500000476837198"/>
    <n v="0.20000000298023199"/>
    <n v="0.75999999046325695"/>
    <n v="0"/>
    <n v="28"/>
    <n v="4"/>
    <n v="39"/>
    <n v="839"/>
    <x v="77"/>
    <x v="0"/>
    <n v="910"/>
    <s v="Weekday"/>
    <x v="0"/>
  </r>
  <r>
    <x v="16"/>
    <x v="2"/>
    <x v="78"/>
    <n v="2.9300000667571999"/>
    <n v="2.9300000667571999"/>
    <n v="0"/>
    <n v="0"/>
    <n v="0"/>
    <n v="2.9300000667571999"/>
    <n v="0"/>
    <n v="0"/>
    <n v="0"/>
    <n v="233"/>
    <n v="594"/>
    <x v="78"/>
    <x v="2"/>
    <n v="827"/>
    <s v="Weekend"/>
    <x v="0"/>
  </r>
  <r>
    <x v="10"/>
    <x v="12"/>
    <x v="79"/>
    <n v="1.1799999475479099"/>
    <n v="1.1799999475479099"/>
    <n v="0"/>
    <n v="0"/>
    <n v="0"/>
    <n v="1.1799999475479099"/>
    <n v="0"/>
    <n v="0"/>
    <n v="0"/>
    <n v="104"/>
    <n v="582"/>
    <x v="79"/>
    <x v="5"/>
    <n v="686"/>
    <s v="Weekend"/>
    <x v="0"/>
  </r>
  <r>
    <x v="16"/>
    <x v="26"/>
    <x v="80"/>
    <n v="3.0999999046325701"/>
    <n v="3.0999999046325701"/>
    <n v="0"/>
    <n v="0"/>
    <n v="0"/>
    <n v="3.0999999046325701"/>
    <n v="0"/>
    <n v="0"/>
    <n v="0"/>
    <n v="238"/>
    <n v="663"/>
    <x v="80"/>
    <x v="1"/>
    <n v="901"/>
    <s v="Weekday"/>
    <x v="0"/>
  </r>
  <r>
    <x v="27"/>
    <x v="11"/>
    <x v="81"/>
    <n v="2.9500000476837198"/>
    <n v="2.9500000476837198"/>
    <n v="0"/>
    <n v="0.20999999344348899"/>
    <n v="0.259999990463257"/>
    <n v="2.4400000572204599"/>
    <n v="0"/>
    <n v="3"/>
    <n v="6"/>
    <n v="88"/>
    <n v="873"/>
    <x v="81"/>
    <x v="4"/>
    <n v="970"/>
    <s v="Weekday"/>
    <x v="0"/>
  </r>
  <r>
    <x v="24"/>
    <x v="6"/>
    <x v="82"/>
    <n v="1.70000004768372"/>
    <n v="1.70000004768372"/>
    <n v="0"/>
    <n v="0"/>
    <n v="0.34999999403953602"/>
    <n v="1.3400000333786"/>
    <n v="0"/>
    <n v="0"/>
    <n v="8"/>
    <n v="160"/>
    <n v="1272"/>
    <x v="82"/>
    <x v="5"/>
    <n v="1440"/>
    <s v="Weekend"/>
    <x v="0"/>
  </r>
  <r>
    <x v="4"/>
    <x v="6"/>
    <x v="83"/>
    <n v="6.9699997901916504"/>
    <n v="6.9699997901916504"/>
    <n v="0"/>
    <n v="0.69999998807907104"/>
    <n v="2.3499999046325701"/>
    <n v="3.9200000762939502"/>
    <n v="0"/>
    <n v="11"/>
    <n v="58"/>
    <n v="205"/>
    <n v="600"/>
    <x v="82"/>
    <x v="5"/>
    <n v="874"/>
    <s v="Weekend"/>
    <x v="3"/>
  </r>
  <r>
    <x v="9"/>
    <x v="7"/>
    <x v="84"/>
    <n v="1.70000004768372"/>
    <n v="1.70000004768372"/>
    <n v="0"/>
    <n v="0"/>
    <n v="0.259999990463257"/>
    <n v="1.45000004768372"/>
    <n v="0"/>
    <n v="0"/>
    <n v="7"/>
    <n v="75"/>
    <n v="585"/>
    <x v="83"/>
    <x v="3"/>
    <n v="667"/>
    <s v="Weekday"/>
    <x v="0"/>
  </r>
  <r>
    <x v="4"/>
    <x v="5"/>
    <x v="85"/>
    <n v="7.75"/>
    <n v="7.75"/>
    <n v="0"/>
    <n v="3.7400000095367401"/>
    <n v="1.29999995231628"/>
    <n v="2.71000003814697"/>
    <n v="0"/>
    <n v="36"/>
    <n v="32"/>
    <n v="150"/>
    <n v="744"/>
    <x v="84"/>
    <x v="4"/>
    <n v="962"/>
    <s v="Weekday"/>
    <x v="3"/>
  </r>
  <r>
    <x v="9"/>
    <x v="20"/>
    <x v="86"/>
    <n v="1.37000000476837"/>
    <n v="1.37000000476837"/>
    <n v="0"/>
    <n v="0"/>
    <n v="0"/>
    <n v="1.37000000476837"/>
    <n v="0"/>
    <n v="0"/>
    <n v="0"/>
    <n v="87"/>
    <n v="1353"/>
    <x v="85"/>
    <x v="3"/>
    <n v="1440"/>
    <s v="Weekday"/>
    <x v="0"/>
  </r>
  <r>
    <x v="4"/>
    <x v="14"/>
    <x v="87"/>
    <n v="7.6199998855590803"/>
    <n v="7.6199998855590803"/>
    <n v="0"/>
    <n v="0.44999998807907099"/>
    <n v="4.2199997901916504"/>
    <n v="2.9500000476837198"/>
    <n v="0"/>
    <n v="7"/>
    <n v="95"/>
    <n v="170"/>
    <n v="797"/>
    <x v="86"/>
    <x v="3"/>
    <n v="1069"/>
    <s v="Weekday"/>
    <x v="3"/>
  </r>
  <r>
    <x v="12"/>
    <x v="6"/>
    <x v="88"/>
    <n v="4.0599999427795401"/>
    <n v="4.0599999427795401"/>
    <n v="0"/>
    <n v="1.0299999713897701"/>
    <n v="1.5199999809265099"/>
    <n v="1.4900000095367401"/>
    <n v="9.9999997764825804E-3"/>
    <n v="15"/>
    <n v="22"/>
    <n v="127"/>
    <n v="1276"/>
    <x v="87"/>
    <x v="5"/>
    <n v="1440"/>
    <s v="Weekend"/>
    <x v="2"/>
  </r>
  <r>
    <x v="4"/>
    <x v="18"/>
    <x v="89"/>
    <n v="7.8299999237060502"/>
    <n v="7.8299999237060502"/>
    <n v="0"/>
    <n v="0.20000000298023199"/>
    <n v="4.3499999046325701"/>
    <n v="3.2799999713897701"/>
    <n v="0"/>
    <n v="2"/>
    <n v="98"/>
    <n v="164"/>
    <n v="845"/>
    <x v="87"/>
    <x v="1"/>
    <n v="1109"/>
    <s v="Weekday"/>
    <x v="3"/>
  </r>
  <r>
    <x v="16"/>
    <x v="15"/>
    <x v="90"/>
    <n v="3.4500000476837198"/>
    <n v="3.4500000476837198"/>
    <n v="0"/>
    <n v="0"/>
    <n v="0"/>
    <n v="3.4500000476837198"/>
    <n v="0"/>
    <n v="0"/>
    <n v="0"/>
    <n v="258"/>
    <n v="610"/>
    <x v="88"/>
    <x v="4"/>
    <n v="868"/>
    <s v="Weekday"/>
    <x v="2"/>
  </r>
  <r>
    <x v="6"/>
    <x v="20"/>
    <x v="0"/>
    <n v="0"/>
    <n v="0"/>
    <n v="0"/>
    <n v="0"/>
    <n v="0"/>
    <n v="0"/>
    <n v="0"/>
    <n v="0"/>
    <n v="0"/>
    <n v="0"/>
    <n v="1440"/>
    <x v="89"/>
    <x v="3"/>
    <n v="1440"/>
    <s v="Weekday"/>
    <x v="0"/>
  </r>
  <r>
    <x v="12"/>
    <x v="30"/>
    <x v="91"/>
    <n v="5.5500001907348597"/>
    <n v="5.5500001907348597"/>
    <n v="0"/>
    <n v="0"/>
    <n v="0"/>
    <n v="5.53999996185303"/>
    <n v="9.9999997764825804E-3"/>
    <n v="0"/>
    <n v="0"/>
    <n v="227"/>
    <n v="1213"/>
    <x v="90"/>
    <x v="2"/>
    <n v="1440"/>
    <s v="Weekend"/>
    <x v="1"/>
  </r>
  <r>
    <x v="10"/>
    <x v="18"/>
    <x v="92"/>
    <n v="1.7699999809265099"/>
    <n v="1.7699999809265099"/>
    <n v="0"/>
    <n v="0"/>
    <n v="0"/>
    <n v="1.7699999809265099"/>
    <n v="0"/>
    <n v="0"/>
    <n v="0"/>
    <n v="148"/>
    <n v="598"/>
    <x v="91"/>
    <x v="1"/>
    <n v="746"/>
    <s v="Weekday"/>
    <x v="0"/>
  </r>
  <r>
    <x v="4"/>
    <x v="13"/>
    <x v="93"/>
    <n v="8.4799995422363299"/>
    <n v="8.4799995422363299"/>
    <n v="0"/>
    <n v="5.6199998855590803"/>
    <n v="0.43000000715255698"/>
    <n v="2.4100000858306898"/>
    <n v="0"/>
    <n v="50"/>
    <n v="9"/>
    <n v="133"/>
    <n v="781"/>
    <x v="91"/>
    <x v="0"/>
    <n v="973"/>
    <s v="Weekday"/>
    <x v="3"/>
  </r>
  <r>
    <x v="12"/>
    <x v="28"/>
    <x v="94"/>
    <n v="5.9200000762939498"/>
    <n v="5.9200000762939498"/>
    <n v="0"/>
    <n v="0"/>
    <n v="0"/>
    <n v="5.9099998474121103"/>
    <n v="9.9999997764825804E-3"/>
    <n v="0"/>
    <n v="0"/>
    <n v="236"/>
    <n v="1204"/>
    <x v="92"/>
    <x v="6"/>
    <n v="1440"/>
    <s v="Weekday"/>
    <x v="1"/>
  </r>
  <r>
    <x v="4"/>
    <x v="4"/>
    <x v="95"/>
    <n v="7.7300000190734899"/>
    <n v="7.7300000190734899"/>
    <n v="0"/>
    <n v="0"/>
    <n v="4.1300001144409197"/>
    <n v="3.5899999141693102"/>
    <n v="0"/>
    <n v="0"/>
    <n v="86"/>
    <n v="208"/>
    <n v="703"/>
    <x v="93"/>
    <x v="3"/>
    <n v="997"/>
    <s v="Weekday"/>
    <x v="3"/>
  </r>
  <r>
    <x v="16"/>
    <x v="13"/>
    <x v="96"/>
    <n v="3.7300000190734899"/>
    <n v="3.7300000190734899"/>
    <n v="0"/>
    <n v="0"/>
    <n v="0"/>
    <n v="3.7300000190734899"/>
    <n v="0"/>
    <n v="0"/>
    <n v="0"/>
    <n v="260"/>
    <n v="821"/>
    <x v="94"/>
    <x v="0"/>
    <n v="1081"/>
    <s v="Weekday"/>
    <x v="2"/>
  </r>
  <r>
    <x v="2"/>
    <x v="25"/>
    <x v="97"/>
    <n v="1.79999995231628"/>
    <n v="1.79999995231628"/>
    <n v="0"/>
    <n v="0.67000001668930098"/>
    <n v="0.77999997138977095"/>
    <n v="0.34000000357627902"/>
    <n v="0"/>
    <n v="11"/>
    <n v="16"/>
    <n v="20"/>
    <n v="1393"/>
    <x v="95"/>
    <x v="6"/>
    <n v="1440"/>
    <s v="Weekday"/>
    <x v="0"/>
  </r>
  <r>
    <x v="4"/>
    <x v="27"/>
    <x v="98"/>
    <n v="7.8000001907348597"/>
    <n v="7.8000001907348597"/>
    <n v="0"/>
    <n v="0.25"/>
    <n v="3.7300000190734899"/>
    <n v="3.8199999332428001"/>
    <n v="0"/>
    <n v="4"/>
    <n v="95"/>
    <n v="214"/>
    <n v="605"/>
    <x v="96"/>
    <x v="0"/>
    <n v="918"/>
    <s v="Weekday"/>
    <x v="3"/>
  </r>
  <r>
    <x v="9"/>
    <x v="22"/>
    <x v="99"/>
    <n v="1.4800000190734901"/>
    <n v="1.4800000190734901"/>
    <n v="0"/>
    <n v="0"/>
    <n v="0"/>
    <n v="1.4800000190734901"/>
    <n v="0"/>
    <n v="0"/>
    <n v="0"/>
    <n v="120"/>
    <n v="1320"/>
    <x v="97"/>
    <x v="6"/>
    <n v="1440"/>
    <s v="Weekday"/>
    <x v="0"/>
  </r>
  <r>
    <x v="4"/>
    <x v="10"/>
    <x v="100"/>
    <n v="8.2799997329711896"/>
    <n v="8.2799997329711896"/>
    <n v="0"/>
    <n v="3.1099998950958301"/>
    <n v="2.5099999904632599"/>
    <n v="2.6700000762939502"/>
    <n v="0"/>
    <n v="29"/>
    <n v="55"/>
    <n v="168"/>
    <n v="676"/>
    <x v="98"/>
    <x v="5"/>
    <n v="928"/>
    <s v="Weekend"/>
    <x v="3"/>
  </r>
  <r>
    <x v="7"/>
    <x v="7"/>
    <x v="101"/>
    <n v="0.83999997377395597"/>
    <n v="0.83999997377395597"/>
    <n v="0"/>
    <n v="0"/>
    <n v="0"/>
    <n v="0.83999997377395597"/>
    <n v="0"/>
    <n v="0"/>
    <n v="0"/>
    <n v="67"/>
    <n v="836"/>
    <x v="99"/>
    <x v="3"/>
    <n v="903"/>
    <s v="Weekday"/>
    <x v="0"/>
  </r>
  <r>
    <x v="16"/>
    <x v="17"/>
    <x v="102"/>
    <n v="3.7699999809265101"/>
    <n v="3.7699999809265101"/>
    <n v="0"/>
    <n v="0"/>
    <n v="0"/>
    <n v="3.7699999809265101"/>
    <n v="0"/>
    <n v="0"/>
    <n v="0"/>
    <n v="286"/>
    <n v="586"/>
    <x v="99"/>
    <x v="1"/>
    <n v="872"/>
    <s v="Weekday"/>
    <x v="2"/>
  </r>
  <r>
    <x v="16"/>
    <x v="14"/>
    <x v="103"/>
    <n v="3.6800000667571999"/>
    <n v="3.6800000667571999"/>
    <n v="0"/>
    <n v="0"/>
    <n v="0"/>
    <n v="3.6800000667571999"/>
    <n v="0"/>
    <n v="0"/>
    <n v="0"/>
    <n v="288"/>
    <n v="1018"/>
    <x v="100"/>
    <x v="3"/>
    <n v="1306"/>
    <s v="Weekday"/>
    <x v="2"/>
  </r>
  <r>
    <x v="16"/>
    <x v="9"/>
    <x v="104"/>
    <n v="3.7200000286102299"/>
    <n v="3.7200000286102299"/>
    <n v="0"/>
    <n v="0"/>
    <n v="0"/>
    <n v="3.7200000286102299"/>
    <n v="0"/>
    <n v="0"/>
    <n v="0"/>
    <n v="304"/>
    <n v="981"/>
    <x v="101"/>
    <x v="2"/>
    <n v="1285"/>
    <s v="Weekend"/>
    <x v="2"/>
  </r>
  <r>
    <x v="12"/>
    <x v="27"/>
    <x v="105"/>
    <n v="7.4099998474121103"/>
    <n v="7.4099998474121103"/>
    <n v="0"/>
    <n v="2.1500000953674299"/>
    <n v="0.62000000476837203"/>
    <n v="4.6199998855590803"/>
    <n v="9.9999997764825804E-3"/>
    <n v="17"/>
    <n v="7"/>
    <n v="202"/>
    <n v="1214"/>
    <x v="101"/>
    <x v="0"/>
    <n v="1440"/>
    <s v="Weekday"/>
    <x v="3"/>
  </r>
  <r>
    <x v="15"/>
    <x v="21"/>
    <x v="106"/>
    <n v="2.28999996185303"/>
    <n v="2.28999996185303"/>
    <n v="0"/>
    <n v="5.9999998658895499E-2"/>
    <n v="0.41999998688697798"/>
    <n v="1.8099999427795399"/>
    <n v="0"/>
    <n v="1"/>
    <n v="10"/>
    <n v="127"/>
    <n v="1302"/>
    <x v="102"/>
    <x v="6"/>
    <n v="1440"/>
    <s v="Weekday"/>
    <x v="0"/>
  </r>
  <r>
    <x v="15"/>
    <x v="16"/>
    <x v="107"/>
    <n v="2.4500000476837198"/>
    <n v="2.4500000476837198"/>
    <n v="0"/>
    <n v="0.36000001430511502"/>
    <n v="0.20999999344348899"/>
    <n v="1.87999999523163"/>
    <n v="0"/>
    <n v="5"/>
    <n v="6"/>
    <n v="123"/>
    <n v="1306"/>
    <x v="103"/>
    <x v="4"/>
    <n v="1440"/>
    <s v="Weekday"/>
    <x v="0"/>
  </r>
  <r>
    <x v="12"/>
    <x v="12"/>
    <x v="108"/>
    <n v="3.9500000476837198"/>
    <n v="3.9500000476837198"/>
    <n v="0"/>
    <n v="1.1499999761581401"/>
    <n v="0.91000002622604403"/>
    <n v="1.8899999856948899"/>
    <n v="0"/>
    <n v="16"/>
    <n v="18"/>
    <n v="185"/>
    <n v="1221"/>
    <x v="104"/>
    <x v="5"/>
    <n v="1440"/>
    <s v="Weekend"/>
    <x v="2"/>
  </r>
  <r>
    <x v="4"/>
    <x v="22"/>
    <x v="109"/>
    <n v="8.5799999237060494"/>
    <n v="8.5799999237060494"/>
    <n v="0"/>
    <n v="1.7599999904632599"/>
    <n v="4.1100001335143999"/>
    <n v="2.71000003814697"/>
    <n v="0"/>
    <n v="14"/>
    <n v="88"/>
    <n v="178"/>
    <n v="680"/>
    <x v="105"/>
    <x v="6"/>
    <n v="960"/>
    <s v="Weekday"/>
    <x v="3"/>
  </r>
  <r>
    <x v="28"/>
    <x v="0"/>
    <x v="110"/>
    <n v="2.5899999141693102"/>
    <n v="2.5899999141693102"/>
    <n v="0"/>
    <n v="0"/>
    <n v="0"/>
    <n v="2.5899999141693102"/>
    <n v="0"/>
    <n v="0"/>
    <n v="0"/>
    <n v="108"/>
    <n v="825"/>
    <x v="106"/>
    <x v="0"/>
    <n v="933"/>
    <s v="Weekday"/>
    <x v="0"/>
  </r>
  <r>
    <x v="4"/>
    <x v="23"/>
    <x v="111"/>
    <n v="9"/>
    <n v="9"/>
    <n v="0"/>
    <n v="2.0299999713897701"/>
    <n v="4"/>
    <n v="2.9700000286102299"/>
    <n v="0"/>
    <n v="31"/>
    <n v="83"/>
    <n v="153"/>
    <n v="663"/>
    <x v="107"/>
    <x v="2"/>
    <n v="930"/>
    <s v="Weekend"/>
    <x v="3"/>
  </r>
  <r>
    <x v="4"/>
    <x v="20"/>
    <x v="112"/>
    <n v="9.4399995803833008"/>
    <n v="9.4399995803833008"/>
    <n v="0"/>
    <n v="1.8099999427795399"/>
    <n v="4.5799999237060502"/>
    <n v="2.8900001049041699"/>
    <n v="0"/>
    <n v="14"/>
    <n v="96"/>
    <n v="142"/>
    <n v="852"/>
    <x v="108"/>
    <x v="3"/>
    <n v="1104"/>
    <s v="Weekday"/>
    <x v="3"/>
  </r>
  <r>
    <x v="17"/>
    <x v="6"/>
    <x v="0"/>
    <n v="0"/>
    <n v="0"/>
    <n v="0"/>
    <n v="0"/>
    <n v="0"/>
    <n v="0"/>
    <n v="0"/>
    <n v="0"/>
    <n v="0"/>
    <n v="0"/>
    <n v="1440"/>
    <x v="109"/>
    <x v="5"/>
    <n v="1440"/>
    <s v="Weekend"/>
    <x v="0"/>
  </r>
  <r>
    <x v="15"/>
    <x v="8"/>
    <x v="113"/>
    <n v="2.0799999237060498"/>
    <n v="2.0799999237060498"/>
    <n v="0"/>
    <n v="0"/>
    <n v="0"/>
    <n v="2.0799999237060498"/>
    <n v="0"/>
    <n v="0"/>
    <n v="0"/>
    <n v="145"/>
    <n v="1295"/>
    <x v="110"/>
    <x v="0"/>
    <n v="1440"/>
    <s v="Weekday"/>
    <x v="0"/>
  </r>
  <r>
    <x v="4"/>
    <x v="1"/>
    <x v="114"/>
    <n v="8.7799997329711896"/>
    <n v="8.7799997329711896"/>
    <n v="0"/>
    <n v="7.0000000298023196E-2"/>
    <n v="5.4000000953674299"/>
    <n v="3.3099999427795401"/>
    <n v="0"/>
    <n v="1"/>
    <n v="115"/>
    <n v="196"/>
    <n v="676"/>
    <x v="110"/>
    <x v="1"/>
    <n v="988"/>
    <s v="Weekday"/>
    <x v="3"/>
  </r>
  <r>
    <x v="7"/>
    <x v="27"/>
    <x v="115"/>
    <n v="1.54999995231628"/>
    <n v="1.54999995231628"/>
    <n v="0"/>
    <n v="7.0000000298023196E-2"/>
    <n v="0.33000001311302202"/>
    <n v="1.12000000476837"/>
    <n v="0"/>
    <n v="1"/>
    <n v="9"/>
    <n v="58"/>
    <n v="824"/>
    <x v="111"/>
    <x v="0"/>
    <n v="892"/>
    <s v="Weekday"/>
    <x v="0"/>
  </r>
  <r>
    <x v="2"/>
    <x v="11"/>
    <x v="116"/>
    <n v="1.7699999809265099"/>
    <n v="1.7699999809265099"/>
    <n v="0"/>
    <n v="0"/>
    <n v="0"/>
    <n v="1.7599999904632599"/>
    <n v="0"/>
    <n v="0"/>
    <n v="0"/>
    <n v="105"/>
    <n v="1335"/>
    <x v="111"/>
    <x v="4"/>
    <n v="1440"/>
    <s v="Weekday"/>
    <x v="0"/>
  </r>
  <r>
    <x v="15"/>
    <x v="14"/>
    <x v="117"/>
    <n v="2.2999999523162802"/>
    <n v="2.2999999523162802"/>
    <n v="0"/>
    <n v="0"/>
    <n v="0"/>
    <n v="2.2999999523162802"/>
    <n v="0"/>
    <n v="0"/>
    <n v="0"/>
    <n v="147"/>
    <n v="1293"/>
    <x v="111"/>
    <x v="3"/>
    <n v="1440"/>
    <s v="Weekday"/>
    <x v="0"/>
  </r>
  <r>
    <x v="4"/>
    <x v="15"/>
    <x v="118"/>
    <n v="9.0900001525878906"/>
    <n v="9.0900001525878906"/>
    <n v="0"/>
    <n v="0.68000000715255704"/>
    <n v="5.2399997711181596"/>
    <n v="3.1700000762939502"/>
    <n v="0"/>
    <n v="9"/>
    <n v="116"/>
    <n v="171"/>
    <n v="688"/>
    <x v="112"/>
    <x v="4"/>
    <n v="984"/>
    <s v="Weekday"/>
    <x v="3"/>
  </r>
  <r>
    <x v="17"/>
    <x v="23"/>
    <x v="119"/>
    <n v="9.9999997764825804E-3"/>
    <n v="9.9999997764825804E-3"/>
    <n v="0"/>
    <n v="0"/>
    <n v="0"/>
    <n v="9.9999997764825804E-3"/>
    <n v="0"/>
    <n v="0"/>
    <n v="0"/>
    <n v="3"/>
    <n v="1437"/>
    <x v="113"/>
    <x v="2"/>
    <n v="1440"/>
    <s v="Weekend"/>
    <x v="0"/>
  </r>
  <r>
    <x v="4"/>
    <x v="30"/>
    <x v="120"/>
    <n v="8.0699996948242205"/>
    <n v="8.0699996948242205"/>
    <n v="0"/>
    <n v="0"/>
    <n v="4.2199997901916504"/>
    <n v="3.8499999046325701"/>
    <n v="0"/>
    <n v="0"/>
    <n v="92"/>
    <n v="252"/>
    <n v="724"/>
    <x v="114"/>
    <x v="2"/>
    <n v="1068"/>
    <s v="Weekend"/>
    <x v="3"/>
  </r>
  <r>
    <x v="4"/>
    <x v="19"/>
    <x v="121"/>
    <n v="8.7799997329711896"/>
    <n v="8.7799997329711896"/>
    <n v="0"/>
    <n v="2.2400000095367401"/>
    <n v="2.4500000476837198"/>
    <n v="3.96000003814697"/>
    <n v="0"/>
    <n v="19"/>
    <n v="67"/>
    <n v="221"/>
    <n v="738"/>
    <x v="114"/>
    <x v="3"/>
    <n v="1045"/>
    <s v="Weekday"/>
    <x v="3"/>
  </r>
  <r>
    <x v="9"/>
    <x v="30"/>
    <x v="122"/>
    <n v="2.3599998950958301"/>
    <n v="2.3599998950958301"/>
    <n v="0"/>
    <n v="0"/>
    <n v="0"/>
    <n v="2.3599998950958301"/>
    <n v="0"/>
    <n v="0"/>
    <n v="0"/>
    <n v="139"/>
    <n v="1301"/>
    <x v="115"/>
    <x v="2"/>
    <n v="1440"/>
    <s v="Weekend"/>
    <x v="0"/>
  </r>
  <r>
    <x v="16"/>
    <x v="25"/>
    <x v="123"/>
    <n v="3.9500000476837198"/>
    <n v="3.9500000476837198"/>
    <n v="0"/>
    <n v="0"/>
    <n v="0"/>
    <n v="3.9500000476837198"/>
    <n v="0"/>
    <n v="0"/>
    <n v="0"/>
    <n v="331"/>
    <n v="626"/>
    <x v="116"/>
    <x v="6"/>
    <n v="957"/>
    <s v="Weekday"/>
    <x v="2"/>
  </r>
  <r>
    <x v="4"/>
    <x v="2"/>
    <x v="124"/>
    <n v="9.1999998092651403"/>
    <n v="9.1999998092651403"/>
    <n v="0"/>
    <n v="3.6900000572204599"/>
    <n v="2.0999999046325701"/>
    <n v="3.4100000858306898"/>
    <n v="0"/>
    <n v="43"/>
    <n v="52"/>
    <n v="194"/>
    <n v="687"/>
    <x v="117"/>
    <x v="2"/>
    <n v="976"/>
    <s v="Weekend"/>
    <x v="3"/>
  </r>
  <r>
    <x v="2"/>
    <x v="24"/>
    <x v="125"/>
    <n v="1.87000000476837"/>
    <n v="1.87000000476837"/>
    <n v="0"/>
    <n v="0"/>
    <n v="0"/>
    <n v="1.87000000476837"/>
    <n v="0"/>
    <n v="0"/>
    <n v="0"/>
    <n v="120"/>
    <n v="1320"/>
    <x v="118"/>
    <x v="4"/>
    <n v="1440"/>
    <s v="Weekday"/>
    <x v="0"/>
  </r>
  <r>
    <x v="15"/>
    <x v="13"/>
    <x v="126"/>
    <n v="2.4200000762939502"/>
    <n v="2.4200000762939502"/>
    <n v="0"/>
    <n v="0.230000004172325"/>
    <n v="0.20000000298023199"/>
    <n v="1.9900000095367401"/>
    <n v="0"/>
    <n v="3"/>
    <n v="5"/>
    <n v="152"/>
    <n v="1280"/>
    <x v="119"/>
    <x v="0"/>
    <n v="1440"/>
    <s v="Weekday"/>
    <x v="0"/>
  </r>
  <r>
    <x v="12"/>
    <x v="2"/>
    <x v="127"/>
    <n v="4.3000001907348597"/>
    <n v="4.3000001907348597"/>
    <n v="0"/>
    <n v="0.89999997615814198"/>
    <n v="1.2799999713897701"/>
    <n v="2.1199998855590798"/>
    <n v="9.9999997764825804E-3"/>
    <n v="11"/>
    <n v="23"/>
    <n v="224"/>
    <n v="1182"/>
    <x v="120"/>
    <x v="2"/>
    <n v="1440"/>
    <s v="Weekend"/>
    <x v="2"/>
  </r>
  <r>
    <x v="4"/>
    <x v="12"/>
    <x v="128"/>
    <n v="10"/>
    <n v="10"/>
    <n v="0"/>
    <n v="3.2699999809265101"/>
    <n v="4.5599999427795401"/>
    <n v="2.1700000762939502"/>
    <n v="0"/>
    <n v="30"/>
    <n v="95"/>
    <n v="129"/>
    <n v="660"/>
    <x v="120"/>
    <x v="5"/>
    <n v="914"/>
    <s v="Weekend"/>
    <x v="3"/>
  </r>
  <r>
    <x v="9"/>
    <x v="23"/>
    <x v="129"/>
    <n v="2.2599999904632599"/>
    <n v="2.2599999904632599"/>
    <n v="0"/>
    <n v="0"/>
    <n v="0"/>
    <n v="2.2599999904632599"/>
    <n v="0"/>
    <n v="0"/>
    <n v="0"/>
    <n v="147"/>
    <n v="1293"/>
    <x v="121"/>
    <x v="2"/>
    <n v="1440"/>
    <s v="Weekend"/>
    <x v="0"/>
  </r>
  <r>
    <x v="16"/>
    <x v="20"/>
    <x v="130"/>
    <n v="4.0700001716613796"/>
    <n v="4.0700001716613796"/>
    <n v="0"/>
    <n v="0"/>
    <n v="0"/>
    <n v="4.0700001716613796"/>
    <n v="0"/>
    <n v="0"/>
    <n v="0"/>
    <n v="345"/>
    <n v="530"/>
    <x v="122"/>
    <x v="3"/>
    <n v="875"/>
    <s v="Weekday"/>
    <x v="2"/>
  </r>
  <r>
    <x v="11"/>
    <x v="15"/>
    <x v="131"/>
    <n v="2.7699999809265101"/>
    <n v="2.7699999809265101"/>
    <n v="0"/>
    <n v="0"/>
    <n v="0.519999980926514"/>
    <n v="2.25"/>
    <n v="0"/>
    <n v="0"/>
    <n v="14"/>
    <n v="151"/>
    <n v="709"/>
    <x v="123"/>
    <x v="4"/>
    <n v="874"/>
    <s v="Weekday"/>
    <x v="0"/>
  </r>
  <r>
    <x v="29"/>
    <x v="3"/>
    <x v="132"/>
    <n v="3.03999996185303"/>
    <n v="3.03999996185303"/>
    <n v="0"/>
    <n v="1.83000004291534"/>
    <n v="0.30000001192092901"/>
    <n v="0.88999998569488503"/>
    <n v="0"/>
    <n v="45"/>
    <n v="15"/>
    <n v="63"/>
    <n v="257"/>
    <x v="124"/>
    <x v="2"/>
    <n v="380"/>
    <s v="Weekend"/>
    <x v="0"/>
  </r>
  <r>
    <x v="16"/>
    <x v="18"/>
    <x v="133"/>
    <n v="4.4800000190734899"/>
    <n v="4.4800000190734899"/>
    <n v="0"/>
    <n v="0"/>
    <n v="0"/>
    <n v="4.4800000190734899"/>
    <n v="0"/>
    <n v="0"/>
    <n v="0"/>
    <n v="327"/>
    <n v="623"/>
    <x v="125"/>
    <x v="1"/>
    <n v="950"/>
    <s v="Weekday"/>
    <x v="2"/>
  </r>
  <r>
    <x v="4"/>
    <x v="8"/>
    <x v="134"/>
    <n v="10.079999923706101"/>
    <n v="10.079999923706101"/>
    <n v="0"/>
    <n v="0.769999980926514"/>
    <n v="5.5999999046325701"/>
    <n v="3.5499999523162802"/>
    <n v="0"/>
    <n v="8"/>
    <n v="122"/>
    <n v="151"/>
    <n v="1159"/>
    <x v="125"/>
    <x v="0"/>
    <n v="1440"/>
    <s v="Weekday"/>
    <x v="3"/>
  </r>
  <r>
    <x v="19"/>
    <x v="24"/>
    <x v="135"/>
    <n v="2.6199998855590798"/>
    <n v="2.6199998855590798"/>
    <n v="0"/>
    <n v="0"/>
    <n v="0"/>
    <n v="2.6099998950958301"/>
    <n v="9.9999997764825804E-3"/>
    <n v="0"/>
    <n v="0"/>
    <n v="206"/>
    <n v="1234"/>
    <x v="126"/>
    <x v="4"/>
    <n v="1440"/>
    <s v="Weekday"/>
    <x v="0"/>
  </r>
  <r>
    <x v="12"/>
    <x v="17"/>
    <x v="136"/>
    <n v="5.4400000572204599"/>
    <n v="5.4400000572204599"/>
    <n v="0"/>
    <n v="1.1100000143051101"/>
    <n v="1.87000000476837"/>
    <n v="2.46000003814697"/>
    <n v="0"/>
    <n v="17"/>
    <n v="36"/>
    <n v="154"/>
    <n v="1233"/>
    <x v="127"/>
    <x v="1"/>
    <n v="1440"/>
    <s v="Weekday"/>
    <x v="1"/>
  </r>
  <r>
    <x v="10"/>
    <x v="27"/>
    <x v="137"/>
    <n v="2.4300000667571999"/>
    <n v="2.4300000667571999"/>
    <n v="0"/>
    <n v="0"/>
    <n v="0"/>
    <n v="2.4300000667571999"/>
    <n v="0"/>
    <n v="0"/>
    <n v="0"/>
    <n v="206"/>
    <n v="622"/>
    <x v="128"/>
    <x v="0"/>
    <n v="828"/>
    <s v="Weekday"/>
    <x v="0"/>
  </r>
  <r>
    <x v="5"/>
    <x v="6"/>
    <x v="0"/>
    <n v="0"/>
    <n v="0"/>
    <n v="0"/>
    <n v="0"/>
    <n v="0"/>
    <n v="0"/>
    <n v="0"/>
    <n v="0"/>
    <n v="0"/>
    <n v="0"/>
    <n v="1440"/>
    <x v="129"/>
    <x v="5"/>
    <n v="1440"/>
    <s v="Weekend"/>
    <x v="0"/>
  </r>
  <r>
    <x v="5"/>
    <x v="27"/>
    <x v="0"/>
    <n v="0"/>
    <n v="0"/>
    <n v="0"/>
    <n v="0"/>
    <n v="0"/>
    <n v="0"/>
    <n v="0"/>
    <n v="0"/>
    <n v="0"/>
    <n v="0"/>
    <n v="1440"/>
    <x v="129"/>
    <x v="0"/>
    <n v="1440"/>
    <s v="Weekday"/>
    <x v="0"/>
  </r>
  <r>
    <x v="5"/>
    <x v="19"/>
    <x v="0"/>
    <n v="0"/>
    <n v="0"/>
    <n v="0"/>
    <n v="0"/>
    <n v="0"/>
    <n v="0"/>
    <n v="0"/>
    <n v="0"/>
    <n v="0"/>
    <n v="0"/>
    <n v="1440"/>
    <x v="129"/>
    <x v="3"/>
    <n v="1440"/>
    <s v="Weekday"/>
    <x v="0"/>
  </r>
  <r>
    <x v="5"/>
    <x v="13"/>
    <x v="0"/>
    <n v="0"/>
    <n v="0"/>
    <n v="0"/>
    <n v="0"/>
    <n v="0"/>
    <n v="0"/>
    <n v="0"/>
    <n v="0"/>
    <n v="0"/>
    <n v="0"/>
    <n v="1440"/>
    <x v="129"/>
    <x v="0"/>
    <n v="1440"/>
    <s v="Weekday"/>
    <x v="0"/>
  </r>
  <r>
    <x v="5"/>
    <x v="22"/>
    <x v="0"/>
    <n v="0"/>
    <n v="0"/>
    <n v="0"/>
    <n v="0"/>
    <n v="0"/>
    <n v="0"/>
    <n v="0"/>
    <n v="0"/>
    <n v="0"/>
    <n v="0"/>
    <n v="1440"/>
    <x v="129"/>
    <x v="6"/>
    <n v="1440"/>
    <s v="Weekday"/>
    <x v="0"/>
  </r>
  <r>
    <x v="5"/>
    <x v="10"/>
    <x v="0"/>
    <n v="0"/>
    <n v="0"/>
    <n v="0"/>
    <n v="0"/>
    <n v="0"/>
    <n v="0"/>
    <n v="0"/>
    <n v="0"/>
    <n v="0"/>
    <n v="0"/>
    <n v="1440"/>
    <x v="129"/>
    <x v="5"/>
    <n v="1440"/>
    <s v="Weekend"/>
    <x v="0"/>
  </r>
  <r>
    <x v="5"/>
    <x v="4"/>
    <x v="0"/>
    <n v="0"/>
    <n v="0"/>
    <n v="0"/>
    <n v="0"/>
    <n v="0"/>
    <n v="0"/>
    <n v="0"/>
    <n v="0"/>
    <n v="0"/>
    <n v="0"/>
    <n v="1440"/>
    <x v="129"/>
    <x v="3"/>
    <n v="1440"/>
    <s v="Weekday"/>
    <x v="0"/>
  </r>
  <r>
    <x v="5"/>
    <x v="15"/>
    <x v="0"/>
    <n v="0"/>
    <n v="0"/>
    <n v="0"/>
    <n v="0"/>
    <n v="0"/>
    <n v="0"/>
    <n v="0"/>
    <n v="0"/>
    <n v="0"/>
    <n v="0"/>
    <n v="1440"/>
    <x v="129"/>
    <x v="4"/>
    <n v="1440"/>
    <s v="Weekday"/>
    <x v="0"/>
  </r>
  <r>
    <x v="5"/>
    <x v="8"/>
    <x v="0"/>
    <n v="0"/>
    <n v="0"/>
    <n v="0"/>
    <n v="0"/>
    <n v="0"/>
    <n v="0"/>
    <n v="0"/>
    <n v="0"/>
    <n v="0"/>
    <n v="0"/>
    <n v="1440"/>
    <x v="129"/>
    <x v="0"/>
    <n v="1440"/>
    <s v="Weekday"/>
    <x v="0"/>
  </r>
  <r>
    <x v="16"/>
    <x v="16"/>
    <x v="138"/>
    <n v="4.3499999046325701"/>
    <n v="4.3499999046325701"/>
    <n v="0"/>
    <n v="0"/>
    <n v="0"/>
    <n v="4.3499999046325701"/>
    <n v="0"/>
    <n v="0"/>
    <n v="0"/>
    <n v="355"/>
    <n v="716"/>
    <x v="130"/>
    <x v="4"/>
    <n v="1071"/>
    <s v="Weekday"/>
    <x v="2"/>
  </r>
  <r>
    <x v="25"/>
    <x v="7"/>
    <x v="139"/>
    <n v="2.2699999809265101"/>
    <n v="2.2699999809265101"/>
    <n v="0"/>
    <n v="0"/>
    <n v="0"/>
    <n v="2.2699999809265101"/>
    <n v="0"/>
    <n v="0"/>
    <n v="0"/>
    <n v="190"/>
    <n v="1121"/>
    <x v="131"/>
    <x v="3"/>
    <n v="1311"/>
    <s v="Weekday"/>
    <x v="0"/>
  </r>
  <r>
    <x v="16"/>
    <x v="5"/>
    <x v="140"/>
    <n v="4.71000003814697"/>
    <n v="4.71000003814697"/>
    <n v="0"/>
    <n v="0"/>
    <n v="0"/>
    <n v="4.71000003814697"/>
    <n v="0"/>
    <n v="0"/>
    <n v="0"/>
    <n v="352"/>
    <n v="492"/>
    <x v="131"/>
    <x v="4"/>
    <n v="844"/>
    <s v="Weekday"/>
    <x v="1"/>
  </r>
  <r>
    <x v="10"/>
    <x v="3"/>
    <x v="141"/>
    <n v="3.2200000286102299"/>
    <n v="3.2200000286102299"/>
    <n v="0"/>
    <n v="0"/>
    <n v="0"/>
    <n v="3.2200000286102299"/>
    <n v="0"/>
    <n v="0"/>
    <n v="0"/>
    <n v="195"/>
    <n v="628"/>
    <x v="132"/>
    <x v="2"/>
    <n v="823"/>
    <s v="Weekend"/>
    <x v="0"/>
  </r>
  <r>
    <x v="15"/>
    <x v="28"/>
    <x v="142"/>
    <n v="2.6800000667571999"/>
    <n v="2.6800000667571999"/>
    <n v="0"/>
    <n v="0"/>
    <n v="0"/>
    <n v="2.6800000667571999"/>
    <n v="0"/>
    <n v="0"/>
    <n v="0"/>
    <n v="191"/>
    <n v="1249"/>
    <x v="133"/>
    <x v="6"/>
    <n v="1440"/>
    <s v="Weekday"/>
    <x v="0"/>
  </r>
  <r>
    <x v="10"/>
    <x v="20"/>
    <x v="143"/>
    <n v="2.7699999809265101"/>
    <n v="2.7699999809265101"/>
    <n v="0"/>
    <n v="0"/>
    <n v="0"/>
    <n v="2.7699999809265101"/>
    <n v="0"/>
    <n v="0"/>
    <n v="0"/>
    <n v="224"/>
    <n v="651"/>
    <x v="134"/>
    <x v="3"/>
    <n v="875"/>
    <s v="Weekday"/>
    <x v="0"/>
  </r>
  <r>
    <x v="16"/>
    <x v="3"/>
    <x v="144"/>
    <n v="5.3200001716613796"/>
    <n v="5.3200001716613796"/>
    <n v="0"/>
    <n v="0"/>
    <n v="0"/>
    <n v="5.3200001716613796"/>
    <n v="0"/>
    <n v="0"/>
    <n v="0"/>
    <n v="330"/>
    <n v="569"/>
    <x v="134"/>
    <x v="2"/>
    <n v="899"/>
    <s v="Weekend"/>
    <x v="1"/>
  </r>
  <r>
    <x v="11"/>
    <x v="12"/>
    <x v="145"/>
    <n v="3.3199999332428001"/>
    <n v="3.3199999332428001"/>
    <n v="0"/>
    <n v="0"/>
    <n v="0"/>
    <n v="3.3199999332428001"/>
    <n v="0"/>
    <n v="0"/>
    <n v="0"/>
    <n v="199"/>
    <n v="720"/>
    <x v="135"/>
    <x v="5"/>
    <n v="919"/>
    <s v="Weekend"/>
    <x v="2"/>
  </r>
  <r>
    <x v="2"/>
    <x v="28"/>
    <x v="146"/>
    <n v="3.46000003814697"/>
    <n v="3.46000003814697"/>
    <n v="0"/>
    <n v="1.9299999475479099"/>
    <n v="0.99000000953674305"/>
    <n v="0.54000002145767201"/>
    <n v="0"/>
    <n v="29"/>
    <n v="16"/>
    <n v="33"/>
    <n v="1362"/>
    <x v="135"/>
    <x v="6"/>
    <n v="1440"/>
    <s v="Weekday"/>
    <x v="2"/>
  </r>
  <r>
    <x v="4"/>
    <x v="9"/>
    <x v="147"/>
    <n v="9.5900001525878906"/>
    <n v="9.5900001525878906"/>
    <n v="0"/>
    <n v="3.3199999332428001"/>
    <n v="1.7400000095367401"/>
    <n v="4.5300002098083496"/>
    <n v="0"/>
    <n v="47"/>
    <n v="41"/>
    <n v="258"/>
    <n v="594"/>
    <x v="136"/>
    <x v="2"/>
    <n v="940"/>
    <s v="Weekend"/>
    <x v="3"/>
  </r>
  <r>
    <x v="10"/>
    <x v="26"/>
    <x v="148"/>
    <n v="3.1600000858306898"/>
    <n v="3.1600000858306898"/>
    <n v="0"/>
    <n v="0"/>
    <n v="0"/>
    <n v="3.1600000858306898"/>
    <n v="0"/>
    <n v="0"/>
    <n v="0"/>
    <n v="226"/>
    <n v="647"/>
    <x v="137"/>
    <x v="1"/>
    <n v="873"/>
    <s v="Weekday"/>
    <x v="0"/>
  </r>
  <r>
    <x v="11"/>
    <x v="26"/>
    <x v="149"/>
    <n v="3.7400000095367401"/>
    <n v="3.7400000095367401"/>
    <n v="0"/>
    <n v="0.56999999284744296"/>
    <n v="1.21000003814697"/>
    <n v="1.96000003814697"/>
    <n v="0"/>
    <n v="8"/>
    <n v="24"/>
    <n v="142"/>
    <n v="548"/>
    <x v="137"/>
    <x v="1"/>
    <n v="722"/>
    <s v="Weekday"/>
    <x v="2"/>
  </r>
  <r>
    <x v="5"/>
    <x v="21"/>
    <x v="150"/>
    <n v="9.00000035762787E-2"/>
    <n v="9.00000035762787E-2"/>
    <n v="0"/>
    <n v="0"/>
    <n v="0"/>
    <n v="9.00000035762787E-2"/>
    <n v="0"/>
    <n v="0"/>
    <n v="0"/>
    <n v="9"/>
    <n v="1431"/>
    <x v="138"/>
    <x v="6"/>
    <n v="1440"/>
    <s v="Weekday"/>
    <x v="0"/>
  </r>
  <r>
    <x v="5"/>
    <x v="23"/>
    <x v="151"/>
    <n v="0.15999999642372101"/>
    <n v="0.15999999642372101"/>
    <n v="0"/>
    <n v="0"/>
    <n v="0"/>
    <n v="0.15999999642372101"/>
    <n v="0"/>
    <n v="0"/>
    <n v="0"/>
    <n v="12"/>
    <n v="1428"/>
    <x v="139"/>
    <x v="2"/>
    <n v="1440"/>
    <s v="Weekend"/>
    <x v="0"/>
  </r>
  <r>
    <x v="25"/>
    <x v="10"/>
    <x v="152"/>
    <n v="2.4800000190734899"/>
    <n v="2.4800000190734899"/>
    <n v="0"/>
    <n v="0"/>
    <n v="0"/>
    <n v="2.4800000190734899"/>
    <n v="0"/>
    <n v="0"/>
    <n v="0"/>
    <n v="202"/>
    <n v="1238"/>
    <x v="140"/>
    <x v="5"/>
    <n v="1440"/>
    <s v="Weekend"/>
    <x v="0"/>
  </r>
  <r>
    <x v="25"/>
    <x v="26"/>
    <x v="153"/>
    <n v="3.28999996185303"/>
    <n v="3.28999996185303"/>
    <n v="0"/>
    <n v="1.2400000095367401"/>
    <n v="0.43999999761581399"/>
    <n v="1.6100000143051101"/>
    <n v="0"/>
    <n v="19"/>
    <n v="7"/>
    <n v="127"/>
    <n v="1287"/>
    <x v="140"/>
    <x v="1"/>
    <n v="1440"/>
    <s v="Weekday"/>
    <x v="0"/>
  </r>
  <r>
    <x v="15"/>
    <x v="23"/>
    <x v="154"/>
    <n v="3.4100000858306898"/>
    <n v="3.4100000858306898"/>
    <n v="0"/>
    <n v="0"/>
    <n v="0"/>
    <n v="3.4000000953674299"/>
    <n v="0"/>
    <n v="0"/>
    <n v="0"/>
    <n v="195"/>
    <n v="1245"/>
    <x v="141"/>
    <x v="2"/>
    <n v="1440"/>
    <s v="Weekend"/>
    <x v="2"/>
  </r>
  <r>
    <x v="9"/>
    <x v="11"/>
    <x v="155"/>
    <n v="2.53999996185303"/>
    <n v="2.53999996185303"/>
    <n v="0"/>
    <n v="0"/>
    <n v="0"/>
    <n v="2.53999996185303"/>
    <n v="0"/>
    <n v="0"/>
    <n v="0"/>
    <n v="176"/>
    <n v="527"/>
    <x v="142"/>
    <x v="4"/>
    <n v="703"/>
    <s v="Weekday"/>
    <x v="0"/>
  </r>
  <r>
    <x v="15"/>
    <x v="12"/>
    <x v="156"/>
    <n v="2.8099999427795401"/>
    <n v="2.8099999427795401"/>
    <n v="0"/>
    <n v="0"/>
    <n v="0"/>
    <n v="2.7999999523162802"/>
    <n v="0"/>
    <n v="0"/>
    <n v="0"/>
    <n v="204"/>
    <n v="1236"/>
    <x v="142"/>
    <x v="5"/>
    <n v="1440"/>
    <s v="Weekend"/>
    <x v="0"/>
  </r>
  <r>
    <x v="0"/>
    <x v="6"/>
    <x v="157"/>
    <n v="6.4800000190734899"/>
    <n v="6.4800000190734899"/>
    <n v="0"/>
    <n v="3.1900000572204599"/>
    <n v="0.77999997138977095"/>
    <n v="2.5099999904632599"/>
    <n v="0"/>
    <n v="38"/>
    <n v="20"/>
    <n v="164"/>
    <n v="539"/>
    <x v="143"/>
    <x v="5"/>
    <n v="761"/>
    <s v="Weekend"/>
    <x v="1"/>
  </r>
  <r>
    <x v="16"/>
    <x v="10"/>
    <x v="158"/>
    <n v="5.0799999237060502"/>
    <n v="5.0799999237060502"/>
    <n v="0"/>
    <n v="0"/>
    <n v="0"/>
    <n v="5.0799999237060502"/>
    <n v="0"/>
    <n v="0"/>
    <n v="0"/>
    <n v="383"/>
    <n v="511"/>
    <x v="144"/>
    <x v="5"/>
    <n v="894"/>
    <s v="Weekend"/>
    <x v="1"/>
  </r>
  <r>
    <x v="24"/>
    <x v="7"/>
    <x v="159"/>
    <n v="4.9699997901916504"/>
    <n v="4.9699997901916504"/>
    <n v="0"/>
    <n v="0.490000009536743"/>
    <n v="1.03999996185303"/>
    <n v="3.4400000572204599"/>
    <n v="0"/>
    <n v="7"/>
    <n v="18"/>
    <n v="196"/>
    <n v="1219"/>
    <x v="145"/>
    <x v="3"/>
    <n v="1440"/>
    <s v="Weekday"/>
    <x v="2"/>
  </r>
  <r>
    <x v="11"/>
    <x v="7"/>
    <x v="160"/>
    <n v="3.6099998950958301"/>
    <n v="3.6099998950958301"/>
    <n v="0"/>
    <n v="0"/>
    <n v="0"/>
    <n v="3.6099998950958301"/>
    <n v="0"/>
    <n v="0"/>
    <n v="0"/>
    <n v="215"/>
    <n v="722"/>
    <x v="146"/>
    <x v="3"/>
    <n v="937"/>
    <s v="Weekday"/>
    <x v="2"/>
  </r>
  <r>
    <x v="0"/>
    <x v="15"/>
    <x v="161"/>
    <n v="6.5799999237060502"/>
    <n v="6.5799999237060502"/>
    <n v="0"/>
    <n v="3.5299999713897701"/>
    <n v="0.31999999284744302"/>
    <n v="2.7300000190734899"/>
    <n v="0"/>
    <n v="44"/>
    <n v="8"/>
    <n v="203"/>
    <n v="574"/>
    <x v="146"/>
    <x v="4"/>
    <n v="829"/>
    <s v="Weekday"/>
    <x v="3"/>
  </r>
  <r>
    <x v="9"/>
    <x v="9"/>
    <x v="162"/>
    <n v="2.6800000667571999"/>
    <n v="2.6800000667571999"/>
    <n v="0"/>
    <n v="0"/>
    <n v="0"/>
    <n v="2.6800000667571999"/>
    <n v="0"/>
    <n v="0"/>
    <n v="0"/>
    <n v="184"/>
    <n v="1256"/>
    <x v="147"/>
    <x v="2"/>
    <n v="1440"/>
    <s v="Weekend"/>
    <x v="0"/>
  </r>
  <r>
    <x v="15"/>
    <x v="10"/>
    <x v="163"/>
    <n v="3.28999996185303"/>
    <n v="3.28999996185303"/>
    <n v="0"/>
    <n v="0"/>
    <n v="0"/>
    <n v="3.28999996185303"/>
    <n v="0"/>
    <n v="0"/>
    <n v="0"/>
    <n v="204"/>
    <n v="1236"/>
    <x v="147"/>
    <x v="5"/>
    <n v="1440"/>
    <s v="Weekend"/>
    <x v="0"/>
  </r>
  <r>
    <x v="0"/>
    <x v="11"/>
    <x v="164"/>
    <n v="6.2800002098083496"/>
    <n v="6.2800002098083496"/>
    <n v="0"/>
    <n v="2.1400001049041699"/>
    <n v="1.2599999904632599"/>
    <n v="2.8299999237060498"/>
    <n v="0"/>
    <n v="29"/>
    <n v="34"/>
    <n v="209"/>
    <n v="726"/>
    <x v="148"/>
    <x v="4"/>
    <n v="998"/>
    <s v="Weekday"/>
    <x v="1"/>
  </r>
  <r>
    <x v="10"/>
    <x v="7"/>
    <x v="165"/>
    <n v="3.3699998855590798"/>
    <n v="3.3699998855590798"/>
    <n v="0"/>
    <n v="0"/>
    <n v="0"/>
    <n v="3.3699998855590798"/>
    <n v="0"/>
    <n v="0"/>
    <n v="0"/>
    <n v="237"/>
    <n v="436"/>
    <x v="149"/>
    <x v="3"/>
    <n v="673"/>
    <s v="Weekday"/>
    <x v="2"/>
  </r>
  <r>
    <x v="11"/>
    <x v="11"/>
    <x v="166"/>
    <n v="3.6800000667571999"/>
    <n v="3.6800000667571999"/>
    <n v="0"/>
    <n v="0"/>
    <n v="0"/>
    <n v="3.6800000667571999"/>
    <n v="0"/>
    <n v="0"/>
    <n v="0"/>
    <n v="217"/>
    <n v="837"/>
    <x v="150"/>
    <x v="4"/>
    <n v="1054"/>
    <s v="Weekday"/>
    <x v="2"/>
  </r>
  <r>
    <x v="4"/>
    <x v="16"/>
    <x v="167"/>
    <n v="11.050000190734901"/>
    <n v="11.050000190734901"/>
    <n v="0"/>
    <n v="1.53999996185303"/>
    <n v="6.4800000190734899"/>
    <n v="3.0199999809265101"/>
    <n v="0"/>
    <n v="24"/>
    <n v="143"/>
    <n v="176"/>
    <n v="713"/>
    <x v="151"/>
    <x v="4"/>
    <n v="1056"/>
    <s v="Weekday"/>
    <x v="3"/>
  </r>
  <r>
    <x v="10"/>
    <x v="15"/>
    <x v="168"/>
    <n v="4"/>
    <n v="4"/>
    <n v="0"/>
    <n v="0.21999999880790699"/>
    <n v="0.46999999880790699"/>
    <n v="3.2999999523162802"/>
    <n v="0"/>
    <n v="3"/>
    <n v="8"/>
    <n v="210"/>
    <n v="505"/>
    <x v="152"/>
    <x v="4"/>
    <n v="726"/>
    <s v="Weekday"/>
    <x v="2"/>
  </r>
  <r>
    <x v="9"/>
    <x v="2"/>
    <x v="169"/>
    <n v="2.6700000762939502"/>
    <n v="2.6700000762939502"/>
    <n v="0"/>
    <n v="0"/>
    <n v="0"/>
    <n v="2.6500000953674299"/>
    <n v="0"/>
    <n v="0"/>
    <n v="0"/>
    <n v="184"/>
    <n v="218"/>
    <x v="153"/>
    <x v="2"/>
    <n v="402"/>
    <s v="Weekend"/>
    <x v="0"/>
  </r>
  <r>
    <x v="2"/>
    <x v="19"/>
    <x v="170"/>
    <n v="2.7799999713897701"/>
    <n v="2.7799999713897701"/>
    <n v="0"/>
    <n v="0"/>
    <n v="0"/>
    <n v="2.7799999713897701"/>
    <n v="0"/>
    <n v="0"/>
    <n v="0"/>
    <n v="164"/>
    <n v="1276"/>
    <x v="153"/>
    <x v="3"/>
    <n v="1440"/>
    <s v="Weekday"/>
    <x v="0"/>
  </r>
  <r>
    <x v="0"/>
    <x v="21"/>
    <x v="171"/>
    <n v="6.3400001525878897"/>
    <n v="6.3400001525878897"/>
    <n v="0"/>
    <n v="1.3400000333786"/>
    <n v="0.34999999403953602"/>
    <n v="4.6500000953674299"/>
    <n v="0"/>
    <n v="19"/>
    <n v="8"/>
    <n v="211"/>
    <n v="838"/>
    <x v="154"/>
    <x v="6"/>
    <n v="1076"/>
    <s v="Weekday"/>
    <x v="1"/>
  </r>
  <r>
    <x v="27"/>
    <x v="28"/>
    <x v="0"/>
    <n v="0"/>
    <n v="0"/>
    <n v="0"/>
    <n v="0"/>
    <n v="0"/>
    <n v="0"/>
    <n v="0"/>
    <n v="0"/>
    <n v="0"/>
    <n v="0"/>
    <n v="1440"/>
    <x v="155"/>
    <x v="6"/>
    <n v="1440"/>
    <s v="Weekday"/>
    <x v="0"/>
  </r>
  <r>
    <x v="10"/>
    <x v="30"/>
    <x v="172"/>
    <n v="2.6900000572204599"/>
    <n v="2.6900000572204599"/>
    <n v="0"/>
    <n v="0"/>
    <n v="0"/>
    <n v="2.6800000667571999"/>
    <n v="0"/>
    <n v="0"/>
    <n v="0"/>
    <n v="272"/>
    <n v="443"/>
    <x v="155"/>
    <x v="2"/>
    <n v="715"/>
    <s v="Weekend"/>
    <x v="0"/>
  </r>
  <r>
    <x v="0"/>
    <x v="28"/>
    <x v="173"/>
    <n v="6.7399997711181596"/>
    <n v="6.7399997711181596"/>
    <n v="0"/>
    <n v="2.4400000572204599"/>
    <n v="0.40000000596046398"/>
    <n v="3.9100000858306898"/>
    <n v="0"/>
    <n v="30"/>
    <n v="11"/>
    <n v="181"/>
    <n v="1218"/>
    <x v="155"/>
    <x v="6"/>
    <n v="1440"/>
    <s v="Weekday"/>
    <x v="3"/>
  </r>
  <r>
    <x v="15"/>
    <x v="2"/>
    <x v="174"/>
    <n v="3.0799999237060498"/>
    <n v="3.0799999237060498"/>
    <n v="0"/>
    <n v="0"/>
    <n v="0"/>
    <n v="3.0699999332428001"/>
    <n v="0"/>
    <n v="0"/>
    <n v="0"/>
    <n v="234"/>
    <n v="1206"/>
    <x v="156"/>
    <x v="2"/>
    <n v="1440"/>
    <s v="Weekend"/>
    <x v="0"/>
  </r>
  <r>
    <x v="15"/>
    <x v="22"/>
    <x v="175"/>
    <n v="3.5099999904632599"/>
    <n v="3.5099999904632599"/>
    <n v="0"/>
    <n v="0"/>
    <n v="0.38999998569488498"/>
    <n v="3.1099998950958301"/>
    <n v="0"/>
    <n v="0"/>
    <n v="11"/>
    <n v="223"/>
    <n v="1206"/>
    <x v="157"/>
    <x v="6"/>
    <n v="1440"/>
    <s v="Weekday"/>
    <x v="2"/>
  </r>
  <r>
    <x v="24"/>
    <x v="5"/>
    <x v="176"/>
    <n v="4.9499998092651403"/>
    <n v="4.9499998092651403"/>
    <n v="0"/>
    <n v="1.3600000143051101"/>
    <n v="1.4099999666214"/>
    <n v="2.1800000667571999"/>
    <n v="0"/>
    <n v="20"/>
    <n v="23"/>
    <n v="206"/>
    <n v="1191"/>
    <x v="157"/>
    <x v="4"/>
    <n v="1440"/>
    <s v="Weekday"/>
    <x v="2"/>
  </r>
  <r>
    <x v="0"/>
    <x v="3"/>
    <x v="177"/>
    <n v="8.1300001144409197"/>
    <n v="8.1300001144409197"/>
    <n v="0"/>
    <n v="2.5599999427795401"/>
    <n v="1.0099999904632599"/>
    <n v="4.5500001907348597"/>
    <n v="0"/>
    <n v="36"/>
    <n v="23"/>
    <n v="251"/>
    <n v="669"/>
    <x v="158"/>
    <x v="2"/>
    <n v="979"/>
    <s v="Weekend"/>
    <x v="3"/>
  </r>
  <r>
    <x v="0"/>
    <x v="18"/>
    <x v="178"/>
    <n v="6.6799998283386204"/>
    <n v="6.6799998283386204"/>
    <n v="0"/>
    <n v="1.96000003814697"/>
    <n v="0.479999989271164"/>
    <n v="4.2399997711181596"/>
    <n v="0"/>
    <n v="28"/>
    <n v="12"/>
    <n v="205"/>
    <n v="818"/>
    <x v="159"/>
    <x v="1"/>
    <n v="1063"/>
    <s v="Weekday"/>
    <x v="3"/>
  </r>
  <r>
    <x v="19"/>
    <x v="29"/>
    <x v="179"/>
    <n v="3.2400000095367401"/>
    <n v="3.2400000095367401"/>
    <n v="0"/>
    <n v="0"/>
    <n v="0"/>
    <n v="3.2300000190734899"/>
    <n v="9.9999997764825804E-3"/>
    <n v="0"/>
    <n v="0"/>
    <n v="280"/>
    <n v="1160"/>
    <x v="160"/>
    <x v="5"/>
    <n v="1440"/>
    <s v="Weekend"/>
    <x v="0"/>
  </r>
  <r>
    <x v="25"/>
    <x v="18"/>
    <x v="180"/>
    <n v="3.1700000762939502"/>
    <n v="3.1700000762939502"/>
    <n v="0"/>
    <n v="0"/>
    <n v="0"/>
    <n v="3.1700000762939502"/>
    <n v="0"/>
    <n v="0"/>
    <n v="0"/>
    <n v="222"/>
    <n v="1218"/>
    <x v="160"/>
    <x v="1"/>
    <n v="1440"/>
    <s v="Weekday"/>
    <x v="0"/>
  </r>
  <r>
    <x v="0"/>
    <x v="12"/>
    <x v="181"/>
    <n v="6.4099998474121103"/>
    <n v="6.4099998474121103"/>
    <n v="0"/>
    <n v="2.9200000762939502"/>
    <n v="0.20999999344348899"/>
    <n v="3.2799999713897701"/>
    <n v="0"/>
    <n v="39"/>
    <n v="5"/>
    <n v="238"/>
    <n v="709"/>
    <x v="160"/>
    <x v="5"/>
    <n v="991"/>
    <s v="Weekend"/>
    <x v="3"/>
  </r>
  <r>
    <x v="7"/>
    <x v="15"/>
    <x v="182"/>
    <n v="2.46000003814697"/>
    <n v="2.46000003814697"/>
    <n v="0"/>
    <n v="0"/>
    <n v="0"/>
    <n v="2.46000003814697"/>
    <n v="0"/>
    <n v="0"/>
    <n v="0"/>
    <n v="153"/>
    <n v="603"/>
    <x v="161"/>
    <x v="4"/>
    <n v="756"/>
    <s v="Weekday"/>
    <x v="0"/>
  </r>
  <r>
    <x v="7"/>
    <x v="21"/>
    <x v="183"/>
    <n v="2.4800000190734899"/>
    <n v="2.4800000190734899"/>
    <n v="0"/>
    <n v="0"/>
    <n v="0"/>
    <n v="0.34999999403953602"/>
    <n v="0"/>
    <n v="0"/>
    <n v="0"/>
    <n v="34"/>
    <n v="1265"/>
    <x v="161"/>
    <x v="6"/>
    <n v="1299"/>
    <s v="Weekday"/>
    <x v="0"/>
  </r>
  <r>
    <x v="9"/>
    <x v="6"/>
    <x v="184"/>
    <n v="2.9900000095367401"/>
    <n v="2.9900000095367401"/>
    <n v="0"/>
    <n v="0.140000000596046"/>
    <n v="0.259999990463257"/>
    <n v="2.5899999141693102"/>
    <n v="0"/>
    <n v="2"/>
    <n v="8"/>
    <n v="199"/>
    <n v="1231"/>
    <x v="162"/>
    <x v="5"/>
    <n v="1440"/>
    <s v="Weekend"/>
    <x v="0"/>
  </r>
  <r>
    <x v="0"/>
    <x v="26"/>
    <x v="185"/>
    <n v="6.9699997901916504"/>
    <n v="6.9699997901916504"/>
    <n v="0"/>
    <n v="1.5700000524520901"/>
    <n v="0.68999999761581399"/>
    <n v="4.71000003814697"/>
    <n v="0"/>
    <n v="21"/>
    <n v="19"/>
    <n v="217"/>
    <n v="776"/>
    <x v="163"/>
    <x v="1"/>
    <n v="1033"/>
    <s v="Weekday"/>
    <x v="3"/>
  </r>
  <r>
    <x v="5"/>
    <x v="12"/>
    <x v="186"/>
    <n v="0.259999990463257"/>
    <n v="0.259999990463257"/>
    <n v="0"/>
    <n v="3.9999999105930301E-2"/>
    <n v="5.0000000745058101E-2"/>
    <n v="0.15999999642372101"/>
    <n v="0"/>
    <n v="3"/>
    <n v="8"/>
    <n v="19"/>
    <n v="1410"/>
    <x v="164"/>
    <x v="5"/>
    <n v="1440"/>
    <s v="Weekend"/>
    <x v="0"/>
  </r>
  <r>
    <x v="15"/>
    <x v="11"/>
    <x v="187"/>
    <n v="3.5099999904632599"/>
    <n v="3.5099999904632599"/>
    <n v="0"/>
    <n v="0"/>
    <n v="0"/>
    <n v="3.5099999904632599"/>
    <n v="0"/>
    <n v="0"/>
    <n v="0"/>
    <n v="245"/>
    <n v="1195"/>
    <x v="165"/>
    <x v="4"/>
    <n v="1440"/>
    <s v="Weekday"/>
    <x v="2"/>
  </r>
  <r>
    <x v="15"/>
    <x v="30"/>
    <x v="188"/>
    <n v="3.4200000762939502"/>
    <n v="3.4200000762939502"/>
    <n v="0"/>
    <n v="0"/>
    <n v="0"/>
    <n v="3.4200000762939502"/>
    <n v="0"/>
    <n v="0"/>
    <n v="0"/>
    <n v="242"/>
    <n v="1129"/>
    <x v="166"/>
    <x v="2"/>
    <n v="1371"/>
    <s v="Weekend"/>
    <x v="2"/>
  </r>
  <r>
    <x v="15"/>
    <x v="19"/>
    <x v="189"/>
    <n v="4.03999996185303"/>
    <n v="4.03999996185303"/>
    <n v="0"/>
    <n v="0"/>
    <n v="0.37999999523162797"/>
    <n v="3.6600000858306898"/>
    <n v="0"/>
    <n v="0"/>
    <n v="11"/>
    <n v="228"/>
    <n v="1201"/>
    <x v="167"/>
    <x v="3"/>
    <n v="1440"/>
    <s v="Weekday"/>
    <x v="2"/>
  </r>
  <r>
    <x v="2"/>
    <x v="14"/>
    <x v="190"/>
    <n v="3.03999996185303"/>
    <n v="3.03999996185303"/>
    <n v="0"/>
    <n v="1.1799999475479099"/>
    <n v="0.490000009536743"/>
    <n v="1.37000000476837"/>
    <n v="0"/>
    <n v="19"/>
    <n v="14"/>
    <n v="108"/>
    <n v="1299"/>
    <x v="168"/>
    <x v="3"/>
    <n v="1440"/>
    <s v="Weekday"/>
    <x v="0"/>
  </r>
  <r>
    <x v="9"/>
    <x v="27"/>
    <x v="191"/>
    <n v="3.03999996185303"/>
    <n v="3.03999996185303"/>
    <n v="0"/>
    <n v="0"/>
    <n v="0.479999989271164"/>
    <n v="2.5599999427795401"/>
    <n v="0"/>
    <n v="0"/>
    <n v="12"/>
    <n v="217"/>
    <n v="1211"/>
    <x v="169"/>
    <x v="0"/>
    <n v="1440"/>
    <s v="Weekday"/>
    <x v="0"/>
  </r>
  <r>
    <x v="29"/>
    <x v="4"/>
    <x v="0"/>
    <n v="0"/>
    <n v="0"/>
    <n v="0"/>
    <n v="0"/>
    <n v="0"/>
    <n v="0"/>
    <n v="0"/>
    <n v="0"/>
    <n v="0"/>
    <n v="0"/>
    <n v="1440"/>
    <x v="170"/>
    <x v="3"/>
    <n v="1440"/>
    <s v="Weekday"/>
    <x v="0"/>
  </r>
  <r>
    <x v="29"/>
    <x v="15"/>
    <x v="0"/>
    <n v="0"/>
    <n v="0"/>
    <n v="0"/>
    <n v="0"/>
    <n v="0"/>
    <n v="0"/>
    <n v="0"/>
    <n v="0"/>
    <n v="0"/>
    <n v="0"/>
    <n v="1440"/>
    <x v="170"/>
    <x v="4"/>
    <n v="1440"/>
    <s v="Weekday"/>
    <x v="0"/>
  </r>
  <r>
    <x v="0"/>
    <x v="20"/>
    <x v="192"/>
    <n v="7.1500000953674299"/>
    <n v="7.1500000953674299"/>
    <n v="0"/>
    <n v="2.46000003814697"/>
    <n v="0.87000000476837203"/>
    <n v="3.8199999332428001"/>
    <n v="0"/>
    <n v="36"/>
    <n v="22"/>
    <n v="203"/>
    <n v="1179"/>
    <x v="170"/>
    <x v="3"/>
    <n v="1440"/>
    <s v="Weekday"/>
    <x v="3"/>
  </r>
  <r>
    <x v="0"/>
    <x v="8"/>
    <x v="193"/>
    <n v="7.7199997901916504"/>
    <n v="7.7199997901916504"/>
    <n v="0"/>
    <n v="3.4500000476837198"/>
    <n v="0.52999997138977095"/>
    <n v="3.7400000095367401"/>
    <n v="0"/>
    <n v="46"/>
    <n v="11"/>
    <n v="206"/>
    <n v="835"/>
    <x v="170"/>
    <x v="0"/>
    <n v="1098"/>
    <s v="Weekday"/>
    <x v="3"/>
  </r>
  <r>
    <x v="0"/>
    <x v="7"/>
    <x v="194"/>
    <n v="6.8099999427795401"/>
    <n v="6.8099999427795401"/>
    <n v="0"/>
    <n v="2.28999996185303"/>
    <n v="1.6000000238418599"/>
    <n v="2.9200000762939502"/>
    <n v="0"/>
    <n v="33"/>
    <n v="35"/>
    <n v="246"/>
    <n v="730"/>
    <x v="171"/>
    <x v="3"/>
    <n v="1044"/>
    <s v="Weekday"/>
    <x v="3"/>
  </r>
  <r>
    <x v="15"/>
    <x v="15"/>
    <x v="195"/>
    <n v="3.4800000190734899"/>
    <n v="3.4800000190734899"/>
    <n v="0"/>
    <n v="0"/>
    <n v="0"/>
    <n v="3.4700000286102299"/>
    <n v="0"/>
    <n v="0"/>
    <n v="0"/>
    <n v="247"/>
    <n v="1193"/>
    <x v="172"/>
    <x v="4"/>
    <n v="1440"/>
    <s v="Weekday"/>
    <x v="2"/>
  </r>
  <r>
    <x v="0"/>
    <x v="4"/>
    <x v="196"/>
    <n v="7.71000003814697"/>
    <n v="7.71000003814697"/>
    <n v="0"/>
    <n v="2.46000003814697"/>
    <n v="2.1199998855590798"/>
    <n v="3.1300001144409202"/>
    <n v="0"/>
    <n v="37"/>
    <n v="46"/>
    <n v="175"/>
    <n v="833"/>
    <x v="172"/>
    <x v="3"/>
    <n v="1091"/>
    <s v="Weekday"/>
    <x v="3"/>
  </r>
  <r>
    <x v="24"/>
    <x v="3"/>
    <x v="197"/>
    <n v="4.3299999237060502"/>
    <n v="4.3299999237060502"/>
    <n v="0"/>
    <n v="0"/>
    <n v="0"/>
    <n v="4.3200001716613796"/>
    <n v="9.9999997764825804E-3"/>
    <n v="0"/>
    <n v="0"/>
    <n v="319"/>
    <n v="1121"/>
    <x v="173"/>
    <x v="2"/>
    <n v="1440"/>
    <s v="Weekend"/>
    <x v="2"/>
  </r>
  <r>
    <x v="9"/>
    <x v="24"/>
    <x v="198"/>
    <n v="3.5499999523162802"/>
    <n v="3.5499999523162802"/>
    <n v="0"/>
    <n v="0"/>
    <n v="0"/>
    <n v="3.5499999523162802"/>
    <n v="0"/>
    <n v="0"/>
    <n v="0"/>
    <n v="220"/>
    <n v="1220"/>
    <x v="174"/>
    <x v="4"/>
    <n v="1440"/>
    <s v="Weekday"/>
    <x v="2"/>
  </r>
  <r>
    <x v="0"/>
    <x v="24"/>
    <x v="199"/>
    <n v="8.1300001144409197"/>
    <n v="8.1300001144409197"/>
    <n v="0"/>
    <n v="4.7600002288818404"/>
    <n v="1.12000000476837"/>
    <n v="2.2400000095367401"/>
    <n v="0"/>
    <n v="66"/>
    <n v="27"/>
    <n v="130"/>
    <n v="1217"/>
    <x v="174"/>
    <x v="4"/>
    <n v="1440"/>
    <s v="Weekday"/>
    <x v="3"/>
  </r>
  <r>
    <x v="2"/>
    <x v="27"/>
    <x v="200"/>
    <n v="3.4800000190734899"/>
    <n v="3.4800000190734899"/>
    <n v="0"/>
    <n v="1.03999996185303"/>
    <n v="0.62999999523162797"/>
    <n v="1.79999995231628"/>
    <n v="0"/>
    <n v="16"/>
    <n v="16"/>
    <n v="130"/>
    <n v="1278"/>
    <x v="175"/>
    <x v="0"/>
    <n v="1440"/>
    <s v="Weekday"/>
    <x v="2"/>
  </r>
  <r>
    <x v="24"/>
    <x v="2"/>
    <x v="201"/>
    <n v="5.6799998283386204"/>
    <n v="5.6799998283386204"/>
    <n v="0"/>
    <n v="0.33000001311302202"/>
    <n v="1.08000004291534"/>
    <n v="4.2600002288818404"/>
    <n v="9.9999997764825804E-3"/>
    <n v="5"/>
    <n v="20"/>
    <n v="248"/>
    <n v="1167"/>
    <x v="176"/>
    <x v="2"/>
    <n v="1440"/>
    <s v="Weekend"/>
    <x v="1"/>
  </r>
  <r>
    <x v="10"/>
    <x v="23"/>
    <x v="202"/>
    <n v="3.7699999809265101"/>
    <n v="3.7699999809265101"/>
    <n v="0"/>
    <n v="0"/>
    <n v="0"/>
    <n v="3.7699999809265101"/>
    <n v="0"/>
    <n v="0"/>
    <n v="0"/>
    <n v="288"/>
    <n v="521"/>
    <x v="177"/>
    <x v="2"/>
    <n v="809"/>
    <s v="Weekend"/>
    <x v="2"/>
  </r>
  <r>
    <x v="24"/>
    <x v="25"/>
    <x v="203"/>
    <n v="5.4099998474121103"/>
    <n v="5.4099998474121103"/>
    <n v="0"/>
    <n v="2.1600000858306898"/>
    <n v="0.34000000357627902"/>
    <n v="2.9100000858306898"/>
    <n v="0"/>
    <n v="28"/>
    <n v="7"/>
    <n v="213"/>
    <n v="1192"/>
    <x v="178"/>
    <x v="6"/>
    <n v="1440"/>
    <s v="Weekday"/>
    <x v="1"/>
  </r>
  <r>
    <x v="0"/>
    <x v="5"/>
    <x v="204"/>
    <n v="7.1500000953674299"/>
    <n v="7.1500000953674299"/>
    <n v="0"/>
    <n v="1.0599999427795399"/>
    <n v="0.5"/>
    <n v="5.5799999237060502"/>
    <n v="0"/>
    <n v="16"/>
    <n v="12"/>
    <n v="243"/>
    <n v="815"/>
    <x v="179"/>
    <x v="4"/>
    <n v="1086"/>
    <s v="Weekday"/>
    <x v="3"/>
  </r>
  <r>
    <x v="21"/>
    <x v="10"/>
    <x v="205"/>
    <n v="2.6800000667571999"/>
    <n v="2.6800000667571999"/>
    <n v="0"/>
    <n v="0"/>
    <n v="0"/>
    <n v="2.6800000667571999"/>
    <n v="0"/>
    <n v="0"/>
    <n v="0"/>
    <n v="133"/>
    <n v="673"/>
    <x v="180"/>
    <x v="5"/>
    <n v="806"/>
    <s v="Weekend"/>
    <x v="0"/>
  </r>
  <r>
    <x v="13"/>
    <x v="29"/>
    <x v="0"/>
    <n v="0"/>
    <n v="0"/>
    <n v="0"/>
    <n v="0"/>
    <n v="0"/>
    <n v="0"/>
    <n v="0"/>
    <n v="0"/>
    <n v="0"/>
    <n v="0"/>
    <n v="1440"/>
    <x v="181"/>
    <x v="5"/>
    <n v="1440"/>
    <s v="Weekend"/>
    <x v="0"/>
  </r>
  <r>
    <x v="13"/>
    <x v="19"/>
    <x v="0"/>
    <n v="0"/>
    <n v="0"/>
    <n v="0"/>
    <n v="0"/>
    <n v="0"/>
    <n v="0"/>
    <n v="0"/>
    <n v="0"/>
    <n v="0"/>
    <n v="0"/>
    <n v="1440"/>
    <x v="181"/>
    <x v="3"/>
    <n v="1440"/>
    <s v="Weekday"/>
    <x v="0"/>
  </r>
  <r>
    <x v="13"/>
    <x v="21"/>
    <x v="0"/>
    <n v="0"/>
    <n v="0"/>
    <n v="0"/>
    <n v="0"/>
    <n v="0"/>
    <n v="0"/>
    <n v="0"/>
    <n v="0"/>
    <n v="0"/>
    <n v="0"/>
    <n v="1440"/>
    <x v="181"/>
    <x v="6"/>
    <n v="1440"/>
    <s v="Weekday"/>
    <x v="0"/>
  </r>
  <r>
    <x v="13"/>
    <x v="30"/>
    <x v="0"/>
    <n v="0"/>
    <n v="0"/>
    <n v="0"/>
    <n v="0"/>
    <n v="0"/>
    <n v="0"/>
    <n v="0"/>
    <n v="0"/>
    <n v="0"/>
    <n v="0"/>
    <n v="1440"/>
    <x v="181"/>
    <x v="2"/>
    <n v="1440"/>
    <s v="Weekend"/>
    <x v="0"/>
  </r>
  <r>
    <x v="13"/>
    <x v="17"/>
    <x v="0"/>
    <n v="0"/>
    <n v="0"/>
    <n v="0"/>
    <n v="0"/>
    <n v="0"/>
    <n v="0"/>
    <n v="0"/>
    <n v="0"/>
    <n v="0"/>
    <n v="0"/>
    <n v="1440"/>
    <x v="181"/>
    <x v="1"/>
    <n v="1440"/>
    <s v="Weekday"/>
    <x v="0"/>
  </r>
  <r>
    <x v="13"/>
    <x v="5"/>
    <x v="0"/>
    <n v="0"/>
    <n v="0"/>
    <n v="0"/>
    <n v="0"/>
    <n v="0"/>
    <n v="0"/>
    <n v="0"/>
    <n v="0"/>
    <n v="0"/>
    <n v="0"/>
    <n v="1440"/>
    <x v="181"/>
    <x v="4"/>
    <n v="1440"/>
    <s v="Weekday"/>
    <x v="0"/>
  </r>
  <r>
    <x v="13"/>
    <x v="16"/>
    <x v="0"/>
    <n v="0"/>
    <n v="0"/>
    <n v="0"/>
    <n v="0"/>
    <n v="0"/>
    <n v="0"/>
    <n v="0"/>
    <n v="0"/>
    <n v="0"/>
    <n v="0"/>
    <n v="1440"/>
    <x v="181"/>
    <x v="4"/>
    <n v="1440"/>
    <s v="Weekday"/>
    <x v="0"/>
  </r>
  <r>
    <x v="13"/>
    <x v="20"/>
    <x v="0"/>
    <n v="0"/>
    <n v="0"/>
    <n v="0"/>
    <n v="0"/>
    <n v="0"/>
    <n v="0"/>
    <n v="0"/>
    <n v="0"/>
    <n v="0"/>
    <n v="0"/>
    <n v="1440"/>
    <x v="181"/>
    <x v="3"/>
    <n v="1440"/>
    <s v="Weekday"/>
    <x v="0"/>
  </r>
  <r>
    <x v="13"/>
    <x v="22"/>
    <x v="0"/>
    <n v="0"/>
    <n v="0"/>
    <n v="0"/>
    <n v="0"/>
    <n v="0"/>
    <n v="0"/>
    <n v="0"/>
    <n v="0"/>
    <n v="0"/>
    <n v="0"/>
    <n v="1440"/>
    <x v="181"/>
    <x v="6"/>
    <n v="1440"/>
    <s v="Weekday"/>
    <x v="0"/>
  </r>
  <r>
    <x v="25"/>
    <x v="20"/>
    <x v="206"/>
    <n v="3.46000003814697"/>
    <n v="3.46000003814697"/>
    <n v="0"/>
    <n v="0"/>
    <n v="0"/>
    <n v="3.46000003814697"/>
    <n v="0"/>
    <n v="0"/>
    <n v="0"/>
    <n v="252"/>
    <n v="1188"/>
    <x v="182"/>
    <x v="3"/>
    <n v="1440"/>
    <s v="Weekday"/>
    <x v="2"/>
  </r>
  <r>
    <x v="13"/>
    <x v="9"/>
    <x v="207"/>
    <n v="9.9999997764825804E-3"/>
    <n v="9.9999997764825804E-3"/>
    <n v="0"/>
    <n v="0"/>
    <n v="0"/>
    <n v="9.9999997764825804E-3"/>
    <n v="0"/>
    <n v="0"/>
    <n v="0"/>
    <n v="1"/>
    <n v="1439"/>
    <x v="183"/>
    <x v="2"/>
    <n v="1440"/>
    <s v="Weekend"/>
    <x v="0"/>
  </r>
  <r>
    <x v="30"/>
    <x v="15"/>
    <x v="208"/>
    <n v="2.3099999427795401"/>
    <n v="2.3099999427795401"/>
    <n v="0"/>
    <n v="0"/>
    <n v="0"/>
    <n v="2.3099999427795401"/>
    <n v="0"/>
    <n v="0"/>
    <n v="0"/>
    <n v="135"/>
    <n v="1305"/>
    <x v="184"/>
    <x v="4"/>
    <n v="1440"/>
    <s v="Weekday"/>
    <x v="0"/>
  </r>
  <r>
    <x v="31"/>
    <x v="0"/>
    <x v="209"/>
    <n v="6.1199998855590803"/>
    <n v="6.1199998855590803"/>
    <n v="0"/>
    <n v="1.8200000524520901"/>
    <n v="3.9999999105930301E-2"/>
    <n v="4.25"/>
    <n v="0"/>
    <n v="23"/>
    <n v="1"/>
    <n v="137"/>
    <n v="770"/>
    <x v="185"/>
    <x v="0"/>
    <n v="931"/>
    <s v="Weekday"/>
    <x v="1"/>
  </r>
  <r>
    <x v="11"/>
    <x v="10"/>
    <x v="210"/>
    <n v="3.9100000858306898"/>
    <n v="3.9100000858306898"/>
    <n v="0"/>
    <n v="0"/>
    <n v="0"/>
    <n v="3.9100000858306898"/>
    <n v="0"/>
    <n v="0"/>
    <n v="0"/>
    <n v="299"/>
    <n v="717"/>
    <x v="186"/>
    <x v="5"/>
    <n v="1016"/>
    <s v="Weekend"/>
    <x v="2"/>
  </r>
  <r>
    <x v="15"/>
    <x v="24"/>
    <x v="211"/>
    <n v="3.7599999904632599"/>
    <n v="3.7599999904632599"/>
    <n v="0"/>
    <n v="0"/>
    <n v="0"/>
    <n v="3.7599999904632599"/>
    <n v="0"/>
    <n v="0"/>
    <n v="0"/>
    <n v="266"/>
    <n v="1174"/>
    <x v="187"/>
    <x v="4"/>
    <n v="1440"/>
    <s v="Weekday"/>
    <x v="2"/>
  </r>
  <r>
    <x v="15"/>
    <x v="6"/>
    <x v="212"/>
    <n v="4.1799998283386204"/>
    <n v="4.1799998283386204"/>
    <n v="0"/>
    <n v="0"/>
    <n v="0"/>
    <n v="4.1799998283386204"/>
    <n v="0"/>
    <n v="0"/>
    <n v="0"/>
    <n v="249"/>
    <n v="1191"/>
    <x v="188"/>
    <x v="5"/>
    <n v="1440"/>
    <s v="Weekend"/>
    <x v="2"/>
  </r>
  <r>
    <x v="30"/>
    <x v="0"/>
    <x v="213"/>
    <n v="6.4099998474121103"/>
    <n v="6.4099998474121103"/>
    <n v="0"/>
    <n v="1.2799999713897701"/>
    <n v="0.67000001668930098"/>
    <n v="4.4400000572204599"/>
    <n v="0"/>
    <n v="16"/>
    <n v="16"/>
    <n v="236"/>
    <n v="728"/>
    <x v="189"/>
    <x v="0"/>
    <n v="996"/>
    <s v="Weekday"/>
    <x v="1"/>
  </r>
  <r>
    <x v="8"/>
    <x v="25"/>
    <x v="214"/>
    <n v="3.5999999046325701"/>
    <n v="3.5999999046325701"/>
    <n v="0"/>
    <n v="0"/>
    <n v="0"/>
    <n v="3.5999999046325701"/>
    <n v="0"/>
    <n v="0"/>
    <n v="0"/>
    <n v="229"/>
    <n v="764"/>
    <x v="190"/>
    <x v="6"/>
    <n v="993"/>
    <s v="Weekday"/>
    <x v="2"/>
  </r>
  <r>
    <x v="2"/>
    <x v="5"/>
    <x v="215"/>
    <n v="4.2600002288818404"/>
    <n v="4.2600002288818404"/>
    <n v="0"/>
    <n v="1.28999996185303"/>
    <n v="0.54000002145767201"/>
    <n v="2.4000000953674299"/>
    <n v="0"/>
    <n v="16"/>
    <n v="14"/>
    <n v="136"/>
    <n v="1257"/>
    <x v="190"/>
    <x v="4"/>
    <n v="1423"/>
    <s v="Weekday"/>
    <x v="2"/>
  </r>
  <r>
    <x v="11"/>
    <x v="3"/>
    <x v="216"/>
    <n v="4.4400000572204599"/>
    <n v="4.4400000572204599"/>
    <n v="0"/>
    <n v="1.4900000095367401"/>
    <n v="0.31000000238418601"/>
    <n v="2.6500000953674299"/>
    <n v="0"/>
    <n v="24"/>
    <n v="7"/>
    <n v="199"/>
    <n v="709"/>
    <x v="191"/>
    <x v="2"/>
    <n v="939"/>
    <s v="Weekend"/>
    <x v="2"/>
  </r>
  <r>
    <x v="9"/>
    <x v="5"/>
    <x v="217"/>
    <n v="3.25"/>
    <n v="3.25"/>
    <n v="0"/>
    <n v="0"/>
    <n v="0"/>
    <n v="3.25"/>
    <n v="0"/>
    <n v="0"/>
    <n v="0"/>
    <n v="247"/>
    <n v="1082"/>
    <x v="192"/>
    <x v="4"/>
    <n v="1329"/>
    <s v="Weekday"/>
    <x v="0"/>
  </r>
  <r>
    <x v="0"/>
    <x v="1"/>
    <x v="218"/>
    <n v="7.7699999809265101"/>
    <n v="7.7699999809265101"/>
    <n v="0"/>
    <n v="3.3499999046325701"/>
    <n v="1.1599999666214"/>
    <n v="3.2599999904632599"/>
    <n v="0"/>
    <n v="46"/>
    <n v="31"/>
    <n v="214"/>
    <n v="746"/>
    <x v="193"/>
    <x v="1"/>
    <n v="1037"/>
    <s v="Weekday"/>
    <x v="3"/>
  </r>
  <r>
    <x v="9"/>
    <x v="26"/>
    <x v="219"/>
    <n v="3.2599999904632599"/>
    <n v="3.2599999904632599"/>
    <n v="0"/>
    <n v="0"/>
    <n v="0"/>
    <n v="3.2599999904632599"/>
    <n v="0"/>
    <n v="0"/>
    <n v="0"/>
    <n v="248"/>
    <n v="1192"/>
    <x v="194"/>
    <x v="1"/>
    <n v="1440"/>
    <s v="Weekday"/>
    <x v="0"/>
  </r>
  <r>
    <x v="8"/>
    <x v="14"/>
    <x v="220"/>
    <n v="3.9500000476837198"/>
    <n v="3.9500000476837198"/>
    <n v="0"/>
    <n v="0"/>
    <n v="0"/>
    <n v="3.9500000476837198"/>
    <n v="0"/>
    <n v="0"/>
    <n v="0"/>
    <n v="227"/>
    <n v="732"/>
    <x v="195"/>
    <x v="3"/>
    <n v="959"/>
    <s v="Weekday"/>
    <x v="2"/>
  </r>
  <r>
    <x v="0"/>
    <x v="23"/>
    <x v="221"/>
    <n v="8.1599998474121094"/>
    <n v="8.1599998474121094"/>
    <n v="0"/>
    <n v="2.71000003814697"/>
    <n v="0.40999999642372098"/>
    <n v="5.03999996185303"/>
    <n v="0"/>
    <n v="36"/>
    <n v="10"/>
    <n v="221"/>
    <n v="773"/>
    <x v="196"/>
    <x v="2"/>
    <n v="1040"/>
    <s v="Weekend"/>
    <x v="3"/>
  </r>
  <r>
    <x v="19"/>
    <x v="18"/>
    <x v="222"/>
    <n v="3.3299999237060498"/>
    <n v="3.3299999237060498"/>
    <n v="0"/>
    <n v="0.83999997377395597"/>
    <n v="9.00000035762787E-2"/>
    <n v="2.3800001144409202"/>
    <n v="1.9999999552965199E-2"/>
    <n v="15"/>
    <n v="3"/>
    <n v="274"/>
    <n v="1148"/>
    <x v="197"/>
    <x v="1"/>
    <n v="1440"/>
    <s v="Weekday"/>
    <x v="0"/>
  </r>
  <r>
    <x v="16"/>
    <x v="8"/>
    <x v="223"/>
    <n v="6.6199998855590803"/>
    <n v="6.6199998855590803"/>
    <n v="0"/>
    <n v="0"/>
    <n v="0"/>
    <n v="6.5999999046325701"/>
    <n v="0"/>
    <n v="0"/>
    <n v="0"/>
    <n v="401"/>
    <n v="543"/>
    <x v="198"/>
    <x v="0"/>
    <n v="944"/>
    <s v="Weekday"/>
    <x v="3"/>
  </r>
  <r>
    <x v="25"/>
    <x v="19"/>
    <x v="224"/>
    <n v="3.5699999332428001"/>
    <n v="3.5699999332428001"/>
    <n v="0"/>
    <n v="5.0000000745058101E-2"/>
    <n v="0.36000001430511502"/>
    <n v="3.1600000858306898"/>
    <n v="0"/>
    <n v="1"/>
    <n v="9"/>
    <n v="248"/>
    <n v="1182"/>
    <x v="199"/>
    <x v="3"/>
    <n v="1440"/>
    <s v="Weekday"/>
    <x v="2"/>
  </r>
  <r>
    <x v="15"/>
    <x v="9"/>
    <x v="225"/>
    <n v="5.0199999809265101"/>
    <n v="5.0199999809265101"/>
    <n v="0"/>
    <n v="1.4900000095367401"/>
    <n v="0.37000000476837203"/>
    <n v="3.1600000858306898"/>
    <n v="0"/>
    <n v="20"/>
    <n v="10"/>
    <n v="206"/>
    <n v="1204"/>
    <x v="200"/>
    <x v="2"/>
    <n v="1440"/>
    <s v="Weekend"/>
    <x v="2"/>
  </r>
  <r>
    <x v="24"/>
    <x v="16"/>
    <x v="226"/>
    <n v="5.0599999427795401"/>
    <n v="5.0599999427795401"/>
    <n v="0"/>
    <n v="0"/>
    <n v="0.20999999344348899"/>
    <n v="4.8299999237060502"/>
    <n v="1.9999999552965199E-2"/>
    <n v="0"/>
    <n v="7"/>
    <n v="334"/>
    <n v="1099"/>
    <x v="200"/>
    <x v="4"/>
    <n v="1440"/>
    <s v="Weekday"/>
    <x v="1"/>
  </r>
  <r>
    <x v="21"/>
    <x v="25"/>
    <x v="227"/>
    <n v="2.5999999046325701"/>
    <n v="2.5999999046325701"/>
    <n v="0"/>
    <n v="0"/>
    <n v="0"/>
    <n v="2.5999999046325701"/>
    <n v="0"/>
    <n v="0"/>
    <n v="0"/>
    <n v="141"/>
    <n v="758"/>
    <x v="201"/>
    <x v="6"/>
    <n v="899"/>
    <s v="Weekday"/>
    <x v="0"/>
  </r>
  <r>
    <x v="7"/>
    <x v="12"/>
    <x v="228"/>
    <n v="2.7400000095367401"/>
    <n v="2.7400000095367401"/>
    <n v="0"/>
    <n v="5.9999998658895499E-2"/>
    <n v="0.20000000298023199"/>
    <n v="2.4700000286102299"/>
    <n v="0"/>
    <n v="1"/>
    <n v="5"/>
    <n v="191"/>
    <n v="692"/>
    <x v="202"/>
    <x v="5"/>
    <n v="889"/>
    <s v="Weekend"/>
    <x v="0"/>
  </r>
  <r>
    <x v="2"/>
    <x v="23"/>
    <x v="229"/>
    <n v="6.1399998664856001"/>
    <n v="6.1399998664856001"/>
    <n v="0"/>
    <n v="0.43000000715255698"/>
    <n v="3.2699999809265101"/>
    <n v="2.4500000476837198"/>
    <n v="0"/>
    <n v="6"/>
    <n v="51"/>
    <n v="115"/>
    <n v="1268"/>
    <x v="202"/>
    <x v="2"/>
    <n v="1440"/>
    <s v="Weekend"/>
    <x v="1"/>
  </r>
  <r>
    <x v="8"/>
    <x v="6"/>
    <x v="230"/>
    <n v="3.6199998855590798"/>
    <n v="3.6199998855590798"/>
    <n v="0"/>
    <n v="7.9999998211860698E-2"/>
    <n v="0.28000000119209301"/>
    <n v="3.2599999904632599"/>
    <n v="0"/>
    <n v="1"/>
    <n v="7"/>
    <n v="249"/>
    <n v="508"/>
    <x v="203"/>
    <x v="5"/>
    <n v="765"/>
    <s v="Weekend"/>
    <x v="2"/>
  </r>
  <r>
    <x v="24"/>
    <x v="14"/>
    <x v="231"/>
    <n v="5.53999996185303"/>
    <n v="5.53999996185303"/>
    <n v="0"/>
    <n v="0.119999997317791"/>
    <n v="0.18000000715255701"/>
    <n v="5.2399997711181596"/>
    <n v="0"/>
    <n v="2"/>
    <n v="5"/>
    <n v="309"/>
    <n v="1124"/>
    <x v="203"/>
    <x v="3"/>
    <n v="1440"/>
    <s v="Weekday"/>
    <x v="1"/>
  </r>
  <r>
    <x v="7"/>
    <x v="23"/>
    <x v="232"/>
    <n v="3.1800000667571999"/>
    <n v="3.1800000667571999"/>
    <n v="0"/>
    <n v="0"/>
    <n v="0"/>
    <n v="3.1800000667571999"/>
    <n v="0"/>
    <n v="0"/>
    <n v="0"/>
    <n v="194"/>
    <n v="724"/>
    <x v="204"/>
    <x v="2"/>
    <n v="918"/>
    <s v="Weekend"/>
    <x v="0"/>
  </r>
  <r>
    <x v="26"/>
    <x v="7"/>
    <x v="233"/>
    <n v="0.85000002384185802"/>
    <n v="0.85000002384185802"/>
    <n v="0"/>
    <n v="0"/>
    <n v="0"/>
    <n v="0.85000002384185802"/>
    <n v="0"/>
    <n v="0"/>
    <n v="0"/>
    <n v="51"/>
    <n v="1389"/>
    <x v="205"/>
    <x v="3"/>
    <n v="1440"/>
    <s v="Weekday"/>
    <x v="0"/>
  </r>
  <r>
    <x v="7"/>
    <x v="24"/>
    <x v="234"/>
    <n v="3.0199999809265101"/>
    <n v="3.0199999809265101"/>
    <n v="0"/>
    <n v="5.9999998658895499E-2"/>
    <n v="0.81000000238418601"/>
    <n v="2.1500000953674299"/>
    <n v="0"/>
    <n v="1"/>
    <n v="19"/>
    <n v="176"/>
    <n v="709"/>
    <x v="205"/>
    <x v="4"/>
    <n v="905"/>
    <s v="Weekday"/>
    <x v="0"/>
  </r>
  <r>
    <x v="25"/>
    <x v="1"/>
    <x v="235"/>
    <n v="4.25"/>
    <n v="4.25"/>
    <n v="0"/>
    <n v="0.74000000953674305"/>
    <n v="1.12000000476837"/>
    <n v="2.3900001049041699"/>
    <n v="0"/>
    <n v="11"/>
    <n v="18"/>
    <n v="220"/>
    <n v="1191"/>
    <x v="206"/>
    <x v="1"/>
    <n v="1440"/>
    <s v="Weekday"/>
    <x v="2"/>
  </r>
  <r>
    <x v="24"/>
    <x v="27"/>
    <x v="236"/>
    <n v="5.2399997711181596"/>
    <n v="5.2399997711181596"/>
    <n v="0"/>
    <n v="7.0000000298023196E-2"/>
    <n v="0.28000000119209301"/>
    <n v="4.8899998664856001"/>
    <n v="0"/>
    <n v="1"/>
    <n v="6"/>
    <n v="311"/>
    <n v="1122"/>
    <x v="207"/>
    <x v="0"/>
    <n v="1440"/>
    <s v="Weekday"/>
    <x v="1"/>
  </r>
  <r>
    <x v="24"/>
    <x v="28"/>
    <x v="237"/>
    <n v="5.3200001716613796"/>
    <n v="5.3200001716613796"/>
    <n v="0"/>
    <n v="0"/>
    <n v="0"/>
    <n v="5.3200001716613796"/>
    <n v="0"/>
    <n v="0"/>
    <n v="0"/>
    <n v="331"/>
    <n v="1109"/>
    <x v="208"/>
    <x v="6"/>
    <n v="1440"/>
    <s v="Weekday"/>
    <x v="1"/>
  </r>
  <r>
    <x v="0"/>
    <x v="10"/>
    <x v="238"/>
    <n v="8.0299997329711896"/>
    <n v="8.0299997329711896"/>
    <n v="0"/>
    <n v="1.9700000286102299"/>
    <n v="0.25"/>
    <n v="5.8099999427795401"/>
    <n v="0"/>
    <n v="24"/>
    <n v="6"/>
    <n v="289"/>
    <n v="754"/>
    <x v="209"/>
    <x v="5"/>
    <n v="1073"/>
    <s v="Weekend"/>
    <x v="3"/>
  </r>
  <r>
    <x v="24"/>
    <x v="4"/>
    <x v="239"/>
    <n v="3.3800001144409202"/>
    <n v="3.3800001144409202"/>
    <n v="0"/>
    <n v="2.2799999713897701"/>
    <n v="0.55000001192092896"/>
    <n v="0.55000001192092896"/>
    <n v="0"/>
    <n v="75"/>
    <n v="11"/>
    <n v="52"/>
    <n v="1302"/>
    <x v="210"/>
    <x v="3"/>
    <n v="1440"/>
    <s v="Weekday"/>
    <x v="0"/>
  </r>
  <r>
    <x v="24"/>
    <x v="12"/>
    <x v="240"/>
    <n v="4.6799998283386204"/>
    <n v="4.6799998283386204"/>
    <n v="0"/>
    <n v="3"/>
    <n v="5.9999998658895499E-2"/>
    <n v="1.62000000476837"/>
    <n v="0"/>
    <n v="46"/>
    <n v="1"/>
    <n v="190"/>
    <n v="1203"/>
    <x v="211"/>
    <x v="5"/>
    <n v="1440"/>
    <s v="Weekend"/>
    <x v="2"/>
  </r>
  <r>
    <x v="0"/>
    <x v="25"/>
    <x v="241"/>
    <n v="8.5299997329711896"/>
    <n v="8.5299997329711896"/>
    <n v="0"/>
    <n v="3.53999996185303"/>
    <n v="1.1599999666214"/>
    <n v="3.78999996185303"/>
    <n v="0"/>
    <n v="48"/>
    <n v="28"/>
    <n v="189"/>
    <n v="782"/>
    <x v="211"/>
    <x v="6"/>
    <n v="1047"/>
    <s v="Weekday"/>
    <x v="3"/>
  </r>
  <r>
    <x v="15"/>
    <x v="1"/>
    <x v="242"/>
    <n v="4.1999998092651403"/>
    <n v="4.1999998092651403"/>
    <n v="0"/>
    <n v="0"/>
    <n v="0"/>
    <n v="4.1999998092651403"/>
    <n v="0"/>
    <n v="0"/>
    <n v="0"/>
    <n v="290"/>
    <n v="1150"/>
    <x v="212"/>
    <x v="1"/>
    <n v="1440"/>
    <s v="Weekday"/>
    <x v="2"/>
  </r>
  <r>
    <x v="21"/>
    <x v="20"/>
    <x v="243"/>
    <n v="2.2599999904632599"/>
    <n v="2.2599999904632599"/>
    <n v="0"/>
    <n v="0"/>
    <n v="0"/>
    <n v="2.2599999904632599"/>
    <n v="0"/>
    <n v="0"/>
    <n v="0"/>
    <n v="156"/>
    <n v="1279"/>
    <x v="213"/>
    <x v="3"/>
    <n v="1435"/>
    <s v="Weekday"/>
    <x v="0"/>
  </r>
  <r>
    <x v="15"/>
    <x v="3"/>
    <x v="244"/>
    <n v="4.3299999237060502"/>
    <n v="4.3299999237060502"/>
    <n v="0"/>
    <n v="0"/>
    <n v="0"/>
    <n v="4.3299999237060502"/>
    <n v="0"/>
    <n v="0"/>
    <n v="0"/>
    <n v="300"/>
    <n v="1140"/>
    <x v="214"/>
    <x v="2"/>
    <n v="1440"/>
    <s v="Weekend"/>
    <x v="2"/>
  </r>
  <r>
    <x v="15"/>
    <x v="27"/>
    <x v="245"/>
    <n v="4.4200000762939498"/>
    <n v="4.4200000762939498"/>
    <n v="0"/>
    <n v="0"/>
    <n v="0.259999990463257"/>
    <n v="4.1399998664856001"/>
    <n v="0"/>
    <n v="0"/>
    <n v="7"/>
    <n v="260"/>
    <n v="1173"/>
    <x v="215"/>
    <x v="0"/>
    <n v="1440"/>
    <s v="Weekday"/>
    <x v="2"/>
  </r>
  <r>
    <x v="24"/>
    <x v="9"/>
    <x v="246"/>
    <n v="4.9800000190734899"/>
    <n v="4.9800000190734899"/>
    <n v="0"/>
    <n v="5.9999998658895499E-2"/>
    <n v="0.25"/>
    <n v="4.6599998474121103"/>
    <n v="9.9999997764825804E-3"/>
    <n v="1"/>
    <n v="6"/>
    <n v="363"/>
    <n v="1070"/>
    <x v="216"/>
    <x v="2"/>
    <n v="1440"/>
    <s v="Weekend"/>
    <x v="2"/>
  </r>
  <r>
    <x v="24"/>
    <x v="8"/>
    <x v="247"/>
    <n v="5.1900000572204599"/>
    <n v="5.1900000572204599"/>
    <n v="0"/>
    <n v="0"/>
    <n v="0"/>
    <n v="5.1900000572204599"/>
    <n v="0"/>
    <n v="0"/>
    <n v="0"/>
    <n v="345"/>
    <n v="1095"/>
    <x v="216"/>
    <x v="0"/>
    <n v="1440"/>
    <s v="Weekday"/>
    <x v="1"/>
  </r>
  <r>
    <x v="24"/>
    <x v="13"/>
    <x v="248"/>
    <n v="4.9499998092651403"/>
    <n v="4.9499998092651403"/>
    <n v="0"/>
    <n v="0"/>
    <n v="0"/>
    <n v="4.9499998092651403"/>
    <n v="0"/>
    <n v="0"/>
    <n v="0"/>
    <n v="359"/>
    <n v="1081"/>
    <x v="217"/>
    <x v="0"/>
    <n v="1440"/>
    <s v="Weekday"/>
    <x v="2"/>
  </r>
  <r>
    <x v="19"/>
    <x v="23"/>
    <x v="249"/>
    <n v="4.7300000190734899"/>
    <n v="4.7300000190734899"/>
    <n v="0"/>
    <n v="0"/>
    <n v="0"/>
    <n v="4.6999998092651403"/>
    <n v="2.9999999329447701E-2"/>
    <n v="0"/>
    <n v="0"/>
    <n v="356"/>
    <n v="1084"/>
    <x v="218"/>
    <x v="2"/>
    <n v="1440"/>
    <s v="Weekend"/>
    <x v="2"/>
  </r>
  <r>
    <x v="19"/>
    <x v="11"/>
    <x v="250"/>
    <n v="5.0799999237060502"/>
    <n v="5.0799999237060502"/>
    <n v="0"/>
    <n v="0"/>
    <n v="0"/>
    <n v="5.0599999427795401"/>
    <n v="1.9999999552965199E-2"/>
    <n v="0"/>
    <n v="0"/>
    <n v="335"/>
    <n v="1105"/>
    <x v="218"/>
    <x v="4"/>
    <n v="1440"/>
    <s v="Weekday"/>
    <x v="2"/>
  </r>
  <r>
    <x v="25"/>
    <x v="29"/>
    <x v="251"/>
    <n v="3.3900001049041699"/>
    <n v="3.3900001049041699"/>
    <n v="0"/>
    <n v="0"/>
    <n v="0"/>
    <n v="3.3900001049041699"/>
    <n v="0"/>
    <n v="0"/>
    <n v="0"/>
    <n v="318"/>
    <n v="1122"/>
    <x v="219"/>
    <x v="5"/>
    <n v="1440"/>
    <s v="Weekend"/>
    <x v="2"/>
  </r>
  <r>
    <x v="2"/>
    <x v="13"/>
    <x v="252"/>
    <n v="4.5100002288818404"/>
    <n v="4.5100002288818404"/>
    <n v="0"/>
    <n v="0.36000001430511502"/>
    <n v="2.3900001049041699"/>
    <n v="1.7699999809265099"/>
    <n v="0"/>
    <n v="7"/>
    <n v="54"/>
    <n v="118"/>
    <n v="1261"/>
    <x v="219"/>
    <x v="0"/>
    <n v="1440"/>
    <s v="Weekday"/>
    <x v="2"/>
  </r>
  <r>
    <x v="24"/>
    <x v="10"/>
    <x v="253"/>
    <n v="4.75"/>
    <n v="4.75"/>
    <n v="0"/>
    <n v="0"/>
    <n v="0.119999997317791"/>
    <n v="4.6100001335143999"/>
    <n v="9.9999997764825804E-3"/>
    <n v="0"/>
    <n v="5"/>
    <n v="370"/>
    <n v="1065"/>
    <x v="220"/>
    <x v="5"/>
    <n v="1440"/>
    <s v="Weekend"/>
    <x v="2"/>
  </r>
  <r>
    <x v="10"/>
    <x v="10"/>
    <x v="254"/>
    <n v="6.28999996185303"/>
    <n v="6.28999996185303"/>
    <n v="0"/>
    <n v="1.5199999809265099"/>
    <n v="0.54000002145767201"/>
    <n v="4.2300000190734899"/>
    <n v="0"/>
    <n v="21"/>
    <n v="9"/>
    <n v="229"/>
    <n v="761"/>
    <x v="221"/>
    <x v="5"/>
    <n v="1020"/>
    <s v="Weekend"/>
    <x v="1"/>
  </r>
  <r>
    <x v="16"/>
    <x v="30"/>
    <x v="255"/>
    <n v="7.71000003814697"/>
    <n v="7.71000003814697"/>
    <n v="0"/>
    <n v="0"/>
    <n v="0"/>
    <n v="7.71000003814697"/>
    <n v="0"/>
    <n v="0"/>
    <n v="0"/>
    <n v="432"/>
    <n v="458"/>
    <x v="221"/>
    <x v="2"/>
    <n v="890"/>
    <s v="Weekend"/>
    <x v="3"/>
  </r>
  <r>
    <x v="25"/>
    <x v="5"/>
    <x v="256"/>
    <n v="5.1799998283386204"/>
    <n v="5.1799998283386204"/>
    <n v="0"/>
    <n v="1.0199999809265099"/>
    <n v="1.8500000238418599"/>
    <n v="2.3099999427795401"/>
    <n v="0"/>
    <n v="15"/>
    <n v="29"/>
    <n v="197"/>
    <n v="1096"/>
    <x v="222"/>
    <x v="4"/>
    <n v="1337"/>
    <s v="Weekday"/>
    <x v="1"/>
  </r>
  <r>
    <x v="19"/>
    <x v="12"/>
    <x v="257"/>
    <n v="4.5900001525878897"/>
    <n v="4.5900001525878897"/>
    <n v="0"/>
    <n v="0.88999998569488503"/>
    <n v="0.18999999761581399"/>
    <n v="3.4900000095367401"/>
    <n v="1.9999999552965199E-2"/>
    <n v="14"/>
    <n v="7"/>
    <n v="292"/>
    <n v="1127"/>
    <x v="223"/>
    <x v="5"/>
    <n v="1440"/>
    <s v="Weekend"/>
    <x v="2"/>
  </r>
  <r>
    <x v="0"/>
    <x v="27"/>
    <x v="258"/>
    <n v="8.5900001525878906"/>
    <n v="8.5900001525878906"/>
    <n v="0"/>
    <n v="3.25"/>
    <n v="0.63999998569488503"/>
    <n v="4.71000003814697"/>
    <n v="0"/>
    <n v="42"/>
    <n v="16"/>
    <n v="233"/>
    <n v="1149"/>
    <x v="223"/>
    <x v="0"/>
    <n v="1440"/>
    <s v="Weekday"/>
    <x v="3"/>
  </r>
  <r>
    <x v="13"/>
    <x v="24"/>
    <x v="259"/>
    <n v="0.46000000834464999"/>
    <n v="0.46000000834464999"/>
    <n v="0"/>
    <n v="0"/>
    <n v="0"/>
    <n v="0.46000000834464999"/>
    <n v="0"/>
    <n v="0"/>
    <n v="0"/>
    <n v="20"/>
    <n v="1420"/>
    <x v="224"/>
    <x v="4"/>
    <n v="1440"/>
    <s v="Weekday"/>
    <x v="0"/>
  </r>
  <r>
    <x v="25"/>
    <x v="28"/>
    <x v="260"/>
    <n v="4.4899997711181596"/>
    <n v="4.4899997711181596"/>
    <n v="0"/>
    <n v="0"/>
    <n v="0"/>
    <n v="4.4899997711181596"/>
    <n v="0"/>
    <n v="0"/>
    <n v="0"/>
    <n v="279"/>
    <n v="1161"/>
    <x v="224"/>
    <x v="6"/>
    <n v="1440"/>
    <s v="Weekday"/>
    <x v="2"/>
  </r>
  <r>
    <x v="15"/>
    <x v="18"/>
    <x v="261"/>
    <n v="4.8499999046325701"/>
    <n v="4.8499999046325701"/>
    <n v="0"/>
    <n v="0"/>
    <n v="0.490000009536743"/>
    <n v="4.3400001525878897"/>
    <n v="0"/>
    <n v="0"/>
    <n v="11"/>
    <n v="283"/>
    <n v="1146"/>
    <x v="224"/>
    <x v="1"/>
    <n v="1440"/>
    <s v="Weekday"/>
    <x v="2"/>
  </r>
  <r>
    <x v="10"/>
    <x v="17"/>
    <x v="262"/>
    <n v="6.8800001144409197"/>
    <n v="6.8800001144409197"/>
    <n v="0"/>
    <n v="1.1399999856948899"/>
    <n v="1"/>
    <n v="4.7399997711181596"/>
    <n v="0"/>
    <n v="16"/>
    <n v="16"/>
    <n v="206"/>
    <n v="745"/>
    <x v="224"/>
    <x v="1"/>
    <n v="983"/>
    <s v="Weekday"/>
    <x v="3"/>
  </r>
  <r>
    <x v="16"/>
    <x v="22"/>
    <x v="263"/>
    <n v="7.53999996185303"/>
    <n v="7.53999996185303"/>
    <n v="0"/>
    <n v="0"/>
    <n v="0"/>
    <n v="7.53999996185303"/>
    <n v="0"/>
    <n v="0"/>
    <n v="0"/>
    <n v="475"/>
    <n v="479"/>
    <x v="225"/>
    <x v="6"/>
    <n v="954"/>
    <s v="Weekday"/>
    <x v="3"/>
  </r>
  <r>
    <x v="5"/>
    <x v="14"/>
    <x v="264"/>
    <n v="0.85000002384185802"/>
    <n v="0.85000002384185802"/>
    <n v="0"/>
    <n v="0"/>
    <n v="0"/>
    <n v="0.85000002384185802"/>
    <n v="0"/>
    <n v="0"/>
    <n v="0"/>
    <n v="80"/>
    <n v="1360"/>
    <x v="226"/>
    <x v="3"/>
    <n v="1440"/>
    <s v="Weekday"/>
    <x v="0"/>
  </r>
  <r>
    <x v="2"/>
    <x v="18"/>
    <x v="265"/>
    <n v="4.2699999809265101"/>
    <n v="4.2699999809265101"/>
    <n v="0"/>
    <n v="0.33000001311302202"/>
    <n v="0.81999999284744296"/>
    <n v="3.1099998950958301"/>
    <n v="9.9999997764825804E-3"/>
    <n v="5"/>
    <n v="18"/>
    <n v="216"/>
    <n v="1201"/>
    <x v="227"/>
    <x v="1"/>
    <n v="1440"/>
    <s v="Weekday"/>
    <x v="2"/>
  </r>
  <r>
    <x v="18"/>
    <x v="6"/>
    <x v="266"/>
    <n v="1.5199999809265099"/>
    <n v="1.5199999809265099"/>
    <n v="0"/>
    <n v="0"/>
    <n v="0"/>
    <n v="1.5199999809265099"/>
    <n v="0"/>
    <n v="0"/>
    <n v="0"/>
    <n v="114"/>
    <n v="1219"/>
    <x v="228"/>
    <x v="5"/>
    <n v="1333"/>
    <s v="Weekend"/>
    <x v="0"/>
  </r>
  <r>
    <x v="5"/>
    <x v="26"/>
    <x v="267"/>
    <n v="0.83999997377395597"/>
    <n v="0.83999997377395597"/>
    <n v="0"/>
    <n v="0"/>
    <n v="0"/>
    <n v="0.83999997377395597"/>
    <n v="0"/>
    <n v="0"/>
    <n v="0"/>
    <n v="82"/>
    <n v="806"/>
    <x v="229"/>
    <x v="1"/>
    <n v="888"/>
    <s v="Weekday"/>
    <x v="0"/>
  </r>
  <r>
    <x v="2"/>
    <x v="26"/>
    <x v="268"/>
    <n v="6.0999999046325701"/>
    <n v="6.0999999046325701"/>
    <n v="0"/>
    <n v="4.1700000762939498"/>
    <n v="0.62999999523162797"/>
    <n v="1.3099999427795399"/>
    <n v="0"/>
    <n v="35"/>
    <n v="11"/>
    <n v="96"/>
    <n v="1298"/>
    <x v="230"/>
    <x v="1"/>
    <n v="1440"/>
    <s v="Weekday"/>
    <x v="1"/>
  </r>
  <r>
    <x v="8"/>
    <x v="27"/>
    <x v="269"/>
    <n v="5.4499998092651403"/>
    <n v="5.4499998092651403"/>
    <n v="0"/>
    <n v="0.79000002145767201"/>
    <n v="0.86000001430511497"/>
    <n v="3.78999996185303"/>
    <n v="0"/>
    <n v="11"/>
    <n v="16"/>
    <n v="206"/>
    <n v="678"/>
    <x v="231"/>
    <x v="0"/>
    <n v="911"/>
    <s v="Weekday"/>
    <x v="1"/>
  </r>
  <r>
    <x v="7"/>
    <x v="30"/>
    <x v="270"/>
    <n v="3.3099999427795401"/>
    <n v="3.3099999427795401"/>
    <n v="0"/>
    <n v="0"/>
    <n v="0"/>
    <n v="3.3099999427795401"/>
    <n v="0"/>
    <n v="0"/>
    <n v="0"/>
    <n v="233"/>
    <n v="546"/>
    <x v="232"/>
    <x v="2"/>
    <n v="779"/>
    <s v="Weekend"/>
    <x v="0"/>
  </r>
  <r>
    <x v="19"/>
    <x v="2"/>
    <x v="271"/>
    <n v="3.5799999237060498"/>
    <n v="3.5799999237060498"/>
    <n v="0"/>
    <n v="1.0599999427795399"/>
    <n v="9.00000035762787E-2"/>
    <n v="2.4200000762939502"/>
    <n v="9.9999997764825804E-3"/>
    <n v="17"/>
    <n v="4"/>
    <n v="300"/>
    <n v="1119"/>
    <x v="233"/>
    <x v="2"/>
    <n v="1440"/>
    <s v="Weekend"/>
    <x v="2"/>
  </r>
  <r>
    <x v="8"/>
    <x v="24"/>
    <x v="272"/>
    <n v="5.1599998474121103"/>
    <n v="5.1599998474121103"/>
    <n v="0"/>
    <n v="0.56000000238418601"/>
    <n v="1.6799999475479099"/>
    <n v="2.9200000762939502"/>
    <n v="0"/>
    <n v="9"/>
    <n v="27"/>
    <n v="206"/>
    <n v="781"/>
    <x v="233"/>
    <x v="4"/>
    <n v="1023"/>
    <s v="Weekday"/>
    <x v="1"/>
  </r>
  <r>
    <x v="11"/>
    <x v="4"/>
    <x v="273"/>
    <n v="4.5"/>
    <n v="4.5"/>
    <n v="0"/>
    <n v="0"/>
    <n v="0"/>
    <n v="4.5"/>
    <n v="0"/>
    <n v="0"/>
    <n v="0"/>
    <n v="328"/>
    <n v="745"/>
    <x v="234"/>
    <x v="3"/>
    <n v="1073"/>
    <s v="Weekday"/>
    <x v="2"/>
  </r>
  <r>
    <x v="0"/>
    <x v="2"/>
    <x v="274"/>
    <n v="9.25"/>
    <n v="9.25"/>
    <n v="0"/>
    <n v="3.5599999427795401"/>
    <n v="1.41999995708466"/>
    <n v="4.2699999809265101"/>
    <n v="0"/>
    <n v="52"/>
    <n v="34"/>
    <n v="217"/>
    <n v="712"/>
    <x v="234"/>
    <x v="2"/>
    <n v="1015"/>
    <s v="Weekend"/>
    <x v="3"/>
  </r>
  <r>
    <x v="0"/>
    <x v="30"/>
    <x v="275"/>
    <n v="9.0399999618530291"/>
    <n v="9.0399999618530291"/>
    <n v="0"/>
    <n v="2.8099999427795401"/>
    <n v="0.87000000476837203"/>
    <n v="5.3600001335143999"/>
    <n v="0"/>
    <n v="41"/>
    <n v="21"/>
    <n v="262"/>
    <n v="732"/>
    <x v="235"/>
    <x v="2"/>
    <n v="1056"/>
    <s v="Weekend"/>
    <x v="3"/>
  </r>
  <r>
    <x v="25"/>
    <x v="9"/>
    <x v="276"/>
    <n v="3.4800000190734899"/>
    <n v="3.4800000190734899"/>
    <n v="0"/>
    <n v="0.60000002384185802"/>
    <n v="0.28000000119209301"/>
    <n v="2.5999999046325701"/>
    <n v="0"/>
    <n v="21"/>
    <n v="10"/>
    <n v="237"/>
    <n v="1172"/>
    <x v="236"/>
    <x v="2"/>
    <n v="1440"/>
    <s v="Weekend"/>
    <x v="2"/>
  </r>
  <r>
    <x v="18"/>
    <x v="19"/>
    <x v="277"/>
    <n v="1.3899999856948899"/>
    <n v="1.3899999856948899"/>
    <n v="0"/>
    <n v="0"/>
    <n v="0"/>
    <n v="1.3899999856948899"/>
    <n v="0"/>
    <n v="0"/>
    <n v="0"/>
    <n v="121"/>
    <n v="895"/>
    <x v="237"/>
    <x v="3"/>
    <n v="1016"/>
    <s v="Weekday"/>
    <x v="0"/>
  </r>
  <r>
    <x v="24"/>
    <x v="19"/>
    <x v="278"/>
    <n v="5.3699998855590803"/>
    <n v="5.3699998855590803"/>
    <n v="0"/>
    <n v="0"/>
    <n v="0"/>
    <n v="5.3600001335143999"/>
    <n v="0"/>
    <n v="0"/>
    <n v="0"/>
    <n v="389"/>
    <n v="1051"/>
    <x v="238"/>
    <x v="3"/>
    <n v="1440"/>
    <s v="Weekday"/>
    <x v="1"/>
  </r>
  <r>
    <x v="0"/>
    <x v="22"/>
    <x v="279"/>
    <n v="8.8999996185302699"/>
    <n v="8.8999996185302699"/>
    <n v="0"/>
    <n v="2.9200000762939502"/>
    <n v="1.08000004291534"/>
    <n v="4.8800001144409197"/>
    <n v="0"/>
    <n v="45"/>
    <n v="24"/>
    <n v="250"/>
    <n v="857"/>
    <x v="239"/>
    <x v="6"/>
    <n v="1176"/>
    <s v="Weekday"/>
    <x v="3"/>
  </r>
  <r>
    <x v="5"/>
    <x v="7"/>
    <x v="280"/>
    <n v="1.03999996185303"/>
    <n v="1.03999996185303"/>
    <n v="0"/>
    <n v="0"/>
    <n v="0"/>
    <n v="1.03999996185303"/>
    <n v="0"/>
    <n v="0"/>
    <n v="0"/>
    <n v="79"/>
    <n v="834"/>
    <x v="240"/>
    <x v="3"/>
    <n v="913"/>
    <s v="Weekday"/>
    <x v="0"/>
  </r>
  <r>
    <x v="24"/>
    <x v="1"/>
    <x v="281"/>
    <n v="5.5599999427795401"/>
    <n v="5.5599999427795401"/>
    <n v="0"/>
    <n v="0"/>
    <n v="0"/>
    <n v="5.5500001907348597"/>
    <n v="9.9999997764825804E-3"/>
    <n v="0"/>
    <n v="0"/>
    <n v="373"/>
    <n v="1067"/>
    <x v="240"/>
    <x v="1"/>
    <n v="1440"/>
    <s v="Weekday"/>
    <x v="1"/>
  </r>
  <r>
    <x v="5"/>
    <x v="28"/>
    <x v="282"/>
    <n v="0.77999997138977095"/>
    <n v="0.77999997138977095"/>
    <n v="0"/>
    <n v="0"/>
    <n v="0"/>
    <n v="0.77999997138977095"/>
    <n v="0"/>
    <n v="0"/>
    <n v="0"/>
    <n v="84"/>
    <n v="853"/>
    <x v="241"/>
    <x v="6"/>
    <n v="937"/>
    <s v="Weekday"/>
    <x v="0"/>
  </r>
  <r>
    <x v="19"/>
    <x v="6"/>
    <x v="283"/>
    <n v="5.8800001144409197"/>
    <n v="5.8800001144409197"/>
    <n v="0"/>
    <n v="1.4099999666214"/>
    <n v="0.10000000149011599"/>
    <n v="4.3600001335143999"/>
    <n v="9.9999997764825804E-3"/>
    <n v="11"/>
    <n v="2"/>
    <n v="322"/>
    <n v="1105"/>
    <x v="242"/>
    <x v="5"/>
    <n v="1440"/>
    <s v="Weekend"/>
    <x v="1"/>
  </r>
  <r>
    <x v="17"/>
    <x v="30"/>
    <x v="284"/>
    <n v="1.8099999427795399"/>
    <n v="1.8099999427795399"/>
    <n v="0"/>
    <n v="0"/>
    <n v="0"/>
    <n v="1.79999995231628"/>
    <n v="0"/>
    <n v="0"/>
    <n v="0"/>
    <n v="90"/>
    <n v="1350"/>
    <x v="243"/>
    <x v="2"/>
    <n v="1440"/>
    <s v="Weekend"/>
    <x v="0"/>
  </r>
  <r>
    <x v="24"/>
    <x v="17"/>
    <x v="285"/>
    <n v="2.3599998950958301"/>
    <n v="2.3599998950958301"/>
    <n v="0"/>
    <n v="0"/>
    <n v="0"/>
    <n v="2.3599998950958301"/>
    <n v="0"/>
    <n v="46"/>
    <n v="0"/>
    <n v="197"/>
    <n v="1197"/>
    <x v="244"/>
    <x v="1"/>
    <n v="1440"/>
    <s v="Weekday"/>
    <x v="0"/>
  </r>
  <r>
    <x v="24"/>
    <x v="21"/>
    <x v="286"/>
    <n v="5.9800000190734899"/>
    <n v="5.9800000190734899"/>
    <n v="0"/>
    <n v="0.129999995231628"/>
    <n v="0.37000000476837203"/>
    <n v="5.4699997901916504"/>
    <n v="9.9999997764825804E-3"/>
    <n v="2"/>
    <n v="10"/>
    <n v="371"/>
    <n v="1057"/>
    <x v="245"/>
    <x v="6"/>
    <n v="1440"/>
    <s v="Weekday"/>
    <x v="1"/>
  </r>
  <r>
    <x v="0"/>
    <x v="14"/>
    <x v="287"/>
    <n v="8.7899999618530291"/>
    <n v="8.7899999618530291"/>
    <n v="0"/>
    <n v="2.3299999237060498"/>
    <n v="0.92000001668930098"/>
    <n v="5.53999996185303"/>
    <n v="0"/>
    <n v="31"/>
    <n v="23"/>
    <n v="279"/>
    <n v="833"/>
    <x v="245"/>
    <x v="3"/>
    <n v="1166"/>
    <s v="Weekday"/>
    <x v="3"/>
  </r>
  <r>
    <x v="24"/>
    <x v="22"/>
    <x v="288"/>
    <n v="5.6100001335143999"/>
    <n v="5.6100001335143999"/>
    <n v="0"/>
    <n v="0.77999997138977095"/>
    <n v="0.80000001192092896"/>
    <n v="4.0300002098083496"/>
    <n v="0"/>
    <n v="13"/>
    <n v="23"/>
    <n v="311"/>
    <n v="1093"/>
    <x v="246"/>
    <x v="6"/>
    <n v="1440"/>
    <s v="Weekday"/>
    <x v="1"/>
  </r>
  <r>
    <x v="19"/>
    <x v="25"/>
    <x v="289"/>
    <n v="3.7599999904632599"/>
    <n v="3.7599999904632599"/>
    <n v="0"/>
    <n v="0"/>
    <n v="0"/>
    <n v="3.7599999904632599"/>
    <n v="0"/>
    <n v="0"/>
    <n v="0"/>
    <n v="385"/>
    <n v="1055"/>
    <x v="247"/>
    <x v="6"/>
    <n v="1440"/>
    <s v="Weekday"/>
    <x v="2"/>
  </r>
  <r>
    <x v="15"/>
    <x v="4"/>
    <x v="290"/>
    <n v="4.9699997901916504"/>
    <n v="4.9699997901916504"/>
    <n v="0"/>
    <n v="0"/>
    <n v="0"/>
    <n v="4.9699997901916504"/>
    <n v="0"/>
    <n v="0"/>
    <n v="0"/>
    <n v="319"/>
    <n v="1121"/>
    <x v="247"/>
    <x v="3"/>
    <n v="1440"/>
    <s v="Weekday"/>
    <x v="2"/>
  </r>
  <r>
    <x v="25"/>
    <x v="4"/>
    <x v="291"/>
    <n v="5.4400000572204599"/>
    <n v="5.4400000572204599"/>
    <n v="0"/>
    <n v="1.6100000143051101"/>
    <n v="1"/>
    <n v="2.8299999237060498"/>
    <n v="0"/>
    <n v="23"/>
    <n v="16"/>
    <n v="233"/>
    <n v="1116"/>
    <x v="248"/>
    <x v="3"/>
    <n v="1388"/>
    <s v="Weekday"/>
    <x v="1"/>
  </r>
  <r>
    <x v="18"/>
    <x v="18"/>
    <x v="292"/>
    <n v="1.3899999856948899"/>
    <n v="1.3899999856948899"/>
    <n v="0"/>
    <n v="0"/>
    <n v="0"/>
    <n v="1.3899999856948899"/>
    <n v="0"/>
    <n v="0"/>
    <n v="0"/>
    <n v="137"/>
    <n v="841"/>
    <x v="249"/>
    <x v="1"/>
    <n v="978"/>
    <s v="Weekday"/>
    <x v="0"/>
  </r>
  <r>
    <x v="32"/>
    <x v="0"/>
    <x v="293"/>
    <n v="3.6199998855590798"/>
    <n v="3.6199998855590798"/>
    <n v="0"/>
    <n v="0.64999997615814198"/>
    <n v="0.270000010728836"/>
    <n v="2.6900000572204599"/>
    <n v="0"/>
    <n v="8"/>
    <n v="6"/>
    <n v="102"/>
    <n v="433"/>
    <x v="250"/>
    <x v="0"/>
    <n v="549"/>
    <s v="Weekday"/>
    <x v="0"/>
  </r>
  <r>
    <x v="2"/>
    <x v="12"/>
    <x v="294"/>
    <n v="7.1300001144409197"/>
    <n v="7.1300001144409197"/>
    <n v="0"/>
    <n v="5.5999999046325701"/>
    <n v="0.18999999761581399"/>
    <n v="1.3400000333786"/>
    <n v="0"/>
    <n v="41"/>
    <n v="4"/>
    <n v="82"/>
    <n v="1313"/>
    <x v="250"/>
    <x v="5"/>
    <n v="1440"/>
    <s v="Weekend"/>
    <x v="1"/>
  </r>
  <r>
    <x v="14"/>
    <x v="19"/>
    <x v="0"/>
    <n v="0"/>
    <n v="0"/>
    <n v="0"/>
    <n v="0"/>
    <n v="0"/>
    <n v="0"/>
    <n v="0"/>
    <n v="0"/>
    <n v="0"/>
    <n v="0"/>
    <n v="1440"/>
    <x v="251"/>
    <x v="3"/>
    <n v="1440"/>
    <s v="Weekday"/>
    <x v="0"/>
  </r>
  <r>
    <x v="14"/>
    <x v="18"/>
    <x v="0"/>
    <n v="0"/>
    <n v="0"/>
    <n v="0"/>
    <n v="0"/>
    <n v="0"/>
    <n v="0"/>
    <n v="0"/>
    <n v="0"/>
    <n v="0"/>
    <n v="0"/>
    <n v="1440"/>
    <x v="251"/>
    <x v="1"/>
    <n v="1440"/>
    <s v="Weekday"/>
    <x v="0"/>
  </r>
  <r>
    <x v="14"/>
    <x v="21"/>
    <x v="0"/>
    <n v="0"/>
    <n v="0"/>
    <n v="0"/>
    <n v="0"/>
    <n v="0"/>
    <n v="0"/>
    <n v="0"/>
    <n v="0"/>
    <n v="0"/>
    <n v="0"/>
    <n v="1440"/>
    <x v="251"/>
    <x v="6"/>
    <n v="1440"/>
    <s v="Weekday"/>
    <x v="0"/>
  </r>
  <r>
    <x v="14"/>
    <x v="24"/>
    <x v="0"/>
    <n v="0"/>
    <n v="0"/>
    <n v="0"/>
    <n v="0"/>
    <n v="0"/>
    <n v="0"/>
    <n v="0"/>
    <n v="0"/>
    <n v="0"/>
    <n v="0"/>
    <n v="1440"/>
    <x v="251"/>
    <x v="4"/>
    <n v="1440"/>
    <s v="Weekday"/>
    <x v="0"/>
  </r>
  <r>
    <x v="14"/>
    <x v="30"/>
    <x v="0"/>
    <n v="0"/>
    <n v="0"/>
    <n v="0"/>
    <n v="0"/>
    <n v="0"/>
    <n v="0"/>
    <n v="0"/>
    <n v="0"/>
    <n v="0"/>
    <n v="0"/>
    <n v="1440"/>
    <x v="251"/>
    <x v="2"/>
    <n v="1440"/>
    <s v="Weekend"/>
    <x v="0"/>
  </r>
  <r>
    <x v="14"/>
    <x v="12"/>
    <x v="0"/>
    <n v="0"/>
    <n v="0"/>
    <n v="0"/>
    <n v="0"/>
    <n v="0"/>
    <n v="0"/>
    <n v="0"/>
    <n v="0"/>
    <n v="0"/>
    <n v="0"/>
    <n v="1440"/>
    <x v="251"/>
    <x v="5"/>
    <n v="1440"/>
    <s v="Weekend"/>
    <x v="0"/>
  </r>
  <r>
    <x v="14"/>
    <x v="13"/>
    <x v="0"/>
    <n v="0"/>
    <n v="0"/>
    <n v="0"/>
    <n v="0"/>
    <n v="0"/>
    <n v="0"/>
    <n v="0"/>
    <n v="0"/>
    <n v="0"/>
    <n v="0"/>
    <n v="1440"/>
    <x v="251"/>
    <x v="0"/>
    <n v="1440"/>
    <s v="Weekday"/>
    <x v="0"/>
  </r>
  <r>
    <x v="14"/>
    <x v="14"/>
    <x v="0"/>
    <n v="0"/>
    <n v="0"/>
    <n v="0"/>
    <n v="0"/>
    <n v="0"/>
    <n v="0"/>
    <n v="0"/>
    <n v="0"/>
    <n v="0"/>
    <n v="0"/>
    <n v="1440"/>
    <x v="251"/>
    <x v="3"/>
    <n v="1440"/>
    <s v="Weekday"/>
    <x v="0"/>
  </r>
  <r>
    <x v="14"/>
    <x v="17"/>
    <x v="0"/>
    <n v="0"/>
    <n v="0"/>
    <n v="0"/>
    <n v="0"/>
    <n v="0"/>
    <n v="0"/>
    <n v="0"/>
    <n v="0"/>
    <n v="0"/>
    <n v="0"/>
    <n v="1440"/>
    <x v="251"/>
    <x v="1"/>
    <n v="1440"/>
    <s v="Weekday"/>
    <x v="0"/>
  </r>
  <r>
    <x v="14"/>
    <x v="25"/>
    <x v="0"/>
    <n v="0"/>
    <n v="0"/>
    <n v="0"/>
    <n v="0"/>
    <n v="0"/>
    <n v="0"/>
    <n v="0"/>
    <n v="0"/>
    <n v="0"/>
    <n v="0"/>
    <n v="1440"/>
    <x v="251"/>
    <x v="6"/>
    <n v="1440"/>
    <s v="Weekday"/>
    <x v="0"/>
  </r>
  <r>
    <x v="14"/>
    <x v="5"/>
    <x v="0"/>
    <n v="0"/>
    <n v="0"/>
    <n v="0"/>
    <n v="0"/>
    <n v="0"/>
    <n v="0"/>
    <n v="0"/>
    <n v="0"/>
    <n v="0"/>
    <n v="0"/>
    <n v="1440"/>
    <x v="251"/>
    <x v="4"/>
    <n v="1440"/>
    <s v="Weekday"/>
    <x v="0"/>
  </r>
  <r>
    <x v="14"/>
    <x v="2"/>
    <x v="0"/>
    <n v="0"/>
    <n v="0"/>
    <n v="0"/>
    <n v="0"/>
    <n v="0"/>
    <n v="0"/>
    <n v="0"/>
    <n v="0"/>
    <n v="0"/>
    <n v="0"/>
    <n v="1440"/>
    <x v="251"/>
    <x v="2"/>
    <n v="1440"/>
    <s v="Weekend"/>
    <x v="0"/>
  </r>
  <r>
    <x v="14"/>
    <x v="7"/>
    <x v="0"/>
    <n v="0"/>
    <n v="0"/>
    <n v="0"/>
    <n v="0"/>
    <n v="0"/>
    <n v="0"/>
    <n v="0"/>
    <n v="0"/>
    <n v="0"/>
    <n v="0"/>
    <n v="1440"/>
    <x v="251"/>
    <x v="3"/>
    <n v="1440"/>
    <s v="Weekday"/>
    <x v="0"/>
  </r>
  <r>
    <x v="14"/>
    <x v="26"/>
    <x v="0"/>
    <n v="0"/>
    <n v="0"/>
    <n v="0"/>
    <n v="0"/>
    <n v="0"/>
    <n v="0"/>
    <n v="0"/>
    <n v="0"/>
    <n v="0"/>
    <n v="0"/>
    <n v="1440"/>
    <x v="252"/>
    <x v="1"/>
    <n v="1440"/>
    <s v="Weekday"/>
    <x v="0"/>
  </r>
  <r>
    <x v="24"/>
    <x v="29"/>
    <x v="295"/>
    <n v="5.9099998474121103"/>
    <n v="5.9099998474121103"/>
    <n v="0"/>
    <n v="0.109999999403954"/>
    <n v="0.93000000715255704"/>
    <n v="4.8800001144409197"/>
    <n v="0"/>
    <n v="2"/>
    <n v="21"/>
    <n v="356"/>
    <n v="1061"/>
    <x v="253"/>
    <x v="5"/>
    <n v="1440"/>
    <s v="Weekend"/>
    <x v="1"/>
  </r>
  <r>
    <x v="7"/>
    <x v="11"/>
    <x v="296"/>
    <n v="3.7999999523162802"/>
    <n v="3.7999999523162802"/>
    <n v="0"/>
    <n v="0"/>
    <n v="0"/>
    <n v="3.7999999523162802"/>
    <n v="0"/>
    <n v="0"/>
    <n v="0"/>
    <n v="228"/>
    <n v="752"/>
    <x v="254"/>
    <x v="4"/>
    <n v="980"/>
    <s v="Weekday"/>
    <x v="2"/>
  </r>
  <r>
    <x v="19"/>
    <x v="19"/>
    <x v="297"/>
    <n v="5.2600002288818404"/>
    <n v="5.2600002288818404"/>
    <n v="0"/>
    <n v="0"/>
    <n v="0"/>
    <n v="5.2399997711181596"/>
    <n v="1.9999999552965199E-2"/>
    <n v="0"/>
    <n v="0"/>
    <n v="376"/>
    <n v="1064"/>
    <x v="254"/>
    <x v="3"/>
    <n v="1440"/>
    <s v="Weekday"/>
    <x v="1"/>
  </r>
  <r>
    <x v="0"/>
    <x v="29"/>
    <x v="298"/>
    <n v="8.5"/>
    <n v="8.5"/>
    <n v="0"/>
    <n v="1.87999999523163"/>
    <n v="0.55000001192092896"/>
    <n v="6.0599999427795401"/>
    <n v="0"/>
    <n v="25"/>
    <n v="13"/>
    <n v="328"/>
    <n v="728"/>
    <x v="254"/>
    <x v="5"/>
    <n v="1094"/>
    <s v="Weekend"/>
    <x v="3"/>
  </r>
  <r>
    <x v="26"/>
    <x v="16"/>
    <x v="299"/>
    <n v="1.4299999475479099"/>
    <n v="1.4299999475479099"/>
    <n v="0"/>
    <n v="0"/>
    <n v="0"/>
    <n v="1.4299999475479099"/>
    <n v="0"/>
    <n v="0"/>
    <n v="0"/>
    <n v="95"/>
    <n v="1345"/>
    <x v="255"/>
    <x v="4"/>
    <n v="1440"/>
    <s v="Weekday"/>
    <x v="0"/>
  </r>
  <r>
    <x v="14"/>
    <x v="6"/>
    <x v="300"/>
    <n v="9.9999997764825804E-3"/>
    <n v="9.9999997764825804E-3"/>
    <n v="0"/>
    <n v="0"/>
    <n v="0"/>
    <n v="9.9999997764825804E-3"/>
    <n v="0"/>
    <n v="0"/>
    <n v="0"/>
    <n v="2"/>
    <n v="1438"/>
    <x v="256"/>
    <x v="5"/>
    <n v="1440"/>
    <s v="Weekend"/>
    <x v="0"/>
  </r>
  <r>
    <x v="0"/>
    <x v="9"/>
    <x v="301"/>
    <n v="9.6599998474121094"/>
    <n v="9.6599998474121094"/>
    <n v="0"/>
    <n v="3.7300000190734899"/>
    <n v="1.04999995231628"/>
    <n v="4.8800001144409197"/>
    <n v="0"/>
    <n v="50"/>
    <n v="24"/>
    <n v="254"/>
    <n v="816"/>
    <x v="256"/>
    <x v="2"/>
    <n v="1144"/>
    <s v="Weekend"/>
    <x v="3"/>
  </r>
  <r>
    <x v="9"/>
    <x v="25"/>
    <x v="302"/>
    <n v="4.5700001716613796"/>
    <n v="4.5700001716613796"/>
    <n v="0"/>
    <n v="0"/>
    <n v="0"/>
    <n v="4.5599999427795401"/>
    <n v="0"/>
    <n v="0"/>
    <n v="0"/>
    <n v="302"/>
    <n v="1138"/>
    <x v="257"/>
    <x v="6"/>
    <n v="1440"/>
    <s v="Weekday"/>
    <x v="2"/>
  </r>
  <r>
    <x v="13"/>
    <x v="25"/>
    <x v="303"/>
    <n v="0.5"/>
    <n v="0.5"/>
    <n v="0"/>
    <n v="5.9999998658895499E-2"/>
    <n v="0.20000000298023199"/>
    <n v="0.239999994635582"/>
    <n v="0"/>
    <n v="2"/>
    <n v="13"/>
    <n v="15"/>
    <n v="1410"/>
    <x v="258"/>
    <x v="6"/>
    <n v="1440"/>
    <s v="Weekday"/>
    <x v="0"/>
  </r>
  <r>
    <x v="11"/>
    <x v="29"/>
    <x v="304"/>
    <n v="6.7399997711181596"/>
    <n v="6.7399997711181596"/>
    <n v="0"/>
    <n v="3.4000000953674299"/>
    <n v="0.82999998331069902"/>
    <n v="2.5099999904632599"/>
    <n v="0"/>
    <n v="50"/>
    <n v="14"/>
    <n v="189"/>
    <n v="796"/>
    <x v="259"/>
    <x v="5"/>
    <n v="1049"/>
    <s v="Weekend"/>
    <x v="3"/>
  </r>
  <r>
    <x v="14"/>
    <x v="27"/>
    <x v="305"/>
    <n v="3.9999999105930301E-2"/>
    <n v="3.9999999105930301E-2"/>
    <n v="0"/>
    <n v="0"/>
    <n v="0"/>
    <n v="3.9999999105930301E-2"/>
    <n v="0"/>
    <n v="0"/>
    <n v="0"/>
    <n v="2"/>
    <n v="1438"/>
    <x v="260"/>
    <x v="0"/>
    <n v="1440"/>
    <s v="Weekday"/>
    <x v="0"/>
  </r>
  <r>
    <x v="30"/>
    <x v="4"/>
    <x v="306"/>
    <n v="4.71000003814697"/>
    <n v="4.71000003814697"/>
    <n v="0"/>
    <n v="1.6100000143051101"/>
    <n v="7.9999998211860698E-2"/>
    <n v="3.0199999809265101"/>
    <n v="0"/>
    <n v="20"/>
    <n v="2"/>
    <n v="149"/>
    <n v="1269"/>
    <x v="260"/>
    <x v="3"/>
    <n v="1440"/>
    <s v="Weekday"/>
    <x v="2"/>
  </r>
  <r>
    <x v="19"/>
    <x v="30"/>
    <x v="307"/>
    <n v="5.0700001716613796"/>
    <n v="5.0700001716613796"/>
    <n v="0"/>
    <n v="1.3999999761581401"/>
    <n v="7.9999998211860698E-2"/>
    <n v="3.5799999237060498"/>
    <n v="0"/>
    <n v="20"/>
    <n v="2"/>
    <n v="303"/>
    <n v="1115"/>
    <x v="260"/>
    <x v="2"/>
    <n v="1440"/>
    <s v="Weekend"/>
    <x v="2"/>
  </r>
  <r>
    <x v="10"/>
    <x v="16"/>
    <x v="308"/>
    <n v="6.3800001144409197"/>
    <n v="6.3800001144409197"/>
    <n v="0"/>
    <n v="1.0599999427795399"/>
    <n v="0.40999999642372098"/>
    <n v="4.9000000953674299"/>
    <n v="0"/>
    <n v="23"/>
    <n v="9"/>
    <n v="227"/>
    <n v="724"/>
    <x v="261"/>
    <x v="4"/>
    <n v="983"/>
    <s v="Weekday"/>
    <x v="1"/>
  </r>
  <r>
    <x v="25"/>
    <x v="23"/>
    <x v="309"/>
    <n v="4.8200001716613796"/>
    <n v="4.8200001716613796"/>
    <n v="0"/>
    <n v="0.55000001192092896"/>
    <n v="0.75"/>
    <n v="3.5"/>
    <n v="0"/>
    <n v="8"/>
    <n v="12"/>
    <n v="308"/>
    <n v="1112"/>
    <x v="262"/>
    <x v="2"/>
    <n v="1440"/>
    <s v="Weekend"/>
    <x v="2"/>
  </r>
  <r>
    <x v="10"/>
    <x v="25"/>
    <x v="310"/>
    <n v="7.6300001144409197"/>
    <n v="7.6300001144409197"/>
    <n v="0"/>
    <n v="3.71000003814697"/>
    <n v="0.75"/>
    <n v="3.1700000762939502"/>
    <n v="0"/>
    <n v="49"/>
    <n v="13"/>
    <n v="165"/>
    <n v="727"/>
    <x v="263"/>
    <x v="6"/>
    <n v="954"/>
    <s v="Weekday"/>
    <x v="3"/>
  </r>
  <r>
    <x v="11"/>
    <x v="2"/>
    <x v="311"/>
    <n v="6.6599998474121103"/>
    <n v="6.6599998474121103"/>
    <n v="0"/>
    <n v="2.2400000095367401"/>
    <n v="0.75999999046325695"/>
    <n v="3.6700000762939502"/>
    <n v="0"/>
    <n v="32"/>
    <n v="16"/>
    <n v="237"/>
    <n v="731"/>
    <x v="264"/>
    <x v="2"/>
    <n v="1016"/>
    <s v="Weekend"/>
    <x v="3"/>
  </r>
  <r>
    <x v="15"/>
    <x v="26"/>
    <x v="312"/>
    <n v="4.9000000953674299"/>
    <n v="4.9000000953674299"/>
    <n v="0"/>
    <n v="0"/>
    <n v="0"/>
    <n v="4.9000000953674299"/>
    <n v="0"/>
    <n v="0"/>
    <n v="0"/>
    <n v="335"/>
    <n v="1105"/>
    <x v="265"/>
    <x v="1"/>
    <n v="1440"/>
    <s v="Weekday"/>
    <x v="2"/>
  </r>
  <r>
    <x v="24"/>
    <x v="26"/>
    <x v="313"/>
    <n v="5.1199998855590803"/>
    <n v="5.1199998855590803"/>
    <n v="0"/>
    <n v="0"/>
    <n v="0.21999999880790699"/>
    <n v="4.8800001144409197"/>
    <n v="1.9999999552965199E-2"/>
    <n v="0"/>
    <n v="8"/>
    <n v="404"/>
    <n v="1028"/>
    <x v="266"/>
    <x v="1"/>
    <n v="1440"/>
    <s v="Weekday"/>
    <x v="1"/>
  </r>
  <r>
    <x v="0"/>
    <x v="16"/>
    <x v="314"/>
    <n v="9.7100000381469709"/>
    <n v="9.7100000381469709"/>
    <n v="0"/>
    <n v="3.21000003814697"/>
    <n v="0.56999999284744296"/>
    <n v="5.9200000762939498"/>
    <n v="0"/>
    <n v="41"/>
    <n v="15"/>
    <n v="277"/>
    <n v="798"/>
    <x v="266"/>
    <x v="4"/>
    <n v="1131"/>
    <s v="Weekday"/>
    <x v="3"/>
  </r>
  <r>
    <x v="2"/>
    <x v="17"/>
    <x v="315"/>
    <n v="8.1800003051757795"/>
    <n v="8.1800003051757795"/>
    <n v="0"/>
    <n v="6.2399997711181596"/>
    <n v="0.230000004172325"/>
    <n v="1.70000004768372"/>
    <n v="0"/>
    <n v="45"/>
    <n v="5"/>
    <n v="104"/>
    <n v="1286"/>
    <x v="267"/>
    <x v="1"/>
    <n v="1440"/>
    <s v="Weekday"/>
    <x v="3"/>
  </r>
  <r>
    <x v="5"/>
    <x v="11"/>
    <x v="316"/>
    <n v="1.5900000333786"/>
    <n v="1.5900000333786"/>
    <n v="0"/>
    <n v="0"/>
    <n v="0"/>
    <n v="1.5900000333786"/>
    <n v="0"/>
    <n v="0"/>
    <n v="0"/>
    <n v="126"/>
    <n v="937"/>
    <x v="268"/>
    <x v="4"/>
    <n v="1063"/>
    <s v="Weekday"/>
    <x v="0"/>
  </r>
  <r>
    <x v="19"/>
    <x v="13"/>
    <x v="317"/>
    <n v="4.0900001525878897"/>
    <n v="4.0900001525878897"/>
    <n v="0"/>
    <n v="0"/>
    <n v="0"/>
    <n v="4.0900001525878897"/>
    <n v="0"/>
    <n v="0"/>
    <n v="0"/>
    <n v="416"/>
    <n v="1024"/>
    <x v="269"/>
    <x v="0"/>
    <n v="1440"/>
    <s v="Weekday"/>
    <x v="2"/>
  </r>
  <r>
    <x v="8"/>
    <x v="28"/>
    <x v="318"/>
    <n v="6.6999998092651403"/>
    <n v="6.6999998092651403"/>
    <n v="0"/>
    <n v="1.9999999552965199E-2"/>
    <n v="2.7400000095367401"/>
    <n v="3.9400000572204599"/>
    <n v="0"/>
    <n v="1"/>
    <n v="48"/>
    <n v="206"/>
    <n v="705"/>
    <x v="269"/>
    <x v="6"/>
    <n v="960"/>
    <s v="Weekday"/>
    <x v="3"/>
  </r>
  <r>
    <x v="14"/>
    <x v="28"/>
    <x v="319"/>
    <n v="7.9999998211860698E-2"/>
    <n v="7.9999998211860698E-2"/>
    <n v="0"/>
    <n v="0"/>
    <n v="0"/>
    <n v="2.9999999329447701E-2"/>
    <n v="0"/>
    <n v="0"/>
    <n v="0"/>
    <n v="3"/>
    <n v="1437"/>
    <x v="270"/>
    <x v="6"/>
    <n v="1440"/>
    <s v="Weekday"/>
    <x v="0"/>
  </r>
  <r>
    <x v="11"/>
    <x v="14"/>
    <x v="320"/>
    <n v="6.9000000953674299"/>
    <n v="6.9000000953674299"/>
    <n v="0"/>
    <n v="2.5799999237060498"/>
    <n v="0.41999998688697798"/>
    <n v="3.9000000953674299"/>
    <n v="0"/>
    <n v="36"/>
    <n v="7"/>
    <n v="254"/>
    <n v="680"/>
    <x v="271"/>
    <x v="3"/>
    <n v="977"/>
    <s v="Weekday"/>
    <x v="3"/>
  </r>
  <r>
    <x v="0"/>
    <x v="13"/>
    <x v="321"/>
    <n v="9.8000001907348597"/>
    <n v="9.8000001907348597"/>
    <n v="0"/>
    <n v="5.28999996185303"/>
    <n v="0.56999999284744296"/>
    <n v="3.9400000572204599"/>
    <n v="0"/>
    <n v="73"/>
    <n v="14"/>
    <n v="216"/>
    <n v="814"/>
    <x v="272"/>
    <x v="0"/>
    <n v="1117"/>
    <s v="Weekday"/>
    <x v="3"/>
  </r>
  <r>
    <x v="19"/>
    <x v="27"/>
    <x v="322"/>
    <n v="4.6399998664856001"/>
    <n v="4.6399998664856001"/>
    <n v="0"/>
    <n v="1.08000004291534"/>
    <n v="0.20000000298023199"/>
    <n v="3.3499999046325701"/>
    <n v="0"/>
    <n v="20"/>
    <n v="7"/>
    <n v="343"/>
    <n v="1070"/>
    <x v="273"/>
    <x v="0"/>
    <n v="1440"/>
    <s v="Weekday"/>
    <x v="2"/>
  </r>
  <r>
    <x v="5"/>
    <x v="16"/>
    <x v="323"/>
    <n v="1.16999995708466"/>
    <n v="1.16999995708466"/>
    <n v="0"/>
    <n v="0"/>
    <n v="0"/>
    <n v="1.16999995708466"/>
    <n v="0"/>
    <n v="0"/>
    <n v="0"/>
    <n v="101"/>
    <n v="916"/>
    <x v="274"/>
    <x v="4"/>
    <n v="1017"/>
    <s v="Weekday"/>
    <x v="0"/>
  </r>
  <r>
    <x v="24"/>
    <x v="20"/>
    <x v="324"/>
    <n v="5.5599999427795401"/>
    <n v="5.5599999427795401"/>
    <n v="0"/>
    <n v="0"/>
    <n v="0"/>
    <n v="5.5599999427795401"/>
    <n v="0"/>
    <n v="0"/>
    <n v="0"/>
    <n v="420"/>
    <n v="1020"/>
    <x v="274"/>
    <x v="3"/>
    <n v="1440"/>
    <s v="Weekday"/>
    <x v="1"/>
  </r>
  <r>
    <x v="20"/>
    <x v="7"/>
    <x v="0"/>
    <n v="0"/>
    <n v="0"/>
    <n v="0"/>
    <n v="0"/>
    <n v="0"/>
    <n v="0"/>
    <n v="0"/>
    <n v="0"/>
    <n v="0"/>
    <n v="0"/>
    <n v="1440"/>
    <x v="275"/>
    <x v="3"/>
    <n v="1440"/>
    <s v="Weekday"/>
    <x v="0"/>
  </r>
  <r>
    <x v="21"/>
    <x v="27"/>
    <x v="325"/>
    <n v="3.9100000858306898"/>
    <n v="3.9100000858306898"/>
    <n v="0"/>
    <n v="0"/>
    <n v="0"/>
    <n v="3.8900001049041699"/>
    <n v="0"/>
    <n v="0"/>
    <n v="0"/>
    <n v="241"/>
    <n v="759"/>
    <x v="276"/>
    <x v="0"/>
    <n v="1000"/>
    <s v="Weekday"/>
    <x v="2"/>
  </r>
  <r>
    <x v="24"/>
    <x v="30"/>
    <x v="326"/>
    <n v="6.3499999046325701"/>
    <n v="6.3499999046325701"/>
    <n v="0"/>
    <n v="2.0899999141693102"/>
    <n v="0.230000004172325"/>
    <n v="4.0199999809265101"/>
    <n v="9.9999997764825804E-3"/>
    <n v="28"/>
    <n v="5"/>
    <n v="330"/>
    <n v="1077"/>
    <x v="277"/>
    <x v="2"/>
    <n v="1440"/>
    <s v="Weekend"/>
    <x v="1"/>
  </r>
  <r>
    <x v="10"/>
    <x v="29"/>
    <x v="327"/>
    <n v="7.5700001716613796"/>
    <n v="7.5700001716613796"/>
    <n v="0"/>
    <n v="1.37000000476837"/>
    <n v="0.79000002145767201"/>
    <n v="5.4099998474121103"/>
    <n v="0"/>
    <n v="19"/>
    <n v="13"/>
    <n v="277"/>
    <n v="767"/>
    <x v="278"/>
    <x v="5"/>
    <n v="1076"/>
    <s v="Weekend"/>
    <x v="3"/>
  </r>
  <r>
    <x v="11"/>
    <x v="6"/>
    <x v="328"/>
    <n v="6.71000003814697"/>
    <n v="6.71000003814697"/>
    <n v="0"/>
    <n v="0.33000001311302202"/>
    <n v="0.68000000715255704"/>
    <n v="5.6900000572204599"/>
    <n v="0"/>
    <n v="5"/>
    <n v="13"/>
    <n v="295"/>
    <n v="634"/>
    <x v="279"/>
    <x v="5"/>
    <n v="947"/>
    <s v="Weekend"/>
    <x v="3"/>
  </r>
  <r>
    <x v="9"/>
    <x v="29"/>
    <x v="329"/>
    <n v="4.4299998283386204"/>
    <n v="4.4299998283386204"/>
    <n v="0"/>
    <n v="0"/>
    <n v="0"/>
    <n v="4.4299998283386204"/>
    <n v="0"/>
    <n v="0"/>
    <n v="0"/>
    <n v="339"/>
    <n v="1101"/>
    <x v="280"/>
    <x v="5"/>
    <n v="1440"/>
    <s v="Weekend"/>
    <x v="2"/>
  </r>
  <r>
    <x v="10"/>
    <x v="13"/>
    <x v="330"/>
    <n v="7.1900000572204599"/>
    <n v="7.1900000572204599"/>
    <n v="0"/>
    <n v="2.9300000667571999"/>
    <n v="0.56999999284744296"/>
    <n v="3.6900000572204599"/>
    <n v="0"/>
    <n v="51"/>
    <n v="11"/>
    <n v="201"/>
    <n v="732"/>
    <x v="281"/>
    <x v="0"/>
    <n v="995"/>
    <s v="Weekday"/>
    <x v="3"/>
  </r>
  <r>
    <x v="11"/>
    <x v="17"/>
    <x v="331"/>
    <n v="6.8200001716613796"/>
    <n v="6.8200001716613796"/>
    <n v="0"/>
    <n v="0.55000001192092896"/>
    <n v="2.0199999809265101"/>
    <n v="4.25"/>
    <n v="0"/>
    <n v="7"/>
    <n v="38"/>
    <n v="279"/>
    <n v="697"/>
    <x v="282"/>
    <x v="1"/>
    <n v="1021"/>
    <s v="Weekday"/>
    <x v="3"/>
  </r>
  <r>
    <x v="0"/>
    <x v="19"/>
    <x v="332"/>
    <n v="9.8800001144409197"/>
    <n v="9.8800001144409197"/>
    <n v="0"/>
    <n v="3.5299999713897701"/>
    <n v="1.3200000524520901"/>
    <n v="5.0300002098083496"/>
    <n v="0"/>
    <n v="50"/>
    <n v="31"/>
    <n v="264"/>
    <n v="775"/>
    <x v="283"/>
    <x v="3"/>
    <n v="1120"/>
    <s v="Weekday"/>
    <x v="3"/>
  </r>
  <r>
    <x v="8"/>
    <x v="26"/>
    <x v="333"/>
    <n v="7.0100002288818404"/>
    <n v="7.0100002288818404"/>
    <n v="0"/>
    <n v="1.6599999666214"/>
    <n v="1.9400000572204601"/>
    <n v="3.4100000858306898"/>
    <n v="0"/>
    <n v="19"/>
    <n v="32"/>
    <n v="195"/>
    <n v="676"/>
    <x v="284"/>
    <x v="1"/>
    <n v="922"/>
    <s v="Weekday"/>
    <x v="3"/>
  </r>
  <r>
    <x v="11"/>
    <x v="27"/>
    <x v="334"/>
    <n v="7.53999996185303"/>
    <n v="7.53999996185303"/>
    <n v="0"/>
    <n v="0.82999998331069902"/>
    <n v="2.3900001049041699"/>
    <n v="4.3200001716613796"/>
    <n v="0"/>
    <n v="13"/>
    <n v="42"/>
    <n v="238"/>
    <n v="689"/>
    <x v="285"/>
    <x v="0"/>
    <n v="982"/>
    <s v="Weekday"/>
    <x v="3"/>
  </r>
  <r>
    <x v="5"/>
    <x v="29"/>
    <x v="335"/>
    <n v="1.6399999856948899"/>
    <n v="1.6399999856948899"/>
    <n v="0"/>
    <n v="0"/>
    <n v="0"/>
    <n v="1.6399999856948899"/>
    <n v="0"/>
    <n v="0"/>
    <n v="0"/>
    <n v="116"/>
    <n v="831"/>
    <x v="286"/>
    <x v="5"/>
    <n v="947"/>
    <s v="Weekend"/>
    <x v="0"/>
  </r>
  <r>
    <x v="21"/>
    <x v="16"/>
    <x v="336"/>
    <n v="3.7300000190734899"/>
    <n v="3.7300000190734899"/>
    <n v="0"/>
    <n v="0"/>
    <n v="0"/>
    <n v="3.7300000190734899"/>
    <n v="0"/>
    <n v="0"/>
    <n v="0"/>
    <n v="236"/>
    <n v="1204"/>
    <x v="286"/>
    <x v="4"/>
    <n v="1440"/>
    <s v="Weekday"/>
    <x v="0"/>
  </r>
  <r>
    <x v="2"/>
    <x v="29"/>
    <x v="337"/>
    <n v="7.1599998474121103"/>
    <n v="7.1599998474121103"/>
    <n v="0"/>
    <n v="5.4299998283386204"/>
    <n v="0.140000000596046"/>
    <n v="1.5900000333786"/>
    <n v="0"/>
    <n v="40"/>
    <n v="2"/>
    <n v="154"/>
    <n v="1244"/>
    <x v="286"/>
    <x v="5"/>
    <n v="1440"/>
    <s v="Weekend"/>
    <x v="1"/>
  </r>
  <r>
    <x v="19"/>
    <x v="5"/>
    <x v="338"/>
    <n v="6.2300000190734899"/>
    <n v="6.2300000190734899"/>
    <n v="0"/>
    <n v="0"/>
    <n v="0"/>
    <n v="6.2199997901916504"/>
    <n v="9.9999997764825804E-3"/>
    <n v="0"/>
    <n v="0"/>
    <n v="402"/>
    <n v="1038"/>
    <x v="286"/>
    <x v="4"/>
    <n v="1440"/>
    <s v="Weekday"/>
    <x v="1"/>
  </r>
  <r>
    <x v="11"/>
    <x v="19"/>
    <x v="339"/>
    <n v="7.0999999046325701"/>
    <n v="7.0999999046325701"/>
    <n v="0"/>
    <n v="2.0999999046325701"/>
    <n v="2.1300001144409202"/>
    <n v="2.8699998855590798"/>
    <n v="0"/>
    <n v="35"/>
    <n v="41"/>
    <n v="195"/>
    <n v="659"/>
    <x v="287"/>
    <x v="3"/>
    <n v="930"/>
    <s v="Weekday"/>
    <x v="3"/>
  </r>
  <r>
    <x v="8"/>
    <x v="21"/>
    <x v="340"/>
    <n v="6.75"/>
    <n v="6.75"/>
    <n v="0"/>
    <n v="1.8500000238418599"/>
    <n v="1.5299999713897701"/>
    <n v="3.3800001144409202"/>
    <n v="0"/>
    <n v="23"/>
    <n v="26"/>
    <n v="208"/>
    <n v="761"/>
    <x v="288"/>
    <x v="6"/>
    <n v="1018"/>
    <s v="Weekday"/>
    <x v="3"/>
  </r>
  <r>
    <x v="17"/>
    <x v="12"/>
    <x v="341"/>
    <n v="2.1600000858306898"/>
    <n v="2.1600000858306898"/>
    <n v="0"/>
    <n v="0"/>
    <n v="0"/>
    <n v="2.1500000953674299"/>
    <n v="0"/>
    <n v="0"/>
    <n v="0"/>
    <n v="125"/>
    <n v="566"/>
    <x v="289"/>
    <x v="5"/>
    <n v="691"/>
    <s v="Weekend"/>
    <x v="0"/>
  </r>
  <r>
    <x v="6"/>
    <x v="2"/>
    <x v="342"/>
    <n v="2.5199999809265101"/>
    <n v="2.5199999809265101"/>
    <n v="0"/>
    <n v="0"/>
    <n v="0"/>
    <n v="2.5199999809265101"/>
    <n v="0"/>
    <n v="0"/>
    <n v="0"/>
    <n v="200"/>
    <n v="1240"/>
    <x v="290"/>
    <x v="2"/>
    <n v="1440"/>
    <s v="Weekend"/>
    <x v="0"/>
  </r>
  <r>
    <x v="13"/>
    <x v="12"/>
    <x v="343"/>
    <n v="1.53999996185303"/>
    <n v="1.53999996185303"/>
    <n v="0"/>
    <n v="0.769999980926514"/>
    <n v="0.62000000476837203"/>
    <n v="0.15000000596046401"/>
    <n v="0"/>
    <n v="11"/>
    <n v="18"/>
    <n v="11"/>
    <n v="1400"/>
    <x v="291"/>
    <x v="5"/>
    <n v="1440"/>
    <s v="Weekend"/>
    <x v="0"/>
  </r>
  <r>
    <x v="19"/>
    <x v="14"/>
    <x v="344"/>
    <n v="5.78999996185303"/>
    <n v="5.78999996185303"/>
    <n v="0"/>
    <n v="1.8500000238418599"/>
    <n v="5.0000000745058101E-2"/>
    <n v="3.8699998855590798"/>
    <n v="9.9999997764825804E-3"/>
    <n v="22"/>
    <n v="2"/>
    <n v="333"/>
    <n v="1083"/>
    <x v="292"/>
    <x v="3"/>
    <n v="1440"/>
    <s v="Weekday"/>
    <x v="1"/>
  </r>
  <r>
    <x v="1"/>
    <x v="21"/>
    <x v="0"/>
    <n v="0"/>
    <n v="0"/>
    <n v="0"/>
    <n v="0"/>
    <n v="0"/>
    <n v="0"/>
    <n v="0"/>
    <n v="0"/>
    <n v="0"/>
    <n v="0"/>
    <n v="1440"/>
    <x v="293"/>
    <x v="6"/>
    <n v="1440"/>
    <s v="Weekday"/>
    <x v="0"/>
  </r>
  <r>
    <x v="1"/>
    <x v="14"/>
    <x v="0"/>
    <n v="0"/>
    <n v="0"/>
    <n v="0"/>
    <n v="0"/>
    <n v="0"/>
    <n v="0"/>
    <n v="0"/>
    <n v="0"/>
    <n v="0"/>
    <n v="0"/>
    <n v="1440"/>
    <x v="293"/>
    <x v="3"/>
    <n v="1440"/>
    <s v="Weekday"/>
    <x v="0"/>
  </r>
  <r>
    <x v="1"/>
    <x v="5"/>
    <x v="0"/>
    <n v="0"/>
    <n v="0"/>
    <n v="0"/>
    <n v="0"/>
    <n v="0"/>
    <n v="0"/>
    <n v="0"/>
    <n v="0"/>
    <n v="0"/>
    <n v="0"/>
    <n v="1440"/>
    <x v="293"/>
    <x v="4"/>
    <n v="1440"/>
    <s v="Weekday"/>
    <x v="0"/>
  </r>
  <r>
    <x v="9"/>
    <x v="21"/>
    <x v="345"/>
    <n v="5.3200001716613796"/>
    <n v="5.3200001716613796"/>
    <n v="0"/>
    <n v="0.119999997317791"/>
    <n v="0.519999980926514"/>
    <n v="4.6799998283386204"/>
    <n v="0"/>
    <n v="2"/>
    <n v="13"/>
    <n v="308"/>
    <n v="1117"/>
    <x v="294"/>
    <x v="6"/>
    <n v="1440"/>
    <s v="Weekday"/>
    <x v="1"/>
  </r>
  <r>
    <x v="23"/>
    <x v="6"/>
    <x v="0"/>
    <n v="0"/>
    <n v="0"/>
    <n v="0"/>
    <n v="0"/>
    <n v="0"/>
    <n v="0"/>
    <n v="0"/>
    <n v="0"/>
    <n v="0"/>
    <n v="0"/>
    <n v="1440"/>
    <x v="295"/>
    <x v="5"/>
    <n v="1440"/>
    <s v="Weekend"/>
    <x v="0"/>
  </r>
  <r>
    <x v="23"/>
    <x v="19"/>
    <x v="0"/>
    <n v="0"/>
    <n v="0"/>
    <n v="0"/>
    <n v="0"/>
    <n v="0"/>
    <n v="0"/>
    <n v="0"/>
    <n v="0"/>
    <n v="0"/>
    <n v="0"/>
    <n v="1440"/>
    <x v="295"/>
    <x v="3"/>
    <n v="1440"/>
    <s v="Weekday"/>
    <x v="0"/>
  </r>
  <r>
    <x v="23"/>
    <x v="18"/>
    <x v="0"/>
    <n v="0"/>
    <n v="0"/>
    <n v="0"/>
    <n v="0"/>
    <n v="0"/>
    <n v="0"/>
    <n v="0"/>
    <n v="0"/>
    <n v="0"/>
    <n v="0"/>
    <n v="1440"/>
    <x v="295"/>
    <x v="1"/>
    <n v="1440"/>
    <s v="Weekday"/>
    <x v="0"/>
  </r>
  <r>
    <x v="23"/>
    <x v="17"/>
    <x v="0"/>
    <n v="0"/>
    <n v="0"/>
    <n v="0"/>
    <n v="0"/>
    <n v="0"/>
    <n v="0"/>
    <n v="0"/>
    <n v="0"/>
    <n v="0"/>
    <n v="0"/>
    <n v="1440"/>
    <x v="295"/>
    <x v="1"/>
    <n v="1440"/>
    <s v="Weekday"/>
    <x v="0"/>
  </r>
  <r>
    <x v="23"/>
    <x v="5"/>
    <x v="0"/>
    <n v="0"/>
    <n v="0"/>
    <n v="0"/>
    <n v="0"/>
    <n v="0"/>
    <n v="0"/>
    <n v="0"/>
    <n v="0"/>
    <n v="0"/>
    <n v="0"/>
    <n v="1440"/>
    <x v="295"/>
    <x v="4"/>
    <n v="1440"/>
    <s v="Weekday"/>
    <x v="0"/>
  </r>
  <r>
    <x v="23"/>
    <x v="22"/>
    <x v="0"/>
    <n v="0"/>
    <n v="0"/>
    <n v="0"/>
    <n v="0"/>
    <n v="0"/>
    <n v="0"/>
    <n v="0"/>
    <n v="0"/>
    <n v="0"/>
    <n v="0"/>
    <n v="1440"/>
    <x v="295"/>
    <x v="6"/>
    <n v="1440"/>
    <s v="Weekday"/>
    <x v="0"/>
  </r>
  <r>
    <x v="23"/>
    <x v="15"/>
    <x v="0"/>
    <n v="0"/>
    <n v="0"/>
    <n v="0"/>
    <n v="0"/>
    <n v="0"/>
    <n v="0"/>
    <n v="0"/>
    <n v="0"/>
    <n v="0"/>
    <n v="0"/>
    <n v="1440"/>
    <x v="295"/>
    <x v="4"/>
    <n v="1440"/>
    <s v="Weekday"/>
    <x v="0"/>
  </r>
  <r>
    <x v="23"/>
    <x v="8"/>
    <x v="0"/>
    <n v="0"/>
    <n v="0"/>
    <n v="0"/>
    <n v="0"/>
    <n v="0"/>
    <n v="0"/>
    <n v="0"/>
    <n v="0"/>
    <n v="0"/>
    <n v="0"/>
    <n v="1440"/>
    <x v="295"/>
    <x v="0"/>
    <n v="1440"/>
    <s v="Weekday"/>
    <x v="0"/>
  </r>
  <r>
    <x v="23"/>
    <x v="1"/>
    <x v="0"/>
    <n v="0"/>
    <n v="0"/>
    <n v="0"/>
    <n v="0"/>
    <n v="0"/>
    <n v="0"/>
    <n v="0"/>
    <n v="0"/>
    <n v="0"/>
    <n v="0"/>
    <n v="1440"/>
    <x v="295"/>
    <x v="1"/>
    <n v="1440"/>
    <s v="Weekday"/>
    <x v="0"/>
  </r>
  <r>
    <x v="23"/>
    <x v="3"/>
    <x v="0"/>
    <n v="0"/>
    <n v="0"/>
    <n v="0"/>
    <n v="0"/>
    <n v="0"/>
    <n v="0"/>
    <n v="0"/>
    <n v="0"/>
    <n v="0"/>
    <n v="0"/>
    <n v="1440"/>
    <x v="295"/>
    <x v="2"/>
    <n v="1440"/>
    <s v="Weekend"/>
    <x v="0"/>
  </r>
  <r>
    <x v="24"/>
    <x v="11"/>
    <x v="346"/>
    <n v="5.6999998092651403"/>
    <n v="5.6999998092651403"/>
    <n v="0"/>
    <n v="0"/>
    <n v="0"/>
    <n v="5.6900000572204599"/>
    <n v="9.9999997764825804E-3"/>
    <n v="0"/>
    <n v="0"/>
    <n v="448"/>
    <n v="992"/>
    <x v="295"/>
    <x v="4"/>
    <n v="1440"/>
    <s v="Weekday"/>
    <x v="1"/>
  </r>
  <r>
    <x v="23"/>
    <x v="23"/>
    <x v="0"/>
    <n v="0"/>
    <n v="0"/>
    <n v="0"/>
    <n v="0"/>
    <n v="0"/>
    <n v="0"/>
    <n v="0"/>
    <n v="0"/>
    <n v="0"/>
    <n v="0"/>
    <n v="1440"/>
    <x v="296"/>
    <x v="2"/>
    <n v="1440"/>
    <s v="Weekend"/>
    <x v="0"/>
  </r>
  <r>
    <x v="23"/>
    <x v="21"/>
    <x v="0"/>
    <n v="0"/>
    <n v="0"/>
    <n v="0"/>
    <n v="0"/>
    <n v="0"/>
    <n v="0"/>
    <n v="0"/>
    <n v="0"/>
    <n v="0"/>
    <n v="0"/>
    <n v="1440"/>
    <x v="296"/>
    <x v="6"/>
    <n v="1440"/>
    <s v="Weekday"/>
    <x v="0"/>
  </r>
  <r>
    <x v="23"/>
    <x v="2"/>
    <x v="0"/>
    <n v="0"/>
    <n v="0"/>
    <n v="0"/>
    <n v="0"/>
    <n v="0"/>
    <n v="0"/>
    <n v="0"/>
    <n v="0"/>
    <n v="0"/>
    <n v="0"/>
    <n v="1440"/>
    <x v="296"/>
    <x v="2"/>
    <n v="1440"/>
    <s v="Weekend"/>
    <x v="0"/>
  </r>
  <r>
    <x v="19"/>
    <x v="28"/>
    <x v="347"/>
    <n v="6.0300002098083496"/>
    <n v="6.0300002098083496"/>
    <n v="0"/>
    <n v="0.34000000357627902"/>
    <n v="1.0299999713897701"/>
    <n v="4.6500000953674299"/>
    <n v="9.9999997764825804E-3"/>
    <n v="6"/>
    <n v="25"/>
    <n v="370"/>
    <n v="1039"/>
    <x v="297"/>
    <x v="6"/>
    <n v="1440"/>
    <s v="Weekday"/>
    <x v="1"/>
  </r>
  <r>
    <x v="25"/>
    <x v="16"/>
    <x v="348"/>
    <n v="5.2199997901916504"/>
    <n v="5.2199997901916504"/>
    <n v="0"/>
    <n v="0"/>
    <n v="0"/>
    <n v="5.2199997901916504"/>
    <n v="0"/>
    <n v="0"/>
    <n v="0"/>
    <n v="383"/>
    <n v="1057"/>
    <x v="298"/>
    <x v="4"/>
    <n v="1440"/>
    <s v="Weekday"/>
    <x v="1"/>
  </r>
  <r>
    <x v="11"/>
    <x v="22"/>
    <x v="349"/>
    <n v="6.96000003814697"/>
    <n v="6.96000003814697"/>
    <n v="0"/>
    <n v="0.99000000953674305"/>
    <n v="1.1599999666214"/>
    <n v="4.8099999427795401"/>
    <n v="0"/>
    <n v="14"/>
    <n v="22"/>
    <n v="305"/>
    <n v="591"/>
    <x v="298"/>
    <x v="6"/>
    <n v="932"/>
    <s v="Weekday"/>
    <x v="3"/>
  </r>
  <r>
    <x v="10"/>
    <x v="21"/>
    <x v="350"/>
    <n v="8.0600004196166992"/>
    <n v="8.0600004196166992"/>
    <n v="0"/>
    <n v="2.9500000476837198"/>
    <n v="2.1600000858306898"/>
    <n v="2.96000003814697"/>
    <n v="0"/>
    <n v="47"/>
    <n v="42"/>
    <n v="177"/>
    <n v="801"/>
    <x v="298"/>
    <x v="6"/>
    <n v="1067"/>
    <s v="Weekday"/>
    <x v="3"/>
  </r>
  <r>
    <x v="5"/>
    <x v="17"/>
    <x v="351"/>
    <n v="1.12999999523163"/>
    <n v="1.12999999523163"/>
    <n v="0"/>
    <n v="0"/>
    <n v="0"/>
    <n v="1.12999999523163"/>
    <n v="0"/>
    <n v="0"/>
    <n v="0"/>
    <n v="112"/>
    <n v="900"/>
    <x v="299"/>
    <x v="1"/>
    <n v="1012"/>
    <s v="Weekday"/>
    <x v="0"/>
  </r>
  <r>
    <x v="5"/>
    <x v="20"/>
    <x v="352"/>
    <n v="1.46000003814697"/>
    <n v="1.46000003814697"/>
    <n v="0"/>
    <n v="0"/>
    <n v="0"/>
    <n v="1.46000003814697"/>
    <n v="0"/>
    <n v="0"/>
    <n v="0"/>
    <n v="129"/>
    <n v="848"/>
    <x v="299"/>
    <x v="3"/>
    <n v="977"/>
    <s v="Weekday"/>
    <x v="0"/>
  </r>
  <r>
    <x v="13"/>
    <x v="6"/>
    <x v="353"/>
    <n v="1.78999996185303"/>
    <n v="1.78999996185303"/>
    <n v="0"/>
    <n v="0.34999999403953602"/>
    <n v="1.12999999523163"/>
    <n v="0.31000000238418601"/>
    <n v="0"/>
    <n v="5"/>
    <n v="24"/>
    <n v="19"/>
    <n v="1392"/>
    <x v="299"/>
    <x v="5"/>
    <n v="1440"/>
    <s v="Weekend"/>
    <x v="0"/>
  </r>
  <r>
    <x v="30"/>
    <x v="30"/>
    <x v="354"/>
    <n v="4.21000003814697"/>
    <n v="4.21000003814697"/>
    <n v="0"/>
    <n v="0"/>
    <n v="0"/>
    <n v="4.21000003814697"/>
    <n v="0"/>
    <n v="0"/>
    <n v="0"/>
    <n v="249"/>
    <n v="1191"/>
    <x v="300"/>
    <x v="2"/>
    <n v="1440"/>
    <s v="Weekend"/>
    <x v="2"/>
  </r>
  <r>
    <x v="18"/>
    <x v="20"/>
    <x v="355"/>
    <n v="1.96000003814697"/>
    <n v="1.96000003814697"/>
    <n v="0"/>
    <n v="0"/>
    <n v="0"/>
    <n v="1.96000003814697"/>
    <n v="0"/>
    <n v="0"/>
    <n v="0"/>
    <n v="180"/>
    <n v="897"/>
    <x v="301"/>
    <x v="3"/>
    <n v="1077"/>
    <s v="Weekday"/>
    <x v="0"/>
  </r>
  <r>
    <x v="18"/>
    <x v="13"/>
    <x v="356"/>
    <n v="2.2699999809265101"/>
    <n v="2.2699999809265101"/>
    <n v="0"/>
    <n v="0"/>
    <n v="0"/>
    <n v="2.2699999809265101"/>
    <n v="0"/>
    <n v="0"/>
    <n v="0"/>
    <n v="179"/>
    <n v="916"/>
    <x v="301"/>
    <x v="0"/>
    <n v="1095"/>
    <s v="Weekday"/>
    <x v="0"/>
  </r>
  <r>
    <x v="11"/>
    <x v="9"/>
    <x v="357"/>
    <n v="8.1199998855590803"/>
    <n v="8.1199998855590803"/>
    <n v="0"/>
    <n v="1.7400000095367401"/>
    <n v="2.03999996185303"/>
    <n v="4.3299999237060502"/>
    <n v="0"/>
    <n v="21"/>
    <n v="36"/>
    <n v="267"/>
    <n v="654"/>
    <x v="302"/>
    <x v="2"/>
    <n v="978"/>
    <s v="Weekend"/>
    <x v="3"/>
  </r>
  <r>
    <x v="6"/>
    <x v="23"/>
    <x v="358"/>
    <n v="3.0999999046325701"/>
    <n v="3.0999999046325701"/>
    <n v="0"/>
    <n v="0"/>
    <n v="0"/>
    <n v="3.0999999046325701"/>
    <n v="0"/>
    <n v="0"/>
    <n v="0"/>
    <n v="203"/>
    <n v="1155"/>
    <x v="303"/>
    <x v="2"/>
    <n v="1358"/>
    <s v="Weekend"/>
    <x v="0"/>
  </r>
  <r>
    <x v="25"/>
    <x v="30"/>
    <x v="359"/>
    <n v="4.5500001907348597"/>
    <n v="4.5500001907348597"/>
    <n v="0"/>
    <n v="0.34000000357627902"/>
    <n v="0.20000000298023199"/>
    <n v="4.0100002288818404"/>
    <n v="0"/>
    <n v="5"/>
    <n v="5"/>
    <n v="308"/>
    <n v="1122"/>
    <x v="304"/>
    <x v="2"/>
    <n v="1440"/>
    <s v="Weekend"/>
    <x v="2"/>
  </r>
  <r>
    <x v="11"/>
    <x v="20"/>
    <x v="360"/>
    <n v="6.71000003814697"/>
    <n v="6.71000003814697"/>
    <n v="0"/>
    <n v="0.46999999880790699"/>
    <n v="1.6799999475479099"/>
    <n v="4.5500001907348597"/>
    <n v="0"/>
    <n v="15"/>
    <n v="36"/>
    <n v="284"/>
    <n v="683"/>
    <x v="305"/>
    <x v="3"/>
    <n v="1018"/>
    <s v="Weekday"/>
    <x v="3"/>
  </r>
  <r>
    <x v="11"/>
    <x v="24"/>
    <x v="361"/>
    <n v="7.0900001525878897"/>
    <n v="7.0900001525878897"/>
    <n v="0"/>
    <n v="1.7699999809265099"/>
    <n v="1.54999995231628"/>
    <n v="3.7699999809265101"/>
    <n v="0"/>
    <n v="30"/>
    <n v="33"/>
    <n v="240"/>
    <n v="659"/>
    <x v="305"/>
    <x v="4"/>
    <n v="962"/>
    <s v="Weekday"/>
    <x v="3"/>
  </r>
  <r>
    <x v="7"/>
    <x v="2"/>
    <x v="362"/>
    <n v="5.5199999809265101"/>
    <n v="5.5199999809265101"/>
    <n v="0"/>
    <n v="0.40000000596046398"/>
    <n v="1.6100000143051101"/>
    <n v="3.5099999904632599"/>
    <n v="0"/>
    <n v="6"/>
    <n v="38"/>
    <n v="196"/>
    <n v="695"/>
    <x v="306"/>
    <x v="2"/>
    <n v="935"/>
    <s v="Weekend"/>
    <x v="1"/>
  </r>
  <r>
    <x v="23"/>
    <x v="24"/>
    <x v="363"/>
    <n v="0.10000000149011599"/>
    <n v="0.10000000149011599"/>
    <n v="0"/>
    <n v="0"/>
    <n v="0"/>
    <n v="0.10000000149011599"/>
    <n v="0"/>
    <n v="0"/>
    <n v="0"/>
    <n v="10"/>
    <n v="1430"/>
    <x v="307"/>
    <x v="4"/>
    <n v="1440"/>
    <s v="Weekday"/>
    <x v="0"/>
  </r>
  <r>
    <x v="19"/>
    <x v="26"/>
    <x v="364"/>
    <n v="6.6300001144409197"/>
    <n v="6.6300001144409197"/>
    <n v="0"/>
    <n v="0.99000000953674305"/>
    <n v="0.34000000357627902"/>
    <n v="5.2699999809265101"/>
    <n v="1.9999999552965199E-2"/>
    <n v="16"/>
    <n v="8"/>
    <n v="371"/>
    <n v="1045"/>
    <x v="307"/>
    <x v="1"/>
    <n v="1440"/>
    <s v="Weekday"/>
    <x v="1"/>
  </r>
  <r>
    <x v="10"/>
    <x v="14"/>
    <x v="365"/>
    <n v="7.7600002288818404"/>
    <n v="7.7600002288818404"/>
    <n v="0"/>
    <n v="2.3699998855590798"/>
    <n v="0.93000000715255704"/>
    <n v="4.46000003814697"/>
    <n v="0"/>
    <n v="40"/>
    <n v="18"/>
    <n v="238"/>
    <n v="750"/>
    <x v="307"/>
    <x v="3"/>
    <n v="1046"/>
    <s v="Weekday"/>
    <x v="3"/>
  </r>
  <r>
    <x v="24"/>
    <x v="18"/>
    <x v="366"/>
    <n v="6.3000001907348597"/>
    <n v="6.3000001907348597"/>
    <n v="0"/>
    <n v="1.5099999904632599"/>
    <n v="0.119999997317791"/>
    <n v="4.6599998474121103"/>
    <n v="9.9999997764825804E-3"/>
    <n v="22"/>
    <n v="5"/>
    <n v="378"/>
    <n v="1035"/>
    <x v="308"/>
    <x v="1"/>
    <n v="1440"/>
    <s v="Weekday"/>
    <x v="1"/>
  </r>
  <r>
    <x v="25"/>
    <x v="24"/>
    <x v="367"/>
    <n v="6.3499999046325701"/>
    <n v="6.3499999046325701"/>
    <n v="0"/>
    <n v="1.37000000476837"/>
    <n v="1.5"/>
    <n v="3.4700000286102299"/>
    <n v="0"/>
    <n v="20"/>
    <n v="25"/>
    <n v="273"/>
    <n v="1122"/>
    <x v="308"/>
    <x v="4"/>
    <n v="1440"/>
    <s v="Weekday"/>
    <x v="1"/>
  </r>
  <r>
    <x v="18"/>
    <x v="26"/>
    <x v="368"/>
    <n v="1.9900000095367401"/>
    <n v="1.9900000095367401"/>
    <n v="0"/>
    <n v="0"/>
    <n v="0"/>
    <n v="1.9900000095367401"/>
    <n v="0"/>
    <n v="0"/>
    <n v="0"/>
    <n v="194"/>
    <n v="840"/>
    <x v="309"/>
    <x v="1"/>
    <n v="1034"/>
    <s v="Weekday"/>
    <x v="0"/>
  </r>
  <r>
    <x v="19"/>
    <x v="17"/>
    <x v="369"/>
    <n v="5.4200000762939498"/>
    <n v="5.4200000762939498"/>
    <n v="0"/>
    <n v="1.58000004291534"/>
    <n v="0.62999999523162797"/>
    <n v="3.1900000572204599"/>
    <n v="9.9999997764825804E-3"/>
    <n v="24"/>
    <n v="13"/>
    <n v="346"/>
    <n v="1057"/>
    <x v="309"/>
    <x v="1"/>
    <n v="1440"/>
    <s v="Weekday"/>
    <x v="1"/>
  </r>
  <r>
    <x v="8"/>
    <x v="13"/>
    <x v="370"/>
    <n v="6.3800001144409197"/>
    <n v="6.3800001144409197"/>
    <n v="0"/>
    <n v="1.2699999809265099"/>
    <n v="0.519999980926514"/>
    <n v="4.5999999046325701"/>
    <n v="0"/>
    <n v="15"/>
    <n v="11"/>
    <n v="277"/>
    <n v="653"/>
    <x v="309"/>
    <x v="0"/>
    <n v="956"/>
    <s v="Weekday"/>
    <x v="1"/>
  </r>
  <r>
    <x v="24"/>
    <x v="15"/>
    <x v="371"/>
    <n v="5.53999996185303"/>
    <n v="5.53999996185303"/>
    <n v="0"/>
    <n v="2.9000000953674299"/>
    <n v="0"/>
    <n v="2.6400001049041699"/>
    <n v="0"/>
    <n v="46"/>
    <n v="0"/>
    <n v="326"/>
    <n v="1068"/>
    <x v="310"/>
    <x v="4"/>
    <n v="1440"/>
    <s v="Weekday"/>
    <x v="1"/>
  </r>
  <r>
    <x v="6"/>
    <x v="11"/>
    <x v="372"/>
    <n v="3.5299999713897701"/>
    <n v="3.5299999713897701"/>
    <n v="0"/>
    <n v="0"/>
    <n v="0"/>
    <n v="3.5299999713897701"/>
    <n v="0"/>
    <n v="0"/>
    <n v="0"/>
    <n v="202"/>
    <n v="1238"/>
    <x v="311"/>
    <x v="4"/>
    <n v="1440"/>
    <s v="Weekday"/>
    <x v="2"/>
  </r>
  <r>
    <x v="25"/>
    <x v="17"/>
    <x v="373"/>
    <n v="6.3200001716613796"/>
    <n v="6.3200001716613796"/>
    <n v="0"/>
    <n v="1.96000003814697"/>
    <n v="0.88999998569488503"/>
    <n v="3.46000003814697"/>
    <n v="0"/>
    <n v="27"/>
    <n v="14"/>
    <n v="312"/>
    <n v="1087"/>
    <x v="311"/>
    <x v="1"/>
    <n v="1440"/>
    <s v="Weekday"/>
    <x v="1"/>
  </r>
  <r>
    <x v="23"/>
    <x v="13"/>
    <x v="374"/>
    <n v="0.109999999403954"/>
    <n v="0.109999999403954"/>
    <n v="0"/>
    <n v="0"/>
    <n v="0"/>
    <n v="0.109999999403954"/>
    <n v="0"/>
    <n v="0"/>
    <n v="0"/>
    <n v="12"/>
    <n v="1303"/>
    <x v="312"/>
    <x v="0"/>
    <n v="1315"/>
    <s v="Weekday"/>
    <x v="0"/>
  </r>
  <r>
    <x v="25"/>
    <x v="2"/>
    <x v="375"/>
    <n v="6.8200001716613796"/>
    <n v="6.8200001716613796"/>
    <n v="0"/>
    <n v="0.46999999880790699"/>
    <n v="1.8899999856948899"/>
    <n v="4.46000003814697"/>
    <n v="0"/>
    <n v="7"/>
    <n v="29"/>
    <n v="293"/>
    <n v="1111"/>
    <x v="313"/>
    <x v="2"/>
    <n v="1440"/>
    <s v="Weekend"/>
    <x v="3"/>
  </r>
  <r>
    <x v="10"/>
    <x v="24"/>
    <x v="376"/>
    <n v="7.6300001144409197"/>
    <n v="7.6300001144409197"/>
    <n v="0"/>
    <n v="1.37999999523163"/>
    <n v="0.62999999523162797"/>
    <n v="5.5999999046325701"/>
    <n v="0"/>
    <n v="25"/>
    <n v="16"/>
    <n v="270"/>
    <n v="781"/>
    <x v="313"/>
    <x v="4"/>
    <n v="1092"/>
    <s v="Weekday"/>
    <x v="3"/>
  </r>
  <r>
    <x v="11"/>
    <x v="8"/>
    <x v="377"/>
    <n v="8.7200002670288104"/>
    <n v="8.6800003051757795"/>
    <n v="3.1678218841552699"/>
    <n v="3.9000000953674299"/>
    <n v="1.1799999475479099"/>
    <n v="3.6500000953674299"/>
    <n v="0"/>
    <n v="43"/>
    <n v="21"/>
    <n v="231"/>
    <n v="607"/>
    <x v="313"/>
    <x v="0"/>
    <n v="902"/>
    <s v="Weekday"/>
    <x v="3"/>
  </r>
  <r>
    <x v="23"/>
    <x v="27"/>
    <x v="151"/>
    <n v="0.17000000178813901"/>
    <n v="0.17000000178813901"/>
    <n v="0"/>
    <n v="0"/>
    <n v="0"/>
    <n v="0.17000000178813901"/>
    <n v="0"/>
    <n v="0"/>
    <n v="0"/>
    <n v="17"/>
    <n v="1423"/>
    <x v="314"/>
    <x v="0"/>
    <n v="1440"/>
    <s v="Weekday"/>
    <x v="0"/>
  </r>
  <r>
    <x v="2"/>
    <x v="6"/>
    <x v="378"/>
    <n v="7.9099998474121103"/>
    <n v="7.9099998474121103"/>
    <n v="0"/>
    <n v="5.4299998283386204"/>
    <n v="0.15000000596046401"/>
    <n v="2.3299999237060498"/>
    <n v="0"/>
    <n v="41"/>
    <n v="5"/>
    <n v="157"/>
    <n v="1237"/>
    <x v="315"/>
    <x v="5"/>
    <n v="1440"/>
    <s v="Weekend"/>
    <x v="3"/>
  </r>
  <r>
    <x v="18"/>
    <x v="29"/>
    <x v="379"/>
    <n v="2.2000000476837198"/>
    <n v="2.2000000476837198"/>
    <n v="0"/>
    <n v="0"/>
    <n v="0"/>
    <n v="2.2000000476837198"/>
    <n v="0"/>
    <n v="0"/>
    <n v="0"/>
    <n v="196"/>
    <n v="787"/>
    <x v="316"/>
    <x v="5"/>
    <n v="983"/>
    <s v="Weekend"/>
    <x v="0"/>
  </r>
  <r>
    <x v="7"/>
    <x v="29"/>
    <x v="380"/>
    <n v="5.1999998092651403"/>
    <n v="5.1999998092651403"/>
    <n v="0"/>
    <n v="0"/>
    <n v="0"/>
    <n v="0"/>
    <n v="0"/>
    <n v="0"/>
    <n v="0"/>
    <n v="0"/>
    <n v="1440"/>
    <x v="317"/>
    <x v="5"/>
    <n v="1440"/>
    <s v="Weekend"/>
    <x v="1"/>
  </r>
  <r>
    <x v="25"/>
    <x v="27"/>
    <x v="381"/>
    <n v="5.9099998474121103"/>
    <n v="5.9099998474121103"/>
    <n v="0"/>
    <n v="0.980000019073486"/>
    <n v="0.93000000715255704"/>
    <n v="4"/>
    <n v="0"/>
    <n v="14"/>
    <n v="15"/>
    <n v="331"/>
    <n v="1080"/>
    <x v="318"/>
    <x v="0"/>
    <n v="1440"/>
    <s v="Weekday"/>
    <x v="1"/>
  </r>
  <r>
    <x v="10"/>
    <x v="9"/>
    <x v="382"/>
    <n v="8.3900003433227504"/>
    <n v="8.3900003433227504"/>
    <n v="0"/>
    <n v="1.5"/>
    <n v="1.20000004768372"/>
    <n v="5.6799998283386204"/>
    <n v="0"/>
    <n v="26"/>
    <n v="29"/>
    <n v="247"/>
    <n v="812"/>
    <x v="318"/>
    <x v="2"/>
    <n v="1114"/>
    <s v="Weekend"/>
    <x v="3"/>
  </r>
  <r>
    <x v="25"/>
    <x v="6"/>
    <x v="383"/>
    <n v="6.4000000953674299"/>
    <n v="6.4000000953674299"/>
    <n v="0"/>
    <n v="0.55000001192092896"/>
    <n v="1.1399999856948899"/>
    <n v="4.71000003814697"/>
    <n v="0"/>
    <n v="7"/>
    <n v="19"/>
    <n v="304"/>
    <n v="1110"/>
    <x v="319"/>
    <x v="5"/>
    <n v="1440"/>
    <s v="Weekend"/>
    <x v="1"/>
  </r>
  <r>
    <x v="18"/>
    <x v="22"/>
    <x v="384"/>
    <n v="2.5499999523162802"/>
    <n v="2.5499999523162802"/>
    <n v="0"/>
    <n v="0.119999997317791"/>
    <n v="0.239999994635582"/>
    <n v="2.1800000667571999"/>
    <n v="0"/>
    <n v="2"/>
    <n v="6"/>
    <n v="185"/>
    <n v="734"/>
    <x v="320"/>
    <x v="6"/>
    <n v="927"/>
    <s v="Weekday"/>
    <x v="0"/>
  </r>
  <r>
    <x v="25"/>
    <x v="11"/>
    <x v="385"/>
    <n v="5.1500000953674299"/>
    <n v="5.1500000953674299"/>
    <n v="0"/>
    <n v="0.58999997377395597"/>
    <n v="0.83999997377395597"/>
    <n v="3.7300000190734899"/>
    <n v="0"/>
    <n v="17"/>
    <n v="30"/>
    <n v="262"/>
    <n v="1131"/>
    <x v="321"/>
    <x v="4"/>
    <n v="1440"/>
    <s v="Weekday"/>
    <x v="1"/>
  </r>
  <r>
    <x v="18"/>
    <x v="4"/>
    <x v="386"/>
    <n v="3.5899999141693102"/>
    <n v="3.5899999141693102"/>
    <n v="0"/>
    <n v="2.1300001144409202"/>
    <n v="0.18999999761581399"/>
    <n v="1.25"/>
    <n v="0"/>
    <n v="26"/>
    <n v="4"/>
    <n v="108"/>
    <n v="866"/>
    <x v="322"/>
    <x v="3"/>
    <n v="1004"/>
    <s v="Weekday"/>
    <x v="2"/>
  </r>
  <r>
    <x v="19"/>
    <x v="21"/>
    <x v="387"/>
    <n v="6.0700001716613796"/>
    <n v="6.0700001716613796"/>
    <n v="0"/>
    <n v="1.1499999761581401"/>
    <n v="0.259999990463257"/>
    <n v="4.6399998664856001"/>
    <n v="9.9999997764825804E-3"/>
    <n v="18"/>
    <n v="9"/>
    <n v="376"/>
    <n v="1037"/>
    <x v="323"/>
    <x v="6"/>
    <n v="1440"/>
    <s v="Weekday"/>
    <x v="1"/>
  </r>
  <r>
    <x v="15"/>
    <x v="29"/>
    <x v="361"/>
    <n v="7.4899997711181596"/>
    <n v="7.4899997711181596"/>
    <n v="0"/>
    <n v="1.16999995708466"/>
    <n v="0.31000000238418601"/>
    <n v="6.0100002288818404"/>
    <n v="0"/>
    <n v="13"/>
    <n v="9"/>
    <n v="306"/>
    <n v="1112"/>
    <x v="323"/>
    <x v="5"/>
    <n v="1440"/>
    <s v="Weekend"/>
    <x v="3"/>
  </r>
  <r>
    <x v="13"/>
    <x v="11"/>
    <x v="388"/>
    <n v="0.92000001668930098"/>
    <n v="0.92000001668930098"/>
    <n v="0"/>
    <n v="0"/>
    <n v="0"/>
    <n v="0.92000001668930098"/>
    <n v="0"/>
    <n v="0"/>
    <n v="0"/>
    <n v="58"/>
    <n v="976"/>
    <x v="324"/>
    <x v="4"/>
    <n v="1034"/>
    <s v="Weekday"/>
    <x v="0"/>
  </r>
  <r>
    <x v="9"/>
    <x v="28"/>
    <x v="389"/>
    <n v="5.25"/>
    <n v="5.25"/>
    <n v="0"/>
    <n v="0"/>
    <n v="0"/>
    <n v="5.2300000190734899"/>
    <n v="0"/>
    <n v="0"/>
    <n v="0"/>
    <n v="373"/>
    <n v="843"/>
    <x v="325"/>
    <x v="6"/>
    <n v="1216"/>
    <s v="Weekday"/>
    <x v="1"/>
  </r>
  <r>
    <x v="25"/>
    <x v="3"/>
    <x v="390"/>
    <n v="6.0199999809265101"/>
    <n v="6.0199999809265101"/>
    <n v="0"/>
    <n v="0.259999990463257"/>
    <n v="1.8200000524520901"/>
    <n v="3.9400000572204599"/>
    <n v="0"/>
    <n v="4"/>
    <n v="31"/>
    <n v="324"/>
    <n v="1081"/>
    <x v="326"/>
    <x v="2"/>
    <n v="1440"/>
    <s v="Weekend"/>
    <x v="1"/>
  </r>
  <r>
    <x v="2"/>
    <x v="30"/>
    <x v="391"/>
    <n v="6.2600002288818404"/>
    <n v="6.2600002288818404"/>
    <n v="0"/>
    <n v="2.0899999141693102"/>
    <n v="1.03999996185303"/>
    <n v="3.1300001144409202"/>
    <n v="0"/>
    <n v="30"/>
    <n v="26"/>
    <n v="191"/>
    <n v="1193"/>
    <x v="327"/>
    <x v="2"/>
    <n v="1440"/>
    <s v="Weekend"/>
    <x v="1"/>
  </r>
  <r>
    <x v="8"/>
    <x v="11"/>
    <x v="392"/>
    <n v="6.9200000762939498"/>
    <n v="6.9200000762939498"/>
    <n v="0"/>
    <n v="7.0000000298023196E-2"/>
    <n v="1.41999995708466"/>
    <n v="5.4299998283386204"/>
    <n v="0"/>
    <n v="1"/>
    <n v="24"/>
    <n v="284"/>
    <n v="720"/>
    <x v="328"/>
    <x v="4"/>
    <n v="1029"/>
    <s v="Weekday"/>
    <x v="3"/>
  </r>
  <r>
    <x v="7"/>
    <x v="26"/>
    <x v="393"/>
    <n v="5.5"/>
    <n v="5.5"/>
    <n v="0"/>
    <n v="0.52999997138977095"/>
    <n v="0.58999997377395597"/>
    <n v="1.3099999427795399"/>
    <n v="0"/>
    <n v="8"/>
    <n v="15"/>
    <n v="96"/>
    <n v="1234"/>
    <x v="329"/>
    <x v="1"/>
    <n v="1353"/>
    <s v="Weekday"/>
    <x v="1"/>
  </r>
  <r>
    <x v="22"/>
    <x v="21"/>
    <x v="394"/>
    <n v="0.88999998569488503"/>
    <n v="0.88999998569488503"/>
    <n v="0"/>
    <n v="0"/>
    <n v="0"/>
    <n v="0.87999999523162797"/>
    <n v="9.9999997764825804E-3"/>
    <n v="0"/>
    <n v="0"/>
    <n v="38"/>
    <n v="1402"/>
    <x v="330"/>
    <x v="6"/>
    <n v="1440"/>
    <s v="Weekday"/>
    <x v="0"/>
  </r>
  <r>
    <x v="24"/>
    <x v="23"/>
    <x v="395"/>
    <n v="6.6500000953674299"/>
    <n v="6.6500000953674299"/>
    <n v="0"/>
    <n v="3.1099998950958301"/>
    <n v="1.9999999552965199E-2"/>
    <n v="3.5099999904632599"/>
    <n v="9.9999997764825804E-3"/>
    <n v="47"/>
    <n v="1"/>
    <n v="305"/>
    <n v="1087"/>
    <x v="331"/>
    <x v="2"/>
    <n v="1440"/>
    <s v="Weekend"/>
    <x v="1"/>
  </r>
  <r>
    <x v="18"/>
    <x v="30"/>
    <x v="396"/>
    <n v="2.9300000667571999"/>
    <n v="2.9300000667571999"/>
    <n v="0"/>
    <n v="0"/>
    <n v="0"/>
    <n v="2.9300000667571999"/>
    <n v="0"/>
    <n v="0"/>
    <n v="0"/>
    <n v="201"/>
    <n v="1239"/>
    <x v="332"/>
    <x v="2"/>
    <n v="1440"/>
    <s v="Weekend"/>
    <x v="0"/>
  </r>
  <r>
    <x v="18"/>
    <x v="21"/>
    <x v="397"/>
    <n v="2.5599999427795401"/>
    <n v="2.5599999427795401"/>
    <n v="0"/>
    <n v="0"/>
    <n v="0"/>
    <n v="2.53999996185303"/>
    <n v="0"/>
    <n v="0"/>
    <n v="0"/>
    <n v="215"/>
    <n v="756"/>
    <x v="333"/>
    <x v="6"/>
    <n v="971"/>
    <s v="Weekday"/>
    <x v="0"/>
  </r>
  <r>
    <x v="23"/>
    <x v="26"/>
    <x v="398"/>
    <n v="0.25"/>
    <n v="0.25"/>
    <n v="0"/>
    <n v="0"/>
    <n v="0"/>
    <n v="0.25"/>
    <n v="0"/>
    <n v="0"/>
    <n v="0"/>
    <n v="32"/>
    <n v="986"/>
    <x v="334"/>
    <x v="1"/>
    <n v="1018"/>
    <s v="Weekday"/>
    <x v="0"/>
  </r>
  <r>
    <x v="10"/>
    <x v="22"/>
    <x v="399"/>
    <n v="9.5100002288818395"/>
    <n v="9.5100002288818395"/>
    <n v="0"/>
    <n v="3.4300000667571999"/>
    <n v="1.6599999666214"/>
    <n v="4.4299998283386204"/>
    <n v="0"/>
    <n v="44"/>
    <n v="29"/>
    <n v="241"/>
    <n v="692"/>
    <x v="335"/>
    <x v="6"/>
    <n v="1006"/>
    <s v="Weekday"/>
    <x v="3"/>
  </r>
  <r>
    <x v="7"/>
    <x v="4"/>
    <x v="389"/>
    <n v="5.3299999237060502"/>
    <n v="5.3299999237060502"/>
    <n v="0"/>
    <n v="0.18999999761581399"/>
    <n v="1.04999995231628"/>
    <n v="4.0799999237060502"/>
    <n v="0"/>
    <n v="3"/>
    <n v="28"/>
    <n v="279"/>
    <n v="586"/>
    <x v="336"/>
    <x v="3"/>
    <n v="896"/>
    <s v="Weekday"/>
    <x v="1"/>
  </r>
  <r>
    <x v="0"/>
    <x v="17"/>
    <x v="400"/>
    <n v="12.210000038146999"/>
    <n v="12.210000038146999"/>
    <n v="0"/>
    <n v="6.4000000953674299"/>
    <n v="0.40999999642372098"/>
    <n v="5.4099998474121103"/>
    <n v="0"/>
    <n v="78"/>
    <n v="11"/>
    <n v="243"/>
    <n v="1108"/>
    <x v="337"/>
    <x v="1"/>
    <n v="1440"/>
    <s v="Weekday"/>
    <x v="3"/>
  </r>
  <r>
    <x v="11"/>
    <x v="16"/>
    <x v="401"/>
    <n v="8.5399999618530291"/>
    <n v="8.5399999618530291"/>
    <n v="0"/>
    <n v="1.20000004768372"/>
    <n v="2"/>
    <n v="5.3400001525878897"/>
    <n v="0"/>
    <n v="18"/>
    <n v="39"/>
    <n v="313"/>
    <n v="655"/>
    <x v="338"/>
    <x v="4"/>
    <n v="1025"/>
    <s v="Weekday"/>
    <x v="3"/>
  </r>
  <r>
    <x v="10"/>
    <x v="5"/>
    <x v="199"/>
    <n v="8.3299999237060494"/>
    <n v="8.3299999237060494"/>
    <n v="0"/>
    <n v="2.78999996185303"/>
    <n v="0.63999998569488503"/>
    <n v="4.9099998474121103"/>
    <n v="0"/>
    <n v="46"/>
    <n v="15"/>
    <n v="270"/>
    <n v="709"/>
    <x v="339"/>
    <x v="4"/>
    <n v="1040"/>
    <s v="Weekday"/>
    <x v="3"/>
  </r>
  <r>
    <x v="25"/>
    <x v="12"/>
    <x v="402"/>
    <n v="5.6599998474121103"/>
    <n v="5.6599998474121103"/>
    <n v="0"/>
    <n v="0"/>
    <n v="0"/>
    <n v="5.6500000953674299"/>
    <n v="0"/>
    <n v="0"/>
    <n v="0"/>
    <n v="395"/>
    <n v="1045"/>
    <x v="340"/>
    <x v="5"/>
    <n v="1440"/>
    <s v="Weekend"/>
    <x v="1"/>
  </r>
  <r>
    <x v="11"/>
    <x v="23"/>
    <x v="403"/>
    <n v="8.7399997711181605"/>
    <n v="8.7399997711181605"/>
    <n v="0"/>
    <n v="3.6600000858306898"/>
    <n v="0.18999999761581399"/>
    <n v="4.8800001144409197"/>
    <n v="0"/>
    <n v="50"/>
    <n v="3"/>
    <n v="280"/>
    <n v="741"/>
    <x v="340"/>
    <x v="2"/>
    <n v="1074"/>
    <s v="Weekend"/>
    <x v="3"/>
  </r>
  <r>
    <x v="11"/>
    <x v="18"/>
    <x v="404"/>
    <n v="9.5500001907348597"/>
    <n v="9.5500001907348597"/>
    <n v="0"/>
    <n v="4.2800002098083496"/>
    <n v="0.18999999761581399"/>
    <n v="5.0900001525878897"/>
    <n v="0"/>
    <n v="48"/>
    <n v="4"/>
    <n v="297"/>
    <n v="639"/>
    <x v="341"/>
    <x v="1"/>
    <n v="988"/>
    <s v="Weekday"/>
    <x v="3"/>
  </r>
  <r>
    <x v="1"/>
    <x v="8"/>
    <x v="405"/>
    <n v="4.75"/>
    <n v="4.75"/>
    <n v="0"/>
    <n v="0"/>
    <n v="0"/>
    <n v="4.7300000190734899"/>
    <n v="1.9999999552965199E-2"/>
    <n v="0"/>
    <n v="0"/>
    <n v="264"/>
    <n v="800"/>
    <x v="342"/>
    <x v="0"/>
    <n v="1064"/>
    <s v="Weekday"/>
    <x v="2"/>
  </r>
  <r>
    <x v="7"/>
    <x v="5"/>
    <x v="406"/>
    <n v="5.3600001335143999"/>
    <n v="5.3600001335143999"/>
    <n v="0"/>
    <n v="0.44999998807907099"/>
    <n v="0.79000002145767201"/>
    <n v="4.1199998855590803"/>
    <n v="0"/>
    <n v="6"/>
    <n v="18"/>
    <n v="289"/>
    <n v="624"/>
    <x v="342"/>
    <x v="4"/>
    <n v="937"/>
    <s v="Weekday"/>
    <x v="1"/>
  </r>
  <r>
    <x v="30"/>
    <x v="23"/>
    <x v="407"/>
    <n v="7.0900001525878897"/>
    <n v="7.0900001525878897"/>
    <n v="0"/>
    <n v="3.1500000953674299"/>
    <n v="0.55000001192092896"/>
    <n v="3.3900001049041699"/>
    <n v="0"/>
    <n v="41"/>
    <n v="11"/>
    <n v="151"/>
    <n v="1237"/>
    <x v="343"/>
    <x v="2"/>
    <n v="1440"/>
    <s v="Weekend"/>
    <x v="3"/>
  </r>
  <r>
    <x v="11"/>
    <x v="21"/>
    <x v="408"/>
    <n v="9.7100000381469709"/>
    <n v="7.8800001144409197"/>
    <n v="4.0816922187805202"/>
    <n v="3.9900000095367401"/>
    <n v="2.0999999046325701"/>
    <n v="3.5099999904632599"/>
    <n v="0.109999999403954"/>
    <n v="53"/>
    <n v="27"/>
    <n v="214"/>
    <n v="708"/>
    <x v="344"/>
    <x v="6"/>
    <n v="1002"/>
    <s v="Weekday"/>
    <x v="3"/>
  </r>
  <r>
    <x v="18"/>
    <x v="23"/>
    <x v="409"/>
    <n v="2.6500000953674299"/>
    <n v="2.6500000953674299"/>
    <n v="0"/>
    <n v="0"/>
    <n v="0"/>
    <n v="2.6500000953674299"/>
    <n v="0"/>
    <n v="0"/>
    <n v="0"/>
    <n v="225"/>
    <n v="716"/>
    <x v="345"/>
    <x v="2"/>
    <n v="941"/>
    <s v="Weekend"/>
    <x v="0"/>
  </r>
  <r>
    <x v="18"/>
    <x v="1"/>
    <x v="410"/>
    <n v="2.6300001144409202"/>
    <n v="2.6300001144409202"/>
    <n v="0"/>
    <n v="0"/>
    <n v="0"/>
    <n v="2.6300001144409202"/>
    <n v="0"/>
    <n v="0"/>
    <n v="0"/>
    <n v="231"/>
    <n v="783"/>
    <x v="346"/>
    <x v="1"/>
    <n v="1014"/>
    <s v="Weekday"/>
    <x v="0"/>
  </r>
  <r>
    <x v="11"/>
    <x v="25"/>
    <x v="411"/>
    <n v="8.3500003814697301"/>
    <n v="8.3500003814697301"/>
    <n v="0"/>
    <n v="2.5099999904632599"/>
    <n v="0.239999994635582"/>
    <n v="5.5900001525878897"/>
    <n v="0"/>
    <n v="38"/>
    <n v="8"/>
    <n v="288"/>
    <n v="621"/>
    <x v="347"/>
    <x v="6"/>
    <n v="955"/>
    <s v="Weekday"/>
    <x v="3"/>
  </r>
  <r>
    <x v="25"/>
    <x v="25"/>
    <x v="412"/>
    <n v="6.25"/>
    <n v="6.25"/>
    <n v="0"/>
    <n v="1.9999999552965199E-2"/>
    <n v="0.270000010728836"/>
    <n v="5.9499998092651403"/>
    <n v="0"/>
    <n v="1"/>
    <n v="11"/>
    <n v="367"/>
    <n v="985"/>
    <x v="348"/>
    <x v="6"/>
    <n v="1364"/>
    <s v="Weekday"/>
    <x v="1"/>
  </r>
  <r>
    <x v="8"/>
    <x v="12"/>
    <x v="413"/>
    <n v="6.2600002288818404"/>
    <n v="6.2600002288818404"/>
    <n v="0"/>
    <n v="0"/>
    <n v="0"/>
    <n v="6.2600002288818404"/>
    <n v="0"/>
    <n v="0"/>
    <n v="0"/>
    <n v="360"/>
    <n v="584"/>
    <x v="349"/>
    <x v="5"/>
    <n v="944"/>
    <s v="Weekend"/>
    <x v="1"/>
  </r>
  <r>
    <x v="5"/>
    <x v="18"/>
    <x v="414"/>
    <n v="2.0099999904632599"/>
    <n v="2.0099999904632599"/>
    <n v="0"/>
    <n v="0"/>
    <n v="0.28000000119209301"/>
    <n v="1.7400000095367401"/>
    <n v="0"/>
    <n v="0"/>
    <n v="10"/>
    <n v="139"/>
    <n v="744"/>
    <x v="350"/>
    <x v="1"/>
    <n v="893"/>
    <s v="Weekday"/>
    <x v="0"/>
  </r>
  <r>
    <x v="31"/>
    <x v="16"/>
    <x v="415"/>
    <n v="3.6400001049041699"/>
    <n v="3.6400001049041699"/>
    <n v="0"/>
    <n v="0"/>
    <n v="0"/>
    <n v="3.5599999427795401"/>
    <n v="0"/>
    <n v="0"/>
    <n v="0"/>
    <n v="105"/>
    <n v="1335"/>
    <x v="351"/>
    <x v="4"/>
    <n v="1440"/>
    <s v="Weekday"/>
    <x v="0"/>
  </r>
  <r>
    <x v="18"/>
    <x v="28"/>
    <x v="416"/>
    <n v="2.6700000762939502"/>
    <n v="2.6700000762939502"/>
    <n v="0"/>
    <n v="0"/>
    <n v="0"/>
    <n v="2.6700000762939502"/>
    <n v="0"/>
    <n v="0"/>
    <n v="0"/>
    <n v="231"/>
    <n v="717"/>
    <x v="352"/>
    <x v="6"/>
    <n v="948"/>
    <s v="Weekday"/>
    <x v="0"/>
  </r>
  <r>
    <x v="8"/>
    <x v="17"/>
    <x v="417"/>
    <n v="7.5799999237060502"/>
    <n v="7.5799999237060502"/>
    <n v="0"/>
    <n v="1.8600000143051101"/>
    <n v="0.40000000596046398"/>
    <n v="5.3200001716613796"/>
    <n v="0"/>
    <n v="26"/>
    <n v="9"/>
    <n v="295"/>
    <n v="623"/>
    <x v="352"/>
    <x v="1"/>
    <n v="953"/>
    <s v="Weekday"/>
    <x v="3"/>
  </r>
  <r>
    <x v="11"/>
    <x v="13"/>
    <x v="418"/>
    <n v="9.2700004577636701"/>
    <n v="9.0799999237060494"/>
    <n v="2.7851750850677499"/>
    <n v="3.0199999809265101"/>
    <n v="1.6799999475479099"/>
    <n v="4.46000003814697"/>
    <n v="0.10000000149011599"/>
    <n v="35"/>
    <n v="31"/>
    <n v="282"/>
    <n v="637"/>
    <x v="352"/>
    <x v="0"/>
    <n v="985"/>
    <s v="Weekday"/>
    <x v="3"/>
  </r>
  <r>
    <x v="23"/>
    <x v="9"/>
    <x v="419"/>
    <n v="0.92000001668930098"/>
    <n v="0.92000001668930098"/>
    <n v="0"/>
    <n v="0.730000019073486"/>
    <n v="0"/>
    <n v="0.18000000715255701"/>
    <n v="0"/>
    <n v="10"/>
    <n v="0"/>
    <n v="17"/>
    <n v="1413"/>
    <x v="353"/>
    <x v="2"/>
    <n v="1440"/>
    <s v="Weekend"/>
    <x v="0"/>
  </r>
  <r>
    <x v="18"/>
    <x v="5"/>
    <x v="420"/>
    <n v="3.1400001049041699"/>
    <n v="3.1400001049041699"/>
    <n v="0"/>
    <n v="0"/>
    <n v="0"/>
    <n v="3.1300001144409202"/>
    <n v="0"/>
    <n v="0"/>
    <n v="0"/>
    <n v="226"/>
    <n v="1106"/>
    <x v="354"/>
    <x v="4"/>
    <n v="1332"/>
    <s v="Weekday"/>
    <x v="0"/>
  </r>
  <r>
    <x v="8"/>
    <x v="18"/>
    <x v="421"/>
    <n v="7.2699999809265101"/>
    <n v="7.2699999809265101"/>
    <n v="0"/>
    <n v="0.68000000715255704"/>
    <n v="1.8099999427795399"/>
    <n v="4.7800002098083496"/>
    <n v="0"/>
    <n v="11"/>
    <n v="43"/>
    <n v="269"/>
    <n v="1011"/>
    <x v="355"/>
    <x v="1"/>
    <n v="1334"/>
    <s v="Weekday"/>
    <x v="3"/>
  </r>
  <r>
    <x v="7"/>
    <x v="19"/>
    <x v="422"/>
    <n v="5.9899997711181596"/>
    <n v="5.9899997711181596"/>
    <n v="0"/>
    <n v="0"/>
    <n v="0"/>
    <n v="5.9899997711181596"/>
    <n v="0"/>
    <n v="0"/>
    <n v="0"/>
    <n v="311"/>
    <n v="604"/>
    <x v="356"/>
    <x v="3"/>
    <n v="915"/>
    <s v="Weekday"/>
    <x v="1"/>
  </r>
  <r>
    <x v="18"/>
    <x v="25"/>
    <x v="423"/>
    <n v="3.0099999904632599"/>
    <n v="3.0099999904632599"/>
    <n v="0"/>
    <n v="0"/>
    <n v="0"/>
    <n v="3.0099999904632599"/>
    <n v="0"/>
    <n v="0"/>
    <n v="0"/>
    <n v="236"/>
    <n v="762"/>
    <x v="357"/>
    <x v="6"/>
    <n v="998"/>
    <s v="Weekday"/>
    <x v="0"/>
  </r>
  <r>
    <x v="14"/>
    <x v="16"/>
    <x v="424"/>
    <n v="0.34000000357627902"/>
    <n v="0.34000000357627902"/>
    <n v="0"/>
    <n v="0"/>
    <n v="3.9999999105930301E-2"/>
    <n v="0.28999999165535001"/>
    <n v="0"/>
    <n v="0"/>
    <n v="11"/>
    <n v="31"/>
    <n v="1350"/>
    <x v="358"/>
    <x v="4"/>
    <n v="1392"/>
    <s v="Weekday"/>
    <x v="0"/>
  </r>
  <r>
    <x v="18"/>
    <x v="10"/>
    <x v="425"/>
    <n v="3.0299999713897701"/>
    <n v="3.0299999713897701"/>
    <n v="0"/>
    <n v="0"/>
    <n v="0"/>
    <n v="3.0299999713897701"/>
    <n v="0"/>
    <n v="0"/>
    <n v="0"/>
    <n v="229"/>
    <n v="809"/>
    <x v="359"/>
    <x v="5"/>
    <n v="1038"/>
    <s v="Weekend"/>
    <x v="0"/>
  </r>
  <r>
    <x v="2"/>
    <x v="21"/>
    <x v="426"/>
    <n v="8.5600004196166992"/>
    <n v="8.5600004196166992"/>
    <n v="0"/>
    <n v="5.8800001144409197"/>
    <n v="0.93000000715255704"/>
    <n v="1.75"/>
    <n v="0"/>
    <n v="49"/>
    <n v="20"/>
    <n v="172"/>
    <n v="1199"/>
    <x v="360"/>
    <x v="6"/>
    <n v="1440"/>
    <s v="Weekday"/>
    <x v="3"/>
  </r>
  <r>
    <x v="23"/>
    <x v="29"/>
    <x v="427"/>
    <n v="0.46999999880790699"/>
    <n v="0.46999999880790699"/>
    <n v="0"/>
    <n v="0"/>
    <n v="0"/>
    <n v="0.46999999880790699"/>
    <n v="0"/>
    <n v="0"/>
    <n v="0"/>
    <n v="55"/>
    <n v="734"/>
    <x v="361"/>
    <x v="5"/>
    <n v="789"/>
    <s v="Weekend"/>
    <x v="0"/>
  </r>
  <r>
    <x v="7"/>
    <x v="18"/>
    <x v="428"/>
    <n v="6.0100002288818404"/>
    <n v="6.0100002288818404"/>
    <n v="0"/>
    <n v="0"/>
    <n v="0.68000000715255704"/>
    <n v="5.3099999427795401"/>
    <n v="0"/>
    <n v="0"/>
    <n v="18"/>
    <n v="306"/>
    <n v="671"/>
    <x v="361"/>
    <x v="1"/>
    <n v="995"/>
    <s v="Weekday"/>
    <x v="1"/>
  </r>
  <r>
    <x v="23"/>
    <x v="11"/>
    <x v="429"/>
    <n v="0.68000000715255704"/>
    <n v="0.68000000715255704"/>
    <n v="0"/>
    <n v="0"/>
    <n v="0"/>
    <n v="0.68000000715255704"/>
    <n v="0"/>
    <n v="0"/>
    <n v="0"/>
    <n v="51"/>
    <n v="941"/>
    <x v="362"/>
    <x v="4"/>
    <n v="992"/>
    <s v="Weekday"/>
    <x v="0"/>
  </r>
  <r>
    <x v="22"/>
    <x v="20"/>
    <x v="430"/>
    <n v="1.6799999475479099"/>
    <n v="1.6799999475479099"/>
    <n v="0"/>
    <n v="0"/>
    <n v="0"/>
    <n v="1.6599999666214"/>
    <n v="1.9999999552965199E-2"/>
    <n v="0"/>
    <n v="0"/>
    <n v="52"/>
    <n v="1388"/>
    <x v="363"/>
    <x v="3"/>
    <n v="1440"/>
    <s v="Weekday"/>
    <x v="0"/>
  </r>
  <r>
    <x v="25"/>
    <x v="14"/>
    <x v="431"/>
    <n v="6.0500001907348597"/>
    <n v="6.0500001907348597"/>
    <n v="0"/>
    <n v="0.43000000715255698"/>
    <n v="2.0299999713897701"/>
    <n v="3.5899999141693102"/>
    <n v="0"/>
    <n v="12"/>
    <n v="41"/>
    <n v="283"/>
    <n v="1062"/>
    <x v="364"/>
    <x v="3"/>
    <n v="1398"/>
    <s v="Weekday"/>
    <x v="1"/>
  </r>
  <r>
    <x v="25"/>
    <x v="8"/>
    <x v="432"/>
    <n v="7.5700001716613796"/>
    <n v="7.5700001716613796"/>
    <n v="0"/>
    <n v="0.43000000715255698"/>
    <n v="1.62000000476837"/>
    <n v="5.5199999809265101"/>
    <n v="0"/>
    <n v="6"/>
    <n v="30"/>
    <n v="339"/>
    <n v="1065"/>
    <x v="364"/>
    <x v="0"/>
    <n v="1440"/>
    <s v="Weekday"/>
    <x v="3"/>
  </r>
  <r>
    <x v="13"/>
    <x v="23"/>
    <x v="433"/>
    <n v="3.3900001049041699"/>
    <n v="3.3900001049041699"/>
    <n v="0"/>
    <n v="2.5199999809265101"/>
    <n v="0.81000000238418601"/>
    <n v="5.9999998658895499E-2"/>
    <n v="0"/>
    <n v="36"/>
    <n v="18"/>
    <n v="9"/>
    <n v="1377"/>
    <x v="365"/>
    <x v="2"/>
    <n v="1440"/>
    <s v="Weekend"/>
    <x v="0"/>
  </r>
  <r>
    <x v="6"/>
    <x v="7"/>
    <x v="434"/>
    <n v="3.75"/>
    <n v="3.75"/>
    <n v="0"/>
    <n v="0"/>
    <n v="0"/>
    <n v="3.75"/>
    <n v="0"/>
    <n v="0"/>
    <n v="0"/>
    <n v="237"/>
    <n v="1142"/>
    <x v="365"/>
    <x v="3"/>
    <n v="1379"/>
    <s v="Weekday"/>
    <x v="2"/>
  </r>
  <r>
    <x v="21"/>
    <x v="6"/>
    <x v="435"/>
    <n v="5.4000000953674299"/>
    <n v="5.4000000953674299"/>
    <n v="0"/>
    <n v="0"/>
    <n v="0"/>
    <n v="5.4000000953674299"/>
    <n v="0"/>
    <n v="0"/>
    <n v="0"/>
    <n v="312"/>
    <n v="702"/>
    <x v="365"/>
    <x v="5"/>
    <n v="1014"/>
    <s v="Weekend"/>
    <x v="2"/>
  </r>
  <r>
    <x v="25"/>
    <x v="13"/>
    <x v="436"/>
    <n v="5.3499999046325701"/>
    <n v="5.3499999046325701"/>
    <n v="0"/>
    <n v="0.58999997377395597"/>
    <n v="0.25"/>
    <n v="4.5100002288818404"/>
    <n v="0"/>
    <n v="18"/>
    <n v="10"/>
    <n v="340"/>
    <n v="993"/>
    <x v="365"/>
    <x v="0"/>
    <n v="1361"/>
    <s v="Weekday"/>
    <x v="1"/>
  </r>
  <r>
    <x v="23"/>
    <x v="4"/>
    <x v="21"/>
    <n v="1.03999996185303"/>
    <n v="1.03999996185303"/>
    <n v="0"/>
    <n v="0"/>
    <n v="0"/>
    <n v="1.03999996185303"/>
    <n v="0"/>
    <n v="0"/>
    <n v="0"/>
    <n v="48"/>
    <n v="1392"/>
    <x v="366"/>
    <x v="3"/>
    <n v="1440"/>
    <s v="Weekday"/>
    <x v="0"/>
  </r>
  <r>
    <x v="7"/>
    <x v="3"/>
    <x v="437"/>
    <n v="6.1300001144409197"/>
    <n v="6.1300001144409197"/>
    <n v="0"/>
    <n v="0.20000000298023199"/>
    <n v="0.74000000953674305"/>
    <n v="5.1799998283386204"/>
    <n v="0"/>
    <n v="3"/>
    <n v="18"/>
    <n v="311"/>
    <n v="574"/>
    <x v="367"/>
    <x v="2"/>
    <n v="906"/>
    <s v="Weekend"/>
    <x v="1"/>
  </r>
  <r>
    <x v="7"/>
    <x v="9"/>
    <x v="438"/>
    <n v="6.4699997901916504"/>
    <n v="6.4699997901916504"/>
    <n v="0"/>
    <n v="0.57999998331069902"/>
    <n v="1.0700000524520901"/>
    <n v="4.8299999237060502"/>
    <n v="0"/>
    <n v="8"/>
    <n v="26"/>
    <n v="287"/>
    <n v="669"/>
    <x v="368"/>
    <x v="2"/>
    <n v="990"/>
    <s v="Weekend"/>
    <x v="1"/>
  </r>
  <r>
    <x v="7"/>
    <x v="14"/>
    <x v="439"/>
    <n v="6.6399998664856001"/>
    <n v="6.6399998664856001"/>
    <n v="0"/>
    <n v="0.56999999284744296"/>
    <n v="0.92000001668930098"/>
    <n v="5.1500000953674299"/>
    <n v="0"/>
    <n v="8"/>
    <n v="21"/>
    <n v="288"/>
    <n v="649"/>
    <x v="369"/>
    <x v="3"/>
    <n v="966"/>
    <s v="Weekday"/>
    <x v="1"/>
  </r>
  <r>
    <x v="20"/>
    <x v="24"/>
    <x v="440"/>
    <n v="1.3500000238418599"/>
    <n v="1.3500000238418599"/>
    <n v="0"/>
    <n v="0"/>
    <n v="0"/>
    <n v="1.3500000238418599"/>
    <n v="0"/>
    <n v="0"/>
    <n v="0"/>
    <n v="72"/>
    <n v="1341"/>
    <x v="370"/>
    <x v="4"/>
    <n v="1413"/>
    <s v="Weekday"/>
    <x v="0"/>
  </r>
  <r>
    <x v="24"/>
    <x v="24"/>
    <x v="441"/>
    <n v="4.9000000953674299"/>
    <n v="4.9000000953674299"/>
    <n v="0"/>
    <n v="0.46000000834464999"/>
    <n v="0"/>
    <n v="4.4200000762939498"/>
    <n v="1.9999999552965199E-2"/>
    <n v="46"/>
    <n v="0"/>
    <n v="366"/>
    <n v="1028"/>
    <x v="370"/>
    <x v="4"/>
    <n v="1440"/>
    <s v="Weekday"/>
    <x v="2"/>
  </r>
  <r>
    <x v="18"/>
    <x v="7"/>
    <x v="206"/>
    <n v="3.5099999904632599"/>
    <n v="3.5099999904632599"/>
    <n v="0"/>
    <n v="0"/>
    <n v="0"/>
    <n v="3.5099999904632599"/>
    <n v="0"/>
    <n v="0"/>
    <n v="0"/>
    <n v="240"/>
    <n v="741"/>
    <x v="371"/>
    <x v="3"/>
    <n v="981"/>
    <s v="Weekday"/>
    <x v="2"/>
  </r>
  <r>
    <x v="18"/>
    <x v="12"/>
    <x v="442"/>
    <n v="3.3599998950958301"/>
    <n v="3.3599998950958301"/>
    <n v="0"/>
    <n v="0"/>
    <n v="0"/>
    <n v="3.3599998950958301"/>
    <n v="0"/>
    <n v="0"/>
    <n v="0"/>
    <n v="244"/>
    <n v="1196"/>
    <x v="372"/>
    <x v="5"/>
    <n v="1440"/>
    <s v="Weekend"/>
    <x v="2"/>
  </r>
  <r>
    <x v="18"/>
    <x v="27"/>
    <x v="443"/>
    <n v="4.2399997711181596"/>
    <n v="4.2399997711181596"/>
    <n v="0"/>
    <n v="2"/>
    <n v="0.28999999165535001"/>
    <n v="1.95000004768372"/>
    <n v="0"/>
    <n v="25"/>
    <n v="6"/>
    <n v="162"/>
    <n v="1247"/>
    <x v="373"/>
    <x v="0"/>
    <n v="1440"/>
    <s v="Weekday"/>
    <x v="2"/>
  </r>
  <r>
    <x v="21"/>
    <x v="15"/>
    <x v="444"/>
    <n v="5.5300002098083496"/>
    <n v="5.5300002098083496"/>
    <n v="0"/>
    <n v="0"/>
    <n v="0"/>
    <n v="5.5300002098083496"/>
    <n v="0"/>
    <n v="0"/>
    <n v="0"/>
    <n v="318"/>
    <n v="517"/>
    <x v="374"/>
    <x v="4"/>
    <n v="835"/>
    <s v="Weekday"/>
    <x v="2"/>
  </r>
  <r>
    <x v="11"/>
    <x v="5"/>
    <x v="445"/>
    <n v="7.1100001335143999"/>
    <n v="7.1100001335143999"/>
    <n v="0"/>
    <n v="0.81999999284744296"/>
    <n v="0.479999989271164"/>
    <n v="5.8099999427795401"/>
    <n v="0"/>
    <n v="12"/>
    <n v="15"/>
    <n v="369"/>
    <n v="645"/>
    <x v="375"/>
    <x v="4"/>
    <n v="1041"/>
    <s v="Weekday"/>
    <x v="3"/>
  </r>
  <r>
    <x v="10"/>
    <x v="11"/>
    <x v="446"/>
    <n v="10.8599996566772"/>
    <n v="10.8599996566772"/>
    <n v="0"/>
    <n v="4.1599998474121103"/>
    <n v="1.9800000190734901"/>
    <n v="4.71000003814697"/>
    <n v="0"/>
    <n v="58"/>
    <n v="38"/>
    <n v="239"/>
    <n v="689"/>
    <x v="375"/>
    <x v="4"/>
    <n v="1024"/>
    <s v="Weekday"/>
    <x v="3"/>
  </r>
  <r>
    <x v="7"/>
    <x v="1"/>
    <x v="447"/>
    <n v="6.3699998855590803"/>
    <n v="6.3699998855590803"/>
    <n v="0"/>
    <n v="0.20999999344348899"/>
    <n v="0.46000000834464999"/>
    <n v="5.6999998092651403"/>
    <n v="0"/>
    <n v="3"/>
    <n v="12"/>
    <n v="329"/>
    <n v="555"/>
    <x v="376"/>
    <x v="1"/>
    <n v="899"/>
    <s v="Weekday"/>
    <x v="1"/>
  </r>
  <r>
    <x v="25"/>
    <x v="22"/>
    <x v="448"/>
    <n v="7.0100002288818404"/>
    <n v="7.0100002288818404"/>
    <n v="0"/>
    <n v="1.0099999904632599"/>
    <n v="0.5"/>
    <n v="5.5100002288818404"/>
    <n v="0"/>
    <n v="14"/>
    <n v="8"/>
    <n v="370"/>
    <n v="1048"/>
    <x v="377"/>
    <x v="6"/>
    <n v="1440"/>
    <s v="Weekday"/>
    <x v="3"/>
  </r>
  <r>
    <x v="7"/>
    <x v="10"/>
    <x v="449"/>
    <n v="6.4200000762939498"/>
    <n v="6.4200000762939498"/>
    <n v="0"/>
    <n v="0.40999999642372098"/>
    <n v="0.46999999880790699"/>
    <n v="5.46000003814697"/>
    <n v="0"/>
    <n v="6"/>
    <n v="11"/>
    <n v="314"/>
    <n v="692"/>
    <x v="378"/>
    <x v="5"/>
    <n v="1023"/>
    <s v="Weekend"/>
    <x v="1"/>
  </r>
  <r>
    <x v="7"/>
    <x v="16"/>
    <x v="450"/>
    <n v="6.2399997711181596"/>
    <n v="6.2399997711181596"/>
    <n v="0"/>
    <n v="0"/>
    <n v="0.43999999761581399"/>
    <n v="5.71000003814697"/>
    <n v="0"/>
    <n v="0"/>
    <n v="11"/>
    <n v="344"/>
    <n v="585"/>
    <x v="379"/>
    <x v="4"/>
    <n v="940"/>
    <s v="Weekday"/>
    <x v="1"/>
  </r>
  <r>
    <x v="10"/>
    <x v="8"/>
    <x v="451"/>
    <n v="7.5799999237060502"/>
    <n v="7.5799999237060502"/>
    <n v="0"/>
    <n v="2.1300001144409202"/>
    <n v="0.88999998569488503"/>
    <n v="4.5599999427795401"/>
    <n v="0"/>
    <n v="59"/>
    <n v="22"/>
    <n v="251"/>
    <n v="667"/>
    <x v="380"/>
    <x v="0"/>
    <n v="999"/>
    <s v="Weekday"/>
    <x v="3"/>
  </r>
  <r>
    <x v="21"/>
    <x v="2"/>
    <x v="452"/>
    <n v="5.2800002098083496"/>
    <n v="5.2800002098083496"/>
    <n v="0"/>
    <n v="0"/>
    <n v="0"/>
    <n v="5.2800002098083496"/>
    <n v="0"/>
    <n v="0"/>
    <n v="0"/>
    <n v="343"/>
    <n v="1040"/>
    <x v="381"/>
    <x v="2"/>
    <n v="1383"/>
    <s v="Weekend"/>
    <x v="2"/>
  </r>
  <r>
    <x v="13"/>
    <x v="2"/>
    <x v="453"/>
    <n v="1.78999996185303"/>
    <n v="1.78999996185303"/>
    <n v="0"/>
    <n v="0.15999999642372101"/>
    <n v="0.15999999642372101"/>
    <n v="1.4800000190734901"/>
    <n v="0"/>
    <n v="3"/>
    <n v="9"/>
    <n v="84"/>
    <n v="1344"/>
    <x v="382"/>
    <x v="2"/>
    <n v="1440"/>
    <s v="Weekend"/>
    <x v="0"/>
  </r>
  <r>
    <x v="18"/>
    <x v="8"/>
    <x v="454"/>
    <n v="3.53999996185303"/>
    <n v="3.53999996185303"/>
    <n v="0"/>
    <n v="0"/>
    <n v="0"/>
    <n v="3.53999996185303"/>
    <n v="0"/>
    <n v="0"/>
    <n v="0"/>
    <n v="266"/>
    <n v="641"/>
    <x v="383"/>
    <x v="0"/>
    <n v="907"/>
    <s v="Weekday"/>
    <x v="2"/>
  </r>
  <r>
    <x v="7"/>
    <x v="20"/>
    <x v="455"/>
    <n v="7.0199999809265101"/>
    <n v="7.0199999809265101"/>
    <n v="0"/>
    <n v="0.58999997377395597"/>
    <n v="0.57999998331069902"/>
    <n v="5.8499999046325701"/>
    <n v="0"/>
    <n v="8"/>
    <n v="13"/>
    <n v="313"/>
    <n v="1106"/>
    <x v="384"/>
    <x v="3"/>
    <n v="1440"/>
    <s v="Weekday"/>
    <x v="3"/>
  </r>
  <r>
    <x v="6"/>
    <x v="30"/>
    <x v="456"/>
    <n v="5.4099998474121103"/>
    <n v="5.4099998474121103"/>
    <n v="0"/>
    <n v="0.129999995231628"/>
    <n v="1.12999999523163"/>
    <n v="4.1500000953674299"/>
    <n v="0"/>
    <n v="2"/>
    <n v="25"/>
    <n v="223"/>
    <n v="1190"/>
    <x v="385"/>
    <x v="2"/>
    <n v="1440"/>
    <s v="Weekend"/>
    <x v="1"/>
  </r>
  <r>
    <x v="10"/>
    <x v="19"/>
    <x v="457"/>
    <n v="10.1099996566772"/>
    <n v="10.1099996566772"/>
    <n v="0"/>
    <n v="4.2800002098083496"/>
    <n v="1.6599999666214"/>
    <n v="4.1799998283386204"/>
    <n v="0"/>
    <n v="69"/>
    <n v="28"/>
    <n v="249"/>
    <n v="756"/>
    <x v="385"/>
    <x v="3"/>
    <n v="1102"/>
    <s v="Weekday"/>
    <x v="3"/>
  </r>
  <r>
    <x v="27"/>
    <x v="29"/>
    <x v="458"/>
    <n v="4.0300002098083496"/>
    <n v="4.0300002098083496"/>
    <n v="0"/>
    <n v="0"/>
    <n v="0"/>
    <n v="3.9400000572204599"/>
    <n v="0"/>
    <n v="0"/>
    <n v="0"/>
    <n v="164"/>
    <n v="1276"/>
    <x v="386"/>
    <x v="5"/>
    <n v="1440"/>
    <s v="Weekend"/>
    <x v="2"/>
  </r>
  <r>
    <x v="18"/>
    <x v="14"/>
    <x v="459"/>
    <n v="4.4099998474121103"/>
    <n v="4.4099998474121103"/>
    <n v="0"/>
    <n v="2.4100000858306898"/>
    <n v="3.9999999105930301E-2"/>
    <n v="1.96000003814697"/>
    <n v="0"/>
    <n v="29"/>
    <n v="1"/>
    <n v="180"/>
    <n v="839"/>
    <x v="387"/>
    <x v="3"/>
    <n v="1049"/>
    <s v="Weekday"/>
    <x v="2"/>
  </r>
  <r>
    <x v="30"/>
    <x v="25"/>
    <x v="460"/>
    <n v="7.1199998855590803"/>
    <n v="7.1199998855590803"/>
    <n v="0"/>
    <n v="0.40999999642372098"/>
    <n v="1.33000004291534"/>
    <n v="5.3899998664856001"/>
    <n v="0"/>
    <n v="6"/>
    <n v="20"/>
    <n v="291"/>
    <n v="1123"/>
    <x v="388"/>
    <x v="6"/>
    <n v="1440"/>
    <s v="Weekday"/>
    <x v="3"/>
  </r>
  <r>
    <x v="5"/>
    <x v="9"/>
    <x v="461"/>
    <n v="1.54999995231628"/>
    <n v="1.54999995231628"/>
    <n v="0"/>
    <n v="0"/>
    <n v="0"/>
    <n v="1.54999995231628"/>
    <n v="0"/>
    <n v="0"/>
    <n v="0"/>
    <n v="156"/>
    <n v="739"/>
    <x v="389"/>
    <x v="2"/>
    <n v="895"/>
    <s v="Weekend"/>
    <x v="0"/>
  </r>
  <r>
    <x v="7"/>
    <x v="28"/>
    <x v="462"/>
    <n v="6.8800001144409197"/>
    <n v="6.8800001144409197"/>
    <n v="0"/>
    <n v="0.109999999403954"/>
    <n v="0.33000001311302202"/>
    <n v="6.4400000572204599"/>
    <n v="0"/>
    <n v="1"/>
    <n v="9"/>
    <n v="339"/>
    <n v="589"/>
    <x v="390"/>
    <x v="6"/>
    <n v="938"/>
    <s v="Weekday"/>
    <x v="3"/>
  </r>
  <r>
    <x v="21"/>
    <x v="12"/>
    <x v="463"/>
    <n v="5.7600002288818404"/>
    <n v="5.7600002288818404"/>
    <n v="0"/>
    <n v="0"/>
    <n v="0"/>
    <n v="5.7600002288818404"/>
    <n v="0"/>
    <n v="0"/>
    <n v="0"/>
    <n v="362"/>
    <n v="711"/>
    <x v="391"/>
    <x v="5"/>
    <n v="1073"/>
    <s v="Weekend"/>
    <x v="1"/>
  </r>
  <r>
    <x v="27"/>
    <x v="26"/>
    <x v="464"/>
    <n v="4.4699997901916504"/>
    <n v="4.4699997901916504"/>
    <n v="0"/>
    <n v="0"/>
    <n v="0"/>
    <n v="4.3699998855590803"/>
    <n v="0"/>
    <n v="0"/>
    <n v="0"/>
    <n v="160"/>
    <n v="1280"/>
    <x v="392"/>
    <x v="1"/>
    <n v="1440"/>
    <s v="Weekday"/>
    <x v="2"/>
  </r>
  <r>
    <x v="30"/>
    <x v="28"/>
    <x v="465"/>
    <n v="7.5"/>
    <n v="7.5"/>
    <n v="0"/>
    <n v="2.4800000190734899"/>
    <n v="0.20999999344348899"/>
    <n v="4.8200001716613796"/>
    <n v="0"/>
    <n v="32"/>
    <n v="3"/>
    <n v="257"/>
    <n v="1148"/>
    <x v="393"/>
    <x v="6"/>
    <n v="1440"/>
    <s v="Weekday"/>
    <x v="3"/>
  </r>
  <r>
    <x v="7"/>
    <x v="13"/>
    <x v="466"/>
    <n v="6.21000003814697"/>
    <n v="6.21000003814697"/>
    <n v="0"/>
    <n v="0"/>
    <n v="0.28000000119209301"/>
    <n v="5.9299998283386204"/>
    <n v="0"/>
    <n v="0"/>
    <n v="8"/>
    <n v="390"/>
    <n v="544"/>
    <x v="394"/>
    <x v="0"/>
    <n v="942"/>
    <s v="Weekday"/>
    <x v="1"/>
  </r>
  <r>
    <x v="13"/>
    <x v="7"/>
    <x v="467"/>
    <n v="1.7799999713897701"/>
    <n v="1.7799999713897701"/>
    <n v="0"/>
    <n v="0.479999989271164"/>
    <n v="0.62000000476837203"/>
    <n v="0.68000000715255704"/>
    <n v="0"/>
    <n v="9"/>
    <n v="34"/>
    <n v="50"/>
    <n v="1347"/>
    <x v="395"/>
    <x v="3"/>
    <n v="1440"/>
    <s v="Weekday"/>
    <x v="0"/>
  </r>
  <r>
    <x v="23"/>
    <x v="12"/>
    <x v="468"/>
    <n v="1.45000004768372"/>
    <n v="1.45000004768372"/>
    <n v="0"/>
    <n v="7.0000000298023196E-2"/>
    <n v="0.239999994635582"/>
    <n v="1.1399999856948899"/>
    <n v="0"/>
    <n v="1"/>
    <n v="6"/>
    <n v="75"/>
    <n v="1358"/>
    <x v="396"/>
    <x v="5"/>
    <n v="1440"/>
    <s v="Weekend"/>
    <x v="0"/>
  </r>
  <r>
    <x v="7"/>
    <x v="17"/>
    <x v="469"/>
    <n v="7.2300000190734899"/>
    <n v="7.2300000190734899"/>
    <n v="0"/>
    <n v="0.40999999642372098"/>
    <n v="1.91999995708466"/>
    <n v="4.9099998474121103"/>
    <n v="0"/>
    <n v="6"/>
    <n v="47"/>
    <n v="300"/>
    <n v="680"/>
    <x v="396"/>
    <x v="1"/>
    <n v="1033"/>
    <s v="Weekday"/>
    <x v="3"/>
  </r>
  <r>
    <x v="10"/>
    <x v="28"/>
    <x v="470"/>
    <n v="11.1199998855591"/>
    <n v="11.1199998855591"/>
    <n v="0"/>
    <n v="4"/>
    <n v="2.4500000476837198"/>
    <n v="4.6700000762939498"/>
    <n v="0"/>
    <n v="61"/>
    <n v="41"/>
    <n v="256"/>
    <n v="693"/>
    <x v="396"/>
    <x v="6"/>
    <n v="1051"/>
    <s v="Weekday"/>
    <x v="3"/>
  </r>
  <r>
    <x v="10"/>
    <x v="1"/>
    <x v="471"/>
    <n v="10.710000038146999"/>
    <n v="10.710000038146999"/>
    <n v="0"/>
    <n v="3.8699998855590798"/>
    <n v="1.6100000143051101"/>
    <n v="5.1999998092651403"/>
    <n v="0"/>
    <n v="61"/>
    <n v="40"/>
    <n v="265"/>
    <n v="707"/>
    <x v="397"/>
    <x v="1"/>
    <n v="1073"/>
    <s v="Weekday"/>
    <x v="3"/>
  </r>
  <r>
    <x v="18"/>
    <x v="16"/>
    <x v="472"/>
    <n v="4.75"/>
    <n v="4.75"/>
    <n v="0"/>
    <n v="2.21000003814697"/>
    <n v="0.18999999761581399"/>
    <n v="2.3499999046325701"/>
    <n v="0"/>
    <n v="27"/>
    <n v="4"/>
    <n v="200"/>
    <n v="667"/>
    <x v="398"/>
    <x v="4"/>
    <n v="898"/>
    <s v="Weekday"/>
    <x v="2"/>
  </r>
  <r>
    <x v="23"/>
    <x v="20"/>
    <x v="473"/>
    <n v="1.2400000095367401"/>
    <n v="1.2400000095367401"/>
    <n v="0"/>
    <n v="0"/>
    <n v="0"/>
    <n v="1.2400000095367401"/>
    <n v="0"/>
    <n v="0"/>
    <n v="0"/>
    <n v="87"/>
    <n v="1353"/>
    <x v="399"/>
    <x v="3"/>
    <n v="1440"/>
    <s v="Weekday"/>
    <x v="0"/>
  </r>
  <r>
    <x v="22"/>
    <x v="24"/>
    <x v="474"/>
    <n v="2.6700000762939502"/>
    <n v="2.6700000762939502"/>
    <n v="0"/>
    <n v="0"/>
    <n v="0"/>
    <n v="2.6600000858306898"/>
    <n v="9.9999997764825804E-3"/>
    <n v="0"/>
    <n v="0"/>
    <n v="86"/>
    <n v="1354"/>
    <x v="400"/>
    <x v="4"/>
    <n v="1440"/>
    <s v="Weekday"/>
    <x v="0"/>
  </r>
  <r>
    <x v="8"/>
    <x v="29"/>
    <x v="475"/>
    <n v="6.8299999237060502"/>
    <n v="6.8299999237060502"/>
    <n v="0"/>
    <n v="2"/>
    <n v="0.62000000476837203"/>
    <n v="4.1999998092651403"/>
    <n v="0"/>
    <n v="28"/>
    <n v="13"/>
    <n v="320"/>
    <n v="964"/>
    <x v="400"/>
    <x v="5"/>
    <n v="1325"/>
    <s v="Weekend"/>
    <x v="3"/>
  </r>
  <r>
    <x v="7"/>
    <x v="8"/>
    <x v="476"/>
    <n v="6.96000003814697"/>
    <n v="6.96000003814697"/>
    <n v="0"/>
    <n v="0.140000000596046"/>
    <n v="0.56000000238418601"/>
    <n v="6.25"/>
    <n v="0"/>
    <n v="2"/>
    <n v="14"/>
    <n v="374"/>
    <n v="490"/>
    <x v="401"/>
    <x v="0"/>
    <n v="880"/>
    <s v="Weekday"/>
    <x v="3"/>
  </r>
  <r>
    <x v="8"/>
    <x v="19"/>
    <x v="477"/>
    <n v="4.4400000572204599"/>
    <n v="4.4400000572204599"/>
    <n v="0"/>
    <n v="0"/>
    <n v="0"/>
    <n v="4.4400000572204599"/>
    <n v="0"/>
    <n v="0"/>
    <n v="7"/>
    <n v="382"/>
    <n v="648"/>
    <x v="402"/>
    <x v="3"/>
    <n v="1037"/>
    <s v="Weekday"/>
    <x v="2"/>
  </r>
  <r>
    <x v="23"/>
    <x v="25"/>
    <x v="478"/>
    <n v="1.1599999666214"/>
    <n v="1.1599999666214"/>
    <n v="0"/>
    <n v="0"/>
    <n v="0"/>
    <n v="1.1599999666214"/>
    <n v="0"/>
    <n v="0"/>
    <n v="0"/>
    <n v="95"/>
    <n v="1167"/>
    <x v="403"/>
    <x v="6"/>
    <n v="1262"/>
    <s v="Weekday"/>
    <x v="0"/>
  </r>
  <r>
    <x v="18"/>
    <x v="17"/>
    <x v="479"/>
    <n v="5.0300002098083496"/>
    <n v="5.0300002098083496"/>
    <n v="0"/>
    <n v="2.6199998855590798"/>
    <n v="2.9999999329447701E-2"/>
    <n v="2.3800001144409202"/>
    <n v="0"/>
    <n v="32"/>
    <n v="1"/>
    <n v="194"/>
    <n v="839"/>
    <x v="404"/>
    <x v="1"/>
    <n v="1066"/>
    <s v="Weekday"/>
    <x v="2"/>
  </r>
  <r>
    <x v="21"/>
    <x v="7"/>
    <x v="480"/>
    <n v="6.7300000190734899"/>
    <n v="6.7300000190734899"/>
    <n v="0"/>
    <n v="0"/>
    <n v="0"/>
    <n v="6.7300000190734899"/>
    <n v="0"/>
    <n v="0"/>
    <n v="0"/>
    <n v="397"/>
    <n v="525"/>
    <x v="404"/>
    <x v="3"/>
    <n v="922"/>
    <s v="Weekday"/>
    <x v="1"/>
  </r>
  <r>
    <x v="11"/>
    <x v="1"/>
    <x v="481"/>
    <n v="10.210000038146999"/>
    <n v="10.210000038146999"/>
    <n v="0"/>
    <n v="3.4700000286102299"/>
    <n v="1.75"/>
    <n v="4.9899997711181596"/>
    <n v="0"/>
    <n v="62"/>
    <n v="34"/>
    <n v="275"/>
    <n v="626"/>
    <x v="404"/>
    <x v="1"/>
    <n v="997"/>
    <s v="Weekday"/>
    <x v="3"/>
  </r>
  <r>
    <x v="18"/>
    <x v="2"/>
    <x v="482"/>
    <n v="4.1799998283386204"/>
    <n v="4.1799998283386204"/>
    <n v="0"/>
    <n v="0"/>
    <n v="0"/>
    <n v="4.1799998283386204"/>
    <n v="0"/>
    <n v="0"/>
    <n v="0"/>
    <n v="290"/>
    <n v="797"/>
    <x v="405"/>
    <x v="2"/>
    <n v="1087"/>
    <s v="Weekend"/>
    <x v="2"/>
  </r>
  <r>
    <x v="7"/>
    <x v="25"/>
    <x v="483"/>
    <n v="7.2800002098083496"/>
    <n v="7.2800002098083496"/>
    <n v="0"/>
    <n v="1.0099999904632599"/>
    <n v="0.33000001311302202"/>
    <n v="5.9400000572204599"/>
    <n v="0"/>
    <n v="13"/>
    <n v="8"/>
    <n v="359"/>
    <n v="552"/>
    <x v="406"/>
    <x v="6"/>
    <n v="932"/>
    <s v="Weekday"/>
    <x v="3"/>
  </r>
  <r>
    <x v="30"/>
    <x v="7"/>
    <x v="262"/>
    <n v="7.4000000953674299"/>
    <n v="7.4000000953674299"/>
    <n v="0"/>
    <n v="1.9400000572204601"/>
    <n v="0.95999997854232799"/>
    <n v="4.5"/>
    <n v="0"/>
    <n v="25"/>
    <n v="28"/>
    <n v="245"/>
    <n v="1142"/>
    <x v="407"/>
    <x v="3"/>
    <n v="1440"/>
    <s v="Weekday"/>
    <x v="3"/>
  </r>
  <r>
    <x v="23"/>
    <x v="10"/>
    <x v="484"/>
    <n v="1.45000004768372"/>
    <n v="1.45000004768372"/>
    <n v="0"/>
    <n v="0"/>
    <n v="0"/>
    <n v="1.45000004768372"/>
    <n v="0"/>
    <n v="0"/>
    <n v="0"/>
    <n v="108"/>
    <n v="1332"/>
    <x v="408"/>
    <x v="5"/>
    <n v="1440"/>
    <s v="Weekend"/>
    <x v="0"/>
  </r>
  <r>
    <x v="23"/>
    <x v="28"/>
    <x v="485"/>
    <n v="1.5"/>
    <n v="1.5"/>
    <n v="0"/>
    <n v="0"/>
    <n v="0.40000000596046398"/>
    <n v="1.1000000238418599"/>
    <n v="0"/>
    <n v="0"/>
    <n v="9"/>
    <n v="88"/>
    <n v="1292"/>
    <x v="408"/>
    <x v="6"/>
    <n v="1389"/>
    <s v="Weekday"/>
    <x v="0"/>
  </r>
  <r>
    <x v="6"/>
    <x v="6"/>
    <x v="486"/>
    <n v="5.3899998664856001"/>
    <n v="5.3899998664856001"/>
    <n v="0"/>
    <n v="0"/>
    <n v="0"/>
    <n v="5.3899998664856001"/>
    <n v="0"/>
    <n v="0"/>
    <n v="0"/>
    <n v="305"/>
    <n v="1135"/>
    <x v="408"/>
    <x v="5"/>
    <n v="1440"/>
    <s v="Weekend"/>
    <x v="1"/>
  </r>
  <r>
    <x v="17"/>
    <x v="22"/>
    <x v="487"/>
    <n v="5.5999999046325701"/>
    <n v="5.5999999046325701"/>
    <n v="0"/>
    <n v="1.7799999713897701"/>
    <n v="0.82999998331069902"/>
    <n v="2.9500000476837198"/>
    <n v="0"/>
    <n v="24"/>
    <n v="14"/>
    <n v="149"/>
    <n v="1253"/>
    <x v="409"/>
    <x v="6"/>
    <n v="1440"/>
    <s v="Weekday"/>
    <x v="1"/>
  </r>
  <r>
    <x v="30"/>
    <x v="29"/>
    <x v="488"/>
    <n v="8.3400001525878906"/>
    <n v="8.3400001525878906"/>
    <n v="0"/>
    <n v="3.3099999427795401"/>
    <n v="0.769999980926514"/>
    <n v="4.2600002288818404"/>
    <n v="0"/>
    <n v="42"/>
    <n v="14"/>
    <n v="227"/>
    <n v="1157"/>
    <x v="410"/>
    <x v="5"/>
    <n v="1440"/>
    <s v="Weekend"/>
    <x v="3"/>
  </r>
  <r>
    <x v="17"/>
    <x v="11"/>
    <x v="489"/>
    <n v="5.6700000762939498"/>
    <n v="5.6700000762939498"/>
    <n v="0"/>
    <n v="2.03999996185303"/>
    <n v="1.1100000143051101"/>
    <n v="2.5299999713897701"/>
    <n v="0"/>
    <n v="30"/>
    <n v="21"/>
    <n v="139"/>
    <n v="864"/>
    <x v="411"/>
    <x v="4"/>
    <n v="1054"/>
    <s v="Weekday"/>
    <x v="1"/>
  </r>
  <r>
    <x v="13"/>
    <x v="26"/>
    <x v="490"/>
    <n v="2.9100000858306898"/>
    <n v="2.9100000858306898"/>
    <n v="0"/>
    <n v="1.1100000143051101"/>
    <n v="0.57999998331069902"/>
    <n v="1.2200000286102299"/>
    <n v="0"/>
    <n v="17"/>
    <n v="18"/>
    <n v="85"/>
    <n v="1053"/>
    <x v="412"/>
    <x v="1"/>
    <n v="1173"/>
    <s v="Weekday"/>
    <x v="0"/>
  </r>
  <r>
    <x v="26"/>
    <x v="2"/>
    <x v="491"/>
    <n v="5.5900001525878897"/>
    <n v="5.5900001525878897"/>
    <n v="0"/>
    <n v="2.9900000095367401"/>
    <n v="5.9999998658895499E-2"/>
    <n v="2.53999996185303"/>
    <n v="0"/>
    <n v="27"/>
    <n v="1"/>
    <n v="131"/>
    <n v="1281"/>
    <x v="413"/>
    <x v="2"/>
    <n v="1440"/>
    <s v="Weekend"/>
    <x v="2"/>
  </r>
  <r>
    <x v="21"/>
    <x v="24"/>
    <x v="492"/>
    <n v="6.1999998092651403"/>
    <n v="6.1999998092651403"/>
    <n v="0"/>
    <n v="0"/>
    <n v="0"/>
    <n v="6.1999998092651403"/>
    <n v="0"/>
    <n v="0"/>
    <n v="0"/>
    <n v="402"/>
    <n v="413"/>
    <x v="414"/>
    <x v="4"/>
    <n v="815"/>
    <s v="Weekday"/>
    <x v="1"/>
  </r>
  <r>
    <x v="23"/>
    <x v="7"/>
    <x v="493"/>
    <n v="1.87000000476837"/>
    <n v="1.87000000476837"/>
    <n v="0"/>
    <n v="1.0099999904632599"/>
    <n v="2.9999999329447701E-2"/>
    <n v="0.82999998331069902"/>
    <n v="0"/>
    <n v="14"/>
    <n v="1"/>
    <n v="70"/>
    <n v="1355"/>
    <x v="415"/>
    <x v="3"/>
    <n v="1440"/>
    <s v="Weekday"/>
    <x v="0"/>
  </r>
  <r>
    <x v="22"/>
    <x v="12"/>
    <x v="494"/>
    <n v="2.4100000858306898"/>
    <n v="2.4100000858306898"/>
    <n v="0"/>
    <n v="0"/>
    <n v="0"/>
    <n v="2.4100000858306898"/>
    <n v="0"/>
    <n v="0"/>
    <n v="0"/>
    <n v="89"/>
    <n v="1351"/>
    <x v="416"/>
    <x v="5"/>
    <n v="1440"/>
    <s v="Weekend"/>
    <x v="0"/>
  </r>
  <r>
    <x v="5"/>
    <x v="24"/>
    <x v="495"/>
    <n v="2.5999999046325701"/>
    <n v="2.5999999046325701"/>
    <n v="0"/>
    <n v="5.0000000745058101E-2"/>
    <n v="0.28000000119209301"/>
    <n v="2.2699999809265101"/>
    <n v="0"/>
    <n v="1"/>
    <n v="20"/>
    <n v="195"/>
    <n v="817"/>
    <x v="417"/>
    <x v="4"/>
    <n v="1033"/>
    <s v="Weekday"/>
    <x v="0"/>
  </r>
  <r>
    <x v="18"/>
    <x v="9"/>
    <x v="496"/>
    <n v="5.1799998283386204"/>
    <n v="5.1799998283386204"/>
    <n v="0"/>
    <n v="2.4800000190734899"/>
    <n v="0.109999999403954"/>
    <n v="2.5799999237060498"/>
    <n v="0"/>
    <n v="30"/>
    <n v="2"/>
    <n v="233"/>
    <n v="725"/>
    <x v="418"/>
    <x v="2"/>
    <n v="990"/>
    <s v="Weekend"/>
    <x v="1"/>
  </r>
  <r>
    <x v="18"/>
    <x v="15"/>
    <x v="497"/>
    <n v="4.9000000953674299"/>
    <n v="4.9000000953674299"/>
    <n v="0"/>
    <n v="0"/>
    <n v="0.25"/>
    <n v="4.6500000953674299"/>
    <n v="0"/>
    <n v="0"/>
    <n v="8"/>
    <n v="308"/>
    <n v="733"/>
    <x v="419"/>
    <x v="4"/>
    <n v="1049"/>
    <s v="Weekday"/>
    <x v="2"/>
  </r>
  <r>
    <x v="22"/>
    <x v="18"/>
    <x v="498"/>
    <n v="1.7699999809265099"/>
    <n v="1.7699999809265099"/>
    <n v="0"/>
    <n v="0"/>
    <n v="0"/>
    <n v="1.7599999904632599"/>
    <n v="9.9999997764825804E-3"/>
    <n v="0"/>
    <n v="0"/>
    <n v="125"/>
    <n v="1315"/>
    <x v="420"/>
    <x v="1"/>
    <n v="1440"/>
    <s v="Weekday"/>
    <x v="0"/>
  </r>
  <r>
    <x v="18"/>
    <x v="24"/>
    <x v="499"/>
    <n v="4.5799999237060502"/>
    <n v="4.5799999237060502"/>
    <n v="0"/>
    <n v="0"/>
    <n v="0"/>
    <n v="4.5799999237060502"/>
    <n v="0"/>
    <n v="0"/>
    <n v="0"/>
    <n v="317"/>
    <n v="706"/>
    <x v="421"/>
    <x v="4"/>
    <n v="1023"/>
    <s v="Weekday"/>
    <x v="2"/>
  </r>
  <r>
    <x v="3"/>
    <x v="6"/>
    <x v="500"/>
    <n v="2.3499999046325701"/>
    <n v="2.3499999046325701"/>
    <n v="0"/>
    <n v="0"/>
    <n v="0"/>
    <n v="0"/>
    <n v="0"/>
    <n v="0"/>
    <n v="0"/>
    <n v="0"/>
    <n v="1440"/>
    <x v="422"/>
    <x v="5"/>
    <n v="1440"/>
    <s v="Weekend"/>
    <x v="0"/>
  </r>
  <r>
    <x v="3"/>
    <x v="28"/>
    <x v="501"/>
    <n v="2.4500000476837198"/>
    <n v="2.4500000476837198"/>
    <n v="0"/>
    <n v="0"/>
    <n v="0"/>
    <n v="2.4300000667571999"/>
    <n v="0"/>
    <n v="0"/>
    <n v="0"/>
    <n v="134"/>
    <n v="1306"/>
    <x v="423"/>
    <x v="6"/>
    <n v="1440"/>
    <s v="Weekday"/>
    <x v="0"/>
  </r>
  <r>
    <x v="21"/>
    <x v="14"/>
    <x v="502"/>
    <n v="7.21000003814697"/>
    <n v="7.21000003814697"/>
    <n v="0"/>
    <n v="0"/>
    <n v="0.34000000357627902"/>
    <n v="6.8699998855590803"/>
    <n v="0"/>
    <n v="0"/>
    <n v="7"/>
    <n v="352"/>
    <n v="1077"/>
    <x v="424"/>
    <x v="3"/>
    <n v="1436"/>
    <s v="Weekday"/>
    <x v="1"/>
  </r>
  <r>
    <x v="22"/>
    <x v="22"/>
    <x v="396"/>
    <n v="3.1900000572204599"/>
    <n v="3.1900000572204599"/>
    <n v="0"/>
    <n v="0.519999980926514"/>
    <n v="0.54000002145767201"/>
    <n v="2.1300001144409202"/>
    <n v="9.9999997764825804E-3"/>
    <n v="6"/>
    <n v="12"/>
    <n v="81"/>
    <n v="1341"/>
    <x v="425"/>
    <x v="6"/>
    <n v="1440"/>
    <s v="Weekday"/>
    <x v="0"/>
  </r>
  <r>
    <x v="17"/>
    <x v="21"/>
    <x v="503"/>
    <n v="6.1799998283386204"/>
    <n v="6.1799998283386204"/>
    <n v="0"/>
    <n v="1.3600000143051101"/>
    <n v="0.30000001192092901"/>
    <n v="4.5100002288818404"/>
    <n v="0"/>
    <n v="19"/>
    <n v="6"/>
    <n v="206"/>
    <n v="758"/>
    <x v="425"/>
    <x v="6"/>
    <n v="989"/>
    <s v="Weekday"/>
    <x v="1"/>
  </r>
  <r>
    <x v="30"/>
    <x v="17"/>
    <x v="504"/>
    <n v="7.1300001144409197"/>
    <n v="7.1300001144409197"/>
    <n v="0"/>
    <n v="1.03999996185303"/>
    <n v="0.97000002861022905"/>
    <n v="5.1199998855590803"/>
    <n v="0"/>
    <n v="19"/>
    <n v="20"/>
    <n v="282"/>
    <n v="1119"/>
    <x v="425"/>
    <x v="1"/>
    <n v="1440"/>
    <s v="Weekday"/>
    <x v="3"/>
  </r>
  <r>
    <x v="21"/>
    <x v="4"/>
    <x v="505"/>
    <n v="5.53999996185303"/>
    <n v="5.53999996185303"/>
    <n v="0"/>
    <n v="0"/>
    <n v="0"/>
    <n v="5.53999996185303"/>
    <n v="0"/>
    <n v="0"/>
    <n v="0"/>
    <n v="412"/>
    <n v="456"/>
    <x v="426"/>
    <x v="3"/>
    <n v="868"/>
    <s v="Weekday"/>
    <x v="2"/>
  </r>
  <r>
    <x v="30"/>
    <x v="13"/>
    <x v="506"/>
    <n v="8.0100002288818395"/>
    <n v="8.0100002288818395"/>
    <n v="0"/>
    <n v="3.3299999237060498"/>
    <n v="0.21999999880790699"/>
    <n v="4.46000003814697"/>
    <n v="0"/>
    <n v="44"/>
    <n v="8"/>
    <n v="217"/>
    <n v="1171"/>
    <x v="427"/>
    <x v="0"/>
    <n v="1440"/>
    <s v="Weekday"/>
    <x v="3"/>
  </r>
  <r>
    <x v="30"/>
    <x v="16"/>
    <x v="507"/>
    <n v="7.28999996185303"/>
    <n v="7.28999996185303"/>
    <n v="0"/>
    <n v="2.6099998950958301"/>
    <n v="0.34000000357627902"/>
    <n v="4.3299999237060502"/>
    <n v="0"/>
    <n v="36"/>
    <n v="8"/>
    <n v="277"/>
    <n v="1119"/>
    <x v="428"/>
    <x v="4"/>
    <n v="1440"/>
    <s v="Weekday"/>
    <x v="3"/>
  </r>
  <r>
    <x v="13"/>
    <x v="13"/>
    <x v="127"/>
    <n v="4.6399998664856001"/>
    <n v="4.6399998664856001"/>
    <n v="0"/>
    <n v="2.2699999809265101"/>
    <n v="0.46000000834464999"/>
    <n v="1.8999999761581401"/>
    <n v="0"/>
    <n v="33"/>
    <n v="13"/>
    <n v="92"/>
    <n v="1302"/>
    <x v="429"/>
    <x v="0"/>
    <n v="1440"/>
    <s v="Weekday"/>
    <x v="2"/>
  </r>
  <r>
    <x v="25"/>
    <x v="21"/>
    <x v="508"/>
    <n v="9.0799999237060494"/>
    <n v="9.0799999237060494"/>
    <n v="0"/>
    <n v="0.41999998688697798"/>
    <n v="0.97000002861022905"/>
    <n v="7.6999998092651403"/>
    <n v="0"/>
    <n v="6"/>
    <n v="21"/>
    <n v="432"/>
    <n v="844"/>
    <x v="430"/>
    <x v="6"/>
    <n v="1303"/>
    <s v="Weekday"/>
    <x v="3"/>
  </r>
  <r>
    <x v="22"/>
    <x v="17"/>
    <x v="509"/>
    <n v="2.2000000476837198"/>
    <n v="2.2000000476837198"/>
    <n v="0"/>
    <n v="0"/>
    <n v="0"/>
    <n v="2.2000000476837198"/>
    <n v="0"/>
    <n v="0"/>
    <n v="0"/>
    <n v="118"/>
    <n v="1322"/>
    <x v="431"/>
    <x v="1"/>
    <n v="1440"/>
    <s v="Weekday"/>
    <x v="0"/>
  </r>
  <r>
    <x v="29"/>
    <x v="8"/>
    <x v="510"/>
    <n v="2.5599999427795401"/>
    <n v="2.5599999427795401"/>
    <n v="0"/>
    <n v="1.4299999475479099"/>
    <n v="0.140000000596046"/>
    <n v="0.99000000953674305"/>
    <n v="0"/>
    <n v="34"/>
    <n v="11"/>
    <n v="70"/>
    <n v="1099"/>
    <x v="431"/>
    <x v="0"/>
    <n v="1214"/>
    <s v="Weekday"/>
    <x v="0"/>
  </r>
  <r>
    <x v="30"/>
    <x v="19"/>
    <x v="511"/>
    <n v="8.5299997329711896"/>
    <n v="8.5299997329711896"/>
    <n v="0"/>
    <n v="3.28999996185303"/>
    <n v="0.239999994635582"/>
    <n v="5"/>
    <n v="0"/>
    <n v="31"/>
    <n v="7"/>
    <n v="250"/>
    <n v="1152"/>
    <x v="431"/>
    <x v="3"/>
    <n v="1440"/>
    <s v="Weekday"/>
    <x v="3"/>
  </r>
  <r>
    <x v="13"/>
    <x v="10"/>
    <x v="512"/>
    <n v="3.3699998855590798"/>
    <n v="3.3699998855590798"/>
    <n v="0"/>
    <n v="0.46999999880790699"/>
    <n v="0.93000000715255704"/>
    <n v="1.9299999475479099"/>
    <n v="0"/>
    <n v="12"/>
    <n v="35"/>
    <n v="75"/>
    <n v="1318"/>
    <x v="432"/>
    <x v="5"/>
    <n v="1440"/>
    <s v="Weekend"/>
    <x v="0"/>
  </r>
  <r>
    <x v="18"/>
    <x v="11"/>
    <x v="513"/>
    <n v="4.8299999237060502"/>
    <n v="4.8299999237060502"/>
    <n v="0"/>
    <n v="0"/>
    <n v="0"/>
    <n v="4.8299999237060502"/>
    <n v="0"/>
    <n v="0"/>
    <n v="0"/>
    <n v="350"/>
    <n v="711"/>
    <x v="432"/>
    <x v="4"/>
    <n v="1061"/>
    <s v="Weekday"/>
    <x v="2"/>
  </r>
  <r>
    <x v="22"/>
    <x v="13"/>
    <x v="514"/>
    <n v="2.5999999046325701"/>
    <n v="2.5999999046325701"/>
    <n v="0"/>
    <n v="0.58999997377395597"/>
    <n v="5.9999998658895499E-2"/>
    <n v="1.95000004768372"/>
    <n v="0"/>
    <n v="8"/>
    <n v="1"/>
    <n v="94"/>
    <n v="1337"/>
    <x v="433"/>
    <x v="0"/>
    <n v="1440"/>
    <s v="Weekday"/>
    <x v="0"/>
  </r>
  <r>
    <x v="22"/>
    <x v="5"/>
    <x v="515"/>
    <n v="2.3099999427795401"/>
    <n v="2.3099999427795401"/>
    <n v="0"/>
    <n v="0"/>
    <n v="0"/>
    <n v="2.3099999427795401"/>
    <n v="0"/>
    <n v="0"/>
    <n v="0"/>
    <n v="120"/>
    <n v="1193"/>
    <x v="434"/>
    <x v="4"/>
    <n v="1313"/>
    <s v="Weekday"/>
    <x v="0"/>
  </r>
  <r>
    <x v="30"/>
    <x v="10"/>
    <x v="516"/>
    <n v="7.1799998283386204"/>
    <n v="7.1799998283386204"/>
    <n v="0"/>
    <n v="1.87000000476837"/>
    <n v="0.67000001668930098"/>
    <n v="4.6399998664856001"/>
    <n v="0"/>
    <n v="24"/>
    <n v="17"/>
    <n v="295"/>
    <n v="1104"/>
    <x v="434"/>
    <x v="5"/>
    <n v="1440"/>
    <s v="Weekend"/>
    <x v="3"/>
  </r>
  <r>
    <x v="23"/>
    <x v="30"/>
    <x v="517"/>
    <n v="2.03999996185303"/>
    <n v="2.03999996185303"/>
    <n v="0"/>
    <n v="0"/>
    <n v="0"/>
    <n v="2.03999996185303"/>
    <n v="0"/>
    <n v="0"/>
    <n v="0"/>
    <n v="145"/>
    <n v="1295"/>
    <x v="435"/>
    <x v="2"/>
    <n v="1440"/>
    <s v="Weekend"/>
    <x v="0"/>
  </r>
  <r>
    <x v="18"/>
    <x v="3"/>
    <x v="518"/>
    <n v="6.1100001335143999"/>
    <n v="6.1100001335143999"/>
    <n v="0"/>
    <n v="2.25"/>
    <n v="1"/>
    <n v="2.8599998950958301"/>
    <n v="0"/>
    <n v="34"/>
    <n v="22"/>
    <n v="232"/>
    <n v="622"/>
    <x v="435"/>
    <x v="2"/>
    <n v="910"/>
    <s v="Weekend"/>
    <x v="1"/>
  </r>
  <r>
    <x v="3"/>
    <x v="11"/>
    <x v="519"/>
    <n v="2.6800000667571999"/>
    <n v="2.6800000667571999"/>
    <n v="0"/>
    <n v="0"/>
    <n v="0"/>
    <n v="0.89999997615814198"/>
    <n v="0"/>
    <n v="0"/>
    <n v="0"/>
    <n v="65"/>
    <n v="1375"/>
    <x v="436"/>
    <x v="4"/>
    <n v="1440"/>
    <s v="Weekday"/>
    <x v="0"/>
  </r>
  <r>
    <x v="23"/>
    <x v="16"/>
    <x v="520"/>
    <n v="2.6199998855590798"/>
    <n v="2.6199998855590798"/>
    <n v="0"/>
    <n v="1.1599999666214"/>
    <n v="0.30000001192092901"/>
    <n v="1.1599999666214"/>
    <n v="0"/>
    <n v="16"/>
    <n v="8"/>
    <n v="94"/>
    <n v="1322"/>
    <x v="436"/>
    <x v="4"/>
    <n v="1440"/>
    <s v="Weekday"/>
    <x v="0"/>
  </r>
  <r>
    <x v="13"/>
    <x v="28"/>
    <x v="521"/>
    <n v="3.7000000476837198"/>
    <n v="3.7000000476837198"/>
    <n v="0"/>
    <n v="0.87000000476837203"/>
    <n v="0.86000001430511497"/>
    <n v="1.9700000286102299"/>
    <n v="0"/>
    <n v="14"/>
    <n v="24"/>
    <n v="105"/>
    <n v="863"/>
    <x v="437"/>
    <x v="6"/>
    <n v="1006"/>
    <s v="Weekday"/>
    <x v="2"/>
  </r>
  <r>
    <x v="3"/>
    <x v="20"/>
    <x v="126"/>
    <n v="2.7999999523162802"/>
    <n v="2.7999999523162802"/>
    <n v="0"/>
    <n v="0"/>
    <n v="0"/>
    <n v="0"/>
    <n v="0"/>
    <n v="0"/>
    <n v="0"/>
    <n v="0"/>
    <n v="1440"/>
    <x v="438"/>
    <x v="3"/>
    <n v="1440"/>
    <s v="Weekday"/>
    <x v="0"/>
  </r>
  <r>
    <x v="17"/>
    <x v="26"/>
    <x v="522"/>
    <n v="3.6199998855590798"/>
    <n v="3.6199998855590798"/>
    <n v="0"/>
    <n v="0.56000000238418601"/>
    <n v="0.20999999344348899"/>
    <n v="2.8399999141693102"/>
    <n v="0"/>
    <n v="31"/>
    <n v="26"/>
    <n v="155"/>
    <n v="744"/>
    <x v="438"/>
    <x v="1"/>
    <n v="956"/>
    <s v="Weekday"/>
    <x v="2"/>
  </r>
  <r>
    <x v="30"/>
    <x v="11"/>
    <x v="523"/>
    <n v="8.0299997329711896"/>
    <n v="8.0299997329711896"/>
    <n v="0"/>
    <n v="1.9400000572204601"/>
    <n v="0.31000000238418601"/>
    <n v="5.7800002098083496"/>
    <n v="0"/>
    <n v="27"/>
    <n v="9"/>
    <n v="282"/>
    <n v="1122"/>
    <x v="439"/>
    <x v="4"/>
    <n v="1440"/>
    <s v="Weekday"/>
    <x v="3"/>
  </r>
  <r>
    <x v="30"/>
    <x v="12"/>
    <x v="524"/>
    <n v="10.2799997329712"/>
    <n v="10.2799997329712"/>
    <n v="0"/>
    <n v="4.5500001907348597"/>
    <n v="1.1499999761581401"/>
    <n v="4.5799999237060502"/>
    <n v="0"/>
    <n v="37"/>
    <n v="26"/>
    <n v="216"/>
    <n v="1161"/>
    <x v="440"/>
    <x v="5"/>
    <n v="1440"/>
    <s v="Weekend"/>
    <x v="3"/>
  </r>
  <r>
    <x v="7"/>
    <x v="22"/>
    <x v="525"/>
    <n v="9.4899997711181605"/>
    <n v="9.4899997711181605"/>
    <n v="0"/>
    <n v="2.6300001144409202"/>
    <n v="1.4099999666214"/>
    <n v="5.4499998092651403"/>
    <n v="0"/>
    <n v="27"/>
    <n v="34"/>
    <n v="328"/>
    <n v="957"/>
    <x v="441"/>
    <x v="6"/>
    <n v="1346"/>
    <s v="Weekday"/>
    <x v="3"/>
  </r>
  <r>
    <x v="17"/>
    <x v="15"/>
    <x v="526"/>
    <n v="7.0999999046325701"/>
    <n v="7.0999999046325701"/>
    <n v="0"/>
    <n v="2.3099999427795401"/>
    <n v="1.5299999713897701"/>
    <n v="3.25"/>
    <n v="0"/>
    <n v="32"/>
    <n v="27"/>
    <n v="147"/>
    <n v="695"/>
    <x v="442"/>
    <x v="4"/>
    <n v="901"/>
    <s v="Weekday"/>
    <x v="3"/>
  </r>
  <r>
    <x v="3"/>
    <x v="27"/>
    <x v="527"/>
    <n v="3.0099999904632599"/>
    <n v="3.0099999904632599"/>
    <n v="0"/>
    <n v="0.31000000238418601"/>
    <n v="1.0599999427795399"/>
    <n v="1.3500000238418599"/>
    <n v="0"/>
    <n v="4"/>
    <n v="22"/>
    <n v="105"/>
    <n v="1309"/>
    <x v="443"/>
    <x v="0"/>
    <n v="1440"/>
    <s v="Weekday"/>
    <x v="0"/>
  </r>
  <r>
    <x v="21"/>
    <x v="18"/>
    <x v="528"/>
    <n v="8.0200004577636701"/>
    <n v="8.0200004577636701"/>
    <n v="0"/>
    <n v="2.0299999713897701"/>
    <n v="0.479999989271164"/>
    <n v="5.5199999809265101"/>
    <n v="0"/>
    <n v="26"/>
    <n v="10"/>
    <n v="349"/>
    <n v="587"/>
    <x v="443"/>
    <x v="1"/>
    <n v="972"/>
    <s v="Weekday"/>
    <x v="3"/>
  </r>
  <r>
    <x v="30"/>
    <x v="3"/>
    <x v="529"/>
    <n v="9.3199996948242205"/>
    <n v="9.3199996948242205"/>
    <n v="0"/>
    <n v="4.1799998283386204"/>
    <n v="1.1499999761581401"/>
    <n v="3.9900000095367401"/>
    <n v="0"/>
    <n v="58"/>
    <n v="25"/>
    <n v="224"/>
    <n v="1133"/>
    <x v="444"/>
    <x v="2"/>
    <n v="1440"/>
    <s v="Weekend"/>
    <x v="3"/>
  </r>
  <r>
    <x v="3"/>
    <x v="13"/>
    <x v="530"/>
    <n v="3.5099999904632599"/>
    <n v="3.5099999904632599"/>
    <n v="0"/>
    <n v="1.4700000286102299"/>
    <n v="0.239999994635582"/>
    <n v="1.8099999427795399"/>
    <n v="0"/>
    <n v="18"/>
    <n v="6"/>
    <n v="122"/>
    <n v="1294"/>
    <x v="445"/>
    <x v="0"/>
    <n v="1440"/>
    <s v="Weekday"/>
    <x v="0"/>
  </r>
  <r>
    <x v="29"/>
    <x v="26"/>
    <x v="531"/>
    <n v="3.78999996185303"/>
    <n v="3.78999996185303"/>
    <n v="0"/>
    <n v="0.31999999284744302"/>
    <n v="0.21999999880790699"/>
    <n v="3.25"/>
    <n v="0"/>
    <n v="15"/>
    <n v="11"/>
    <n v="144"/>
    <n v="776"/>
    <x v="446"/>
    <x v="1"/>
    <n v="946"/>
    <s v="Weekday"/>
    <x v="2"/>
  </r>
  <r>
    <x v="6"/>
    <x v="10"/>
    <x v="532"/>
    <n v="7.6700000762939498"/>
    <n v="7.6700000762939498"/>
    <n v="0"/>
    <n v="3"/>
    <n v="0.81000000238418601"/>
    <n v="3.8599998950958301"/>
    <n v="0"/>
    <n v="44"/>
    <n v="13"/>
    <n v="247"/>
    <n v="1136"/>
    <x v="447"/>
    <x v="5"/>
    <n v="1440"/>
    <s v="Weekend"/>
    <x v="3"/>
  </r>
  <r>
    <x v="1"/>
    <x v="29"/>
    <x v="190"/>
    <n v="3.4500000476837198"/>
    <n v="3.4500000476837198"/>
    <n v="0"/>
    <n v="0"/>
    <n v="0"/>
    <n v="3.4500000476837198"/>
    <n v="0"/>
    <n v="0"/>
    <n v="0"/>
    <n v="199"/>
    <n v="1241"/>
    <x v="448"/>
    <x v="5"/>
    <n v="1440"/>
    <s v="Weekend"/>
    <x v="0"/>
  </r>
  <r>
    <x v="21"/>
    <x v="5"/>
    <x v="533"/>
    <n v="7.2399997711181596"/>
    <n v="7.2399997711181596"/>
    <n v="0"/>
    <n v="0"/>
    <n v="0"/>
    <n v="7.2399997711181596"/>
    <n v="0"/>
    <n v="0"/>
    <n v="0"/>
    <n v="461"/>
    <n v="479"/>
    <x v="448"/>
    <x v="4"/>
    <n v="940"/>
    <s v="Weekday"/>
    <x v="1"/>
  </r>
  <r>
    <x v="11"/>
    <x v="30"/>
    <x v="534"/>
    <n v="13.2399997711182"/>
    <n v="13.2399997711182"/>
    <n v="0"/>
    <n v="4.1999998092651403"/>
    <n v="2"/>
    <n v="7.03999996185303"/>
    <n v="0"/>
    <n v="58"/>
    <n v="41"/>
    <n v="347"/>
    <n v="484"/>
    <x v="449"/>
    <x v="2"/>
    <n v="930"/>
    <s v="Weekend"/>
    <x v="3"/>
  </r>
  <r>
    <x v="32"/>
    <x v="6"/>
    <x v="535"/>
    <n v="1.6900000572204601"/>
    <n v="1.6900000572204601"/>
    <n v="0"/>
    <n v="0"/>
    <n v="0"/>
    <n v="1.6900000572204601"/>
    <n v="0"/>
    <n v="0"/>
    <n v="0"/>
    <n v="93"/>
    <n v="599"/>
    <x v="450"/>
    <x v="5"/>
    <n v="692"/>
    <s v="Weekend"/>
    <x v="0"/>
  </r>
  <r>
    <x v="28"/>
    <x v="6"/>
    <x v="536"/>
    <n v="3.5799999237060498"/>
    <n v="3.5799999237060498"/>
    <n v="0"/>
    <n v="0"/>
    <n v="0"/>
    <n v="3.5799999237060498"/>
    <n v="0"/>
    <n v="0"/>
    <n v="0"/>
    <n v="201"/>
    <n v="721"/>
    <x v="450"/>
    <x v="5"/>
    <n v="922"/>
    <s v="Weekend"/>
    <x v="0"/>
  </r>
  <r>
    <x v="21"/>
    <x v="17"/>
    <x v="537"/>
    <n v="7.1100001335143999"/>
    <n v="7.1100001335143999"/>
    <n v="0"/>
    <n v="0"/>
    <n v="0"/>
    <n v="7.1100001335143999"/>
    <n v="0"/>
    <n v="0"/>
    <n v="0"/>
    <n v="458"/>
    <n v="417"/>
    <x v="451"/>
    <x v="1"/>
    <n v="875"/>
    <s v="Weekday"/>
    <x v="1"/>
  </r>
  <r>
    <x v="22"/>
    <x v="16"/>
    <x v="538"/>
    <n v="2.7300000190734899"/>
    <n v="2.7300000190734899"/>
    <n v="0"/>
    <n v="7.0000000298023196E-2"/>
    <n v="0.31000000238418601"/>
    <n v="2.3499999046325701"/>
    <n v="0"/>
    <n v="1"/>
    <n v="7"/>
    <n v="148"/>
    <n v="682"/>
    <x v="452"/>
    <x v="4"/>
    <n v="838"/>
    <s v="Weekday"/>
    <x v="0"/>
  </r>
  <r>
    <x v="13"/>
    <x v="14"/>
    <x v="539"/>
    <n v="5.2699999809265101"/>
    <n v="5.2699999809265101"/>
    <n v="1.9595960378646899"/>
    <n v="3.4800000190734899"/>
    <n v="0.87000000476837203"/>
    <n v="0.730000019073486"/>
    <n v="0"/>
    <n v="42"/>
    <n v="30"/>
    <n v="47"/>
    <n v="1321"/>
    <x v="453"/>
    <x v="3"/>
    <n v="1440"/>
    <s v="Weekday"/>
    <x v="2"/>
  </r>
  <r>
    <x v="3"/>
    <x v="7"/>
    <x v="540"/>
    <n v="3.5199999809265101"/>
    <n v="3.5199999809265101"/>
    <n v="0"/>
    <n v="0.77999997138977095"/>
    <n v="0.119999997317791"/>
    <n v="2.03999996185303"/>
    <n v="0"/>
    <n v="10"/>
    <n v="2"/>
    <n v="117"/>
    <n v="1311"/>
    <x v="454"/>
    <x v="3"/>
    <n v="1440"/>
    <s v="Weekday"/>
    <x v="0"/>
  </r>
  <r>
    <x v="30"/>
    <x v="26"/>
    <x v="541"/>
    <n v="8.5"/>
    <n v="8.5"/>
    <n v="0"/>
    <n v="2.9900000095367401"/>
    <n v="0.10000000149011599"/>
    <n v="5.4099998474121103"/>
    <n v="0"/>
    <n v="43"/>
    <n v="5"/>
    <n v="292"/>
    <n v="1100"/>
    <x v="455"/>
    <x v="1"/>
    <n v="1440"/>
    <s v="Weekday"/>
    <x v="3"/>
  </r>
  <r>
    <x v="21"/>
    <x v="19"/>
    <x v="542"/>
    <n v="8.4099998474121094"/>
    <n v="8.4099998474121094"/>
    <n v="0"/>
    <n v="0"/>
    <n v="0"/>
    <n v="8.4099998474121094"/>
    <n v="0"/>
    <n v="0"/>
    <n v="0"/>
    <n v="480"/>
    <n v="425"/>
    <x v="456"/>
    <x v="3"/>
    <n v="905"/>
    <s v="Weekday"/>
    <x v="3"/>
  </r>
  <r>
    <x v="30"/>
    <x v="22"/>
    <x v="543"/>
    <n v="8.3500003814697301"/>
    <n v="8.3500003814697301"/>
    <n v="0"/>
    <n v="2.78999996185303"/>
    <n v="0.86000001430511497"/>
    <n v="4.6999998092651403"/>
    <n v="0"/>
    <n v="55"/>
    <n v="20"/>
    <n v="253"/>
    <n v="1112"/>
    <x v="457"/>
    <x v="6"/>
    <n v="1440"/>
    <s v="Weekday"/>
    <x v="3"/>
  </r>
  <r>
    <x v="30"/>
    <x v="5"/>
    <x v="544"/>
    <n v="7.1900000572204599"/>
    <n v="7.1900000572204599"/>
    <n v="0"/>
    <n v="0.479999989271164"/>
    <n v="1.21000003814697"/>
    <n v="5.5"/>
    <n v="0"/>
    <n v="21"/>
    <n v="40"/>
    <n v="281"/>
    <n v="1098"/>
    <x v="458"/>
    <x v="4"/>
    <n v="1440"/>
    <s v="Weekday"/>
    <x v="3"/>
  </r>
  <r>
    <x v="1"/>
    <x v="4"/>
    <x v="545"/>
    <n v="4.1700000762939498"/>
    <n v="4.1700000762939498"/>
    <n v="0"/>
    <n v="0"/>
    <n v="0"/>
    <n v="4.1599998474121103"/>
    <n v="0"/>
    <n v="0"/>
    <n v="0"/>
    <n v="227"/>
    <n v="1213"/>
    <x v="459"/>
    <x v="3"/>
    <n v="1440"/>
    <s v="Weekday"/>
    <x v="2"/>
  </r>
  <r>
    <x v="17"/>
    <x v="5"/>
    <x v="546"/>
    <n v="4.9499998092651403"/>
    <n v="4.9499998092651403"/>
    <n v="0"/>
    <n v="0.490000009536743"/>
    <n v="0.44999998807907099"/>
    <n v="4"/>
    <n v="0"/>
    <n v="24"/>
    <n v="36"/>
    <n v="182"/>
    <n v="1198"/>
    <x v="460"/>
    <x v="4"/>
    <n v="1440"/>
    <s v="Weekday"/>
    <x v="1"/>
  </r>
  <r>
    <x v="8"/>
    <x v="30"/>
    <x v="547"/>
    <n v="11.3699998855591"/>
    <n v="11.3699998855591"/>
    <n v="0"/>
    <n v="2.7799999713897701"/>
    <n v="1.45000004768372"/>
    <n v="7.1500000953674299"/>
    <n v="0"/>
    <n v="32"/>
    <n v="35"/>
    <n v="360"/>
    <n v="591"/>
    <x v="461"/>
    <x v="2"/>
    <n v="1018"/>
    <s v="Weekend"/>
    <x v="3"/>
  </r>
  <r>
    <x v="21"/>
    <x v="22"/>
    <x v="548"/>
    <n v="7.4000000953674299"/>
    <n v="7.4000000953674299"/>
    <n v="0"/>
    <n v="0"/>
    <n v="0"/>
    <n v="7.4000000953674299"/>
    <n v="0"/>
    <n v="0"/>
    <n v="0"/>
    <n v="487"/>
    <n v="479"/>
    <x v="462"/>
    <x v="6"/>
    <n v="966"/>
    <s v="Weekday"/>
    <x v="1"/>
  </r>
  <r>
    <x v="23"/>
    <x v="14"/>
    <x v="342"/>
    <n v="2.5999999046325701"/>
    <n v="2.5999999046325701"/>
    <n v="0"/>
    <n v="0"/>
    <n v="0"/>
    <n v="2.5999999046325701"/>
    <n v="0"/>
    <n v="0"/>
    <n v="0"/>
    <n v="192"/>
    <n v="1058"/>
    <x v="463"/>
    <x v="3"/>
    <n v="1250"/>
    <s v="Weekday"/>
    <x v="0"/>
  </r>
  <r>
    <x v="30"/>
    <x v="24"/>
    <x v="549"/>
    <n v="9.3299999237060494"/>
    <n v="9.3299999237060494"/>
    <n v="0"/>
    <n v="4.4299998283386204"/>
    <n v="0.41999998688697798"/>
    <n v="4.4699997901916504"/>
    <n v="0"/>
    <n v="52"/>
    <n v="10"/>
    <n v="273"/>
    <n v="1105"/>
    <x v="463"/>
    <x v="4"/>
    <n v="1440"/>
    <s v="Weekday"/>
    <x v="3"/>
  </r>
  <r>
    <x v="6"/>
    <x v="16"/>
    <x v="550"/>
    <n v="9.1800003051757795"/>
    <n v="8.7200002670288104"/>
    <n v="2.83232593536377"/>
    <n v="4.6399998664856001"/>
    <n v="0.69999998807907104"/>
    <n v="3.8299999237060498"/>
    <n v="0"/>
    <n v="64"/>
    <n v="14"/>
    <n v="250"/>
    <n v="1112"/>
    <x v="464"/>
    <x v="4"/>
    <n v="1440"/>
    <s v="Weekday"/>
    <x v="3"/>
  </r>
  <r>
    <x v="29"/>
    <x v="10"/>
    <x v="551"/>
    <n v="3.7000000476837198"/>
    <n v="3.7000000476837198"/>
    <n v="0"/>
    <n v="1.9299999475479099"/>
    <n v="0.31999999284744302"/>
    <n v="1.45000004768372"/>
    <n v="0"/>
    <n v="41"/>
    <n v="16"/>
    <n v="79"/>
    <n v="1304"/>
    <x v="465"/>
    <x v="5"/>
    <n v="1440"/>
    <s v="Weekend"/>
    <x v="0"/>
  </r>
  <r>
    <x v="14"/>
    <x v="3"/>
    <x v="552"/>
    <n v="2.6500000953674299"/>
    <n v="2.6500000953674299"/>
    <n v="0"/>
    <n v="0.109999999403954"/>
    <n v="0.17000000178813901"/>
    <n v="2.3299999237060498"/>
    <n v="0"/>
    <n v="2"/>
    <n v="8"/>
    <n v="134"/>
    <n v="1296"/>
    <x v="466"/>
    <x v="2"/>
    <n v="1440"/>
    <s v="Weekend"/>
    <x v="0"/>
  </r>
  <r>
    <x v="3"/>
    <x v="18"/>
    <x v="372"/>
    <n v="4.1100001335143999"/>
    <n v="4.1100001335143999"/>
    <n v="0"/>
    <n v="0"/>
    <n v="1.03999996185303"/>
    <n v="3.0699999332428001"/>
    <n v="0"/>
    <n v="0"/>
    <n v="27"/>
    <n v="167"/>
    <n v="1246"/>
    <x v="467"/>
    <x v="1"/>
    <n v="1440"/>
    <s v="Weekday"/>
    <x v="2"/>
  </r>
  <r>
    <x v="30"/>
    <x v="20"/>
    <x v="553"/>
    <n v="8.2899999618530291"/>
    <n v="8.2899999618530291"/>
    <n v="0"/>
    <n v="2.5099999904632599"/>
    <n v="0.93000000715255704"/>
    <n v="4.8499999046325701"/>
    <n v="0"/>
    <n v="36"/>
    <n v="27"/>
    <n v="272"/>
    <n v="1105"/>
    <x v="468"/>
    <x v="3"/>
    <n v="1440"/>
    <s v="Weekday"/>
    <x v="3"/>
  </r>
  <r>
    <x v="3"/>
    <x v="29"/>
    <x v="554"/>
    <n v="3.9100000858306898"/>
    <n v="3.9100000858306898"/>
    <n v="0"/>
    <n v="0"/>
    <n v="0.33000001311302202"/>
    <n v="3.5799999237060498"/>
    <n v="0"/>
    <n v="0"/>
    <n v="7"/>
    <n v="196"/>
    <n v="1237"/>
    <x v="469"/>
    <x v="5"/>
    <n v="1440"/>
    <s v="Weekend"/>
    <x v="2"/>
  </r>
  <r>
    <x v="21"/>
    <x v="30"/>
    <x v="555"/>
    <n v="8.6800003051757795"/>
    <n v="8.6800003051757795"/>
    <n v="0"/>
    <n v="0"/>
    <n v="0"/>
    <n v="8.6800003051757795"/>
    <n v="0"/>
    <n v="0"/>
    <n v="0"/>
    <n v="512"/>
    <n v="468"/>
    <x v="470"/>
    <x v="2"/>
    <n v="980"/>
    <s v="Weekend"/>
    <x v="3"/>
  </r>
  <r>
    <x v="3"/>
    <x v="26"/>
    <x v="556"/>
    <n v="4.3499999046325701"/>
    <n v="4.3499999046325701"/>
    <n v="0"/>
    <n v="0.15000000596046401"/>
    <n v="0.97000002861022905"/>
    <n v="3.2300000190734899"/>
    <n v="0"/>
    <n v="2"/>
    <n v="23"/>
    <n v="163"/>
    <n v="1252"/>
    <x v="471"/>
    <x v="1"/>
    <n v="1440"/>
    <s v="Weekday"/>
    <x v="2"/>
  </r>
  <r>
    <x v="26"/>
    <x v="24"/>
    <x v="557"/>
    <n v="8.2899999618530291"/>
    <n v="8.2899999618530291"/>
    <n v="0"/>
    <n v="6.2600002288818404"/>
    <n v="0.15000000596046401"/>
    <n v="1.87999999523163"/>
    <n v="0"/>
    <n v="60"/>
    <n v="3"/>
    <n v="117"/>
    <n v="1260"/>
    <x v="472"/>
    <x v="4"/>
    <n v="1440"/>
    <s v="Weekday"/>
    <x v="3"/>
  </r>
  <r>
    <x v="17"/>
    <x v="20"/>
    <x v="558"/>
    <n v="8.3100004196166992"/>
    <n v="8.3100004196166992"/>
    <n v="0"/>
    <n v="5.2800002098083496"/>
    <n v="0.119999997317791"/>
    <n v="2.9000000953674299"/>
    <n v="0"/>
    <n v="45"/>
    <n v="12"/>
    <n v="135"/>
    <n v="843"/>
    <x v="472"/>
    <x v="3"/>
    <n v="1035"/>
    <s v="Weekday"/>
    <x v="3"/>
  </r>
  <r>
    <x v="32"/>
    <x v="2"/>
    <x v="559"/>
    <n v="2.3399999141693102"/>
    <n v="2.3399999141693102"/>
    <n v="0"/>
    <n v="0"/>
    <n v="0"/>
    <n v="2.3399999141693102"/>
    <n v="0"/>
    <n v="0"/>
    <n v="0"/>
    <n v="121"/>
    <n v="780"/>
    <x v="473"/>
    <x v="2"/>
    <n v="901"/>
    <s v="Weekend"/>
    <x v="0"/>
  </r>
  <r>
    <x v="1"/>
    <x v="30"/>
    <x v="0"/>
    <n v="0"/>
    <n v="0"/>
    <n v="0"/>
    <n v="0"/>
    <n v="0"/>
    <n v="0"/>
    <n v="0"/>
    <n v="33"/>
    <n v="0"/>
    <n v="0"/>
    <n v="1407"/>
    <x v="474"/>
    <x v="2"/>
    <n v="1440"/>
    <s v="Weekend"/>
    <x v="0"/>
  </r>
  <r>
    <x v="25"/>
    <x v="15"/>
    <x v="560"/>
    <n v="4.3299999237060502"/>
    <n v="4.3299999237060502"/>
    <n v="0"/>
    <n v="1.79999995231628"/>
    <n v="0.5"/>
    <n v="2.0199999809265101"/>
    <n v="0"/>
    <n v="66"/>
    <n v="35"/>
    <n v="238"/>
    <n v="1019"/>
    <x v="475"/>
    <x v="4"/>
    <n v="1358"/>
    <s v="Weekday"/>
    <x v="2"/>
  </r>
  <r>
    <x v="6"/>
    <x v="12"/>
    <x v="561"/>
    <n v="7.4200000762939498"/>
    <n v="7.4200000762939498"/>
    <n v="0"/>
    <n v="0"/>
    <n v="0"/>
    <n v="7.4200000762939498"/>
    <n v="0"/>
    <n v="0"/>
    <n v="0"/>
    <n v="419"/>
    <n v="1021"/>
    <x v="476"/>
    <x v="5"/>
    <n v="1440"/>
    <s v="Weekend"/>
    <x v="3"/>
  </r>
  <r>
    <x v="3"/>
    <x v="19"/>
    <x v="562"/>
    <n v="4.4400000572204599"/>
    <n v="4.4400000572204599"/>
    <n v="0"/>
    <n v="0.52999997138977095"/>
    <n v="0.479999989271164"/>
    <n v="3.4400000572204599"/>
    <n v="0"/>
    <n v="7"/>
    <n v="10"/>
    <n v="166"/>
    <n v="1257"/>
    <x v="477"/>
    <x v="3"/>
    <n v="1440"/>
    <s v="Weekday"/>
    <x v="2"/>
  </r>
  <r>
    <x v="6"/>
    <x v="28"/>
    <x v="563"/>
    <n v="8.2399997711181605"/>
    <n v="7.4800000190734899"/>
    <n v="3.2854149341583301"/>
    <n v="2.9500000476837198"/>
    <n v="0.34000000357627902"/>
    <n v="4.96000003814697"/>
    <n v="0"/>
    <n v="34"/>
    <n v="6"/>
    <n v="304"/>
    <n v="1096"/>
    <x v="477"/>
    <x v="6"/>
    <n v="1440"/>
    <s v="Weekday"/>
    <x v="3"/>
  </r>
  <r>
    <x v="8"/>
    <x v="23"/>
    <x v="564"/>
    <n v="15.079999923706101"/>
    <n v="15.079999923706101"/>
    <n v="0"/>
    <n v="5.4499998092651403"/>
    <n v="4.0999999046325701"/>
    <n v="5.5300002098083496"/>
    <n v="0"/>
    <n v="66"/>
    <n v="72"/>
    <n v="268"/>
    <n v="968"/>
    <x v="478"/>
    <x v="2"/>
    <n v="1374"/>
    <s v="Weekend"/>
    <x v="3"/>
  </r>
  <r>
    <x v="1"/>
    <x v="9"/>
    <x v="565"/>
    <n v="4.5700001716613796"/>
    <n v="4.5700001716613796"/>
    <n v="0"/>
    <n v="0"/>
    <n v="0"/>
    <n v="4.5700001716613796"/>
    <n v="0"/>
    <n v="0"/>
    <n v="0"/>
    <n v="240"/>
    <n v="1200"/>
    <x v="479"/>
    <x v="2"/>
    <n v="1440"/>
    <s v="Weekend"/>
    <x v="2"/>
  </r>
  <r>
    <x v="22"/>
    <x v="30"/>
    <x v="566"/>
    <n v="4.8299999237060502"/>
    <n v="4.8299999237060502"/>
    <n v="0"/>
    <n v="0"/>
    <n v="0.57999998331069902"/>
    <n v="4.25"/>
    <n v="0"/>
    <n v="0"/>
    <n v="15"/>
    <n v="160"/>
    <n v="1265"/>
    <x v="480"/>
    <x v="2"/>
    <n v="1440"/>
    <s v="Weekend"/>
    <x v="2"/>
  </r>
  <r>
    <x v="1"/>
    <x v="22"/>
    <x v="567"/>
    <n v="4.78999996185303"/>
    <n v="4.78999996185303"/>
    <n v="0"/>
    <n v="0"/>
    <n v="0"/>
    <n v="4.78999996185303"/>
    <n v="0"/>
    <n v="0"/>
    <n v="0"/>
    <n v="239"/>
    <n v="1201"/>
    <x v="481"/>
    <x v="6"/>
    <n v="1440"/>
    <s v="Weekday"/>
    <x v="2"/>
  </r>
  <r>
    <x v="3"/>
    <x v="10"/>
    <x v="568"/>
    <n v="4.5599999427795401"/>
    <n v="4.5599999427795401"/>
    <n v="0"/>
    <n v="0.140000000596046"/>
    <n v="1.1900000572204601"/>
    <n v="3.2300000190734899"/>
    <n v="0"/>
    <n v="2"/>
    <n v="22"/>
    <n v="166"/>
    <n v="1250"/>
    <x v="482"/>
    <x v="5"/>
    <n v="1440"/>
    <s v="Weekend"/>
    <x v="2"/>
  </r>
  <r>
    <x v="32"/>
    <x v="15"/>
    <x v="569"/>
    <n v="2.3299999237060498"/>
    <n v="2.3299999237060498"/>
    <n v="0"/>
    <n v="0"/>
    <n v="0"/>
    <n v="2.3299999237060498"/>
    <n v="0"/>
    <n v="0"/>
    <n v="0"/>
    <n v="139"/>
    <n v="621"/>
    <x v="483"/>
    <x v="4"/>
    <n v="760"/>
    <s v="Weekday"/>
    <x v="0"/>
  </r>
  <r>
    <x v="1"/>
    <x v="25"/>
    <x v="570"/>
    <n v="4.3299999237060502"/>
    <n v="4.3299999237060502"/>
    <n v="0"/>
    <n v="0"/>
    <n v="0"/>
    <n v="4.3299999237060502"/>
    <n v="0"/>
    <n v="0"/>
    <n v="0"/>
    <n v="255"/>
    <n v="1185"/>
    <x v="484"/>
    <x v="6"/>
    <n v="1440"/>
    <s v="Weekday"/>
    <x v="2"/>
  </r>
  <r>
    <x v="12"/>
    <x v="7"/>
    <x v="571"/>
    <n v="28.030000686645501"/>
    <n v="28.030000686645501"/>
    <n v="0"/>
    <n v="21.920000076293899"/>
    <n v="4.1900000572204599"/>
    <n v="1.9099999666214"/>
    <n v="1.9999999552965199E-2"/>
    <n v="186"/>
    <n v="63"/>
    <n v="171"/>
    <n v="1020"/>
    <x v="485"/>
    <x v="3"/>
    <n v="1440"/>
    <s v="Weekday"/>
    <x v="3"/>
  </r>
  <r>
    <x v="3"/>
    <x v="23"/>
    <x v="572"/>
    <n v="4.1500000953674299"/>
    <n v="4.1500000953674299"/>
    <n v="0"/>
    <n v="0"/>
    <n v="0"/>
    <n v="0"/>
    <n v="0"/>
    <n v="0"/>
    <n v="0"/>
    <n v="0"/>
    <n v="1440"/>
    <x v="486"/>
    <x v="2"/>
    <n v="1440"/>
    <s v="Weekend"/>
    <x v="2"/>
  </r>
  <r>
    <x v="17"/>
    <x v="17"/>
    <x v="573"/>
    <n v="8.3400001525878906"/>
    <n v="8.3400001525878906"/>
    <n v="0"/>
    <n v="5.6300001144409197"/>
    <n v="0.18000000715255701"/>
    <n v="2.5299999713897701"/>
    <n v="0"/>
    <n v="55"/>
    <n v="6"/>
    <n v="145"/>
    <n v="829"/>
    <x v="486"/>
    <x v="1"/>
    <n v="1035"/>
    <s v="Weekday"/>
    <x v="3"/>
  </r>
  <r>
    <x v="22"/>
    <x v="7"/>
    <x v="574"/>
    <n v="4.46000003814697"/>
    <n v="4.46000003814697"/>
    <n v="0"/>
    <n v="0.239999994635582"/>
    <n v="0.99000000953674305"/>
    <n v="3.2300000190734899"/>
    <n v="0"/>
    <n v="3"/>
    <n v="24"/>
    <n v="146"/>
    <n v="908"/>
    <x v="487"/>
    <x v="3"/>
    <n v="1081"/>
    <s v="Weekday"/>
    <x v="2"/>
  </r>
  <r>
    <x v="31"/>
    <x v="5"/>
    <x v="575"/>
    <n v="7.3899998664856001"/>
    <n v="7.3899998664856001"/>
    <n v="0"/>
    <n v="1.37999999523163"/>
    <n v="0.17000000178813901"/>
    <n v="5.78999996185303"/>
    <n v="0"/>
    <n v="18"/>
    <n v="5"/>
    <n v="210"/>
    <n v="1207"/>
    <x v="488"/>
    <x v="4"/>
    <n v="1440"/>
    <s v="Weekday"/>
    <x v="1"/>
  </r>
  <r>
    <x v="1"/>
    <x v="18"/>
    <x v="576"/>
    <n v="4.8099999427795401"/>
    <n v="4.8099999427795401"/>
    <n v="0"/>
    <n v="0"/>
    <n v="0"/>
    <n v="4.8000001907348597"/>
    <n v="9.9999997764825804E-3"/>
    <n v="0"/>
    <n v="0"/>
    <n v="258"/>
    <n v="1182"/>
    <x v="489"/>
    <x v="1"/>
    <n v="1440"/>
    <s v="Weekday"/>
    <x v="2"/>
  </r>
  <r>
    <x v="1"/>
    <x v="12"/>
    <x v="577"/>
    <n v="4.46000003814697"/>
    <n v="4.46000003814697"/>
    <n v="0"/>
    <n v="0"/>
    <n v="0"/>
    <n v="4.46000003814697"/>
    <n v="0"/>
    <n v="0"/>
    <n v="0"/>
    <n v="258"/>
    <n v="1182"/>
    <x v="490"/>
    <x v="5"/>
    <n v="1440"/>
    <s v="Weekend"/>
    <x v="2"/>
  </r>
  <r>
    <x v="14"/>
    <x v="10"/>
    <x v="578"/>
    <n v="3.1300001144409202"/>
    <n v="3.1300001144409202"/>
    <n v="0"/>
    <n v="0"/>
    <n v="0"/>
    <n v="3.0999999046325701"/>
    <n v="9.9999997764825804E-3"/>
    <n v="0"/>
    <n v="0"/>
    <n v="177"/>
    <n v="855"/>
    <x v="491"/>
    <x v="5"/>
    <n v="1032"/>
    <s v="Weekend"/>
    <x v="0"/>
  </r>
  <r>
    <x v="30"/>
    <x v="8"/>
    <x v="579"/>
    <n v="9.3900003433227504"/>
    <n v="9.3900003433227504"/>
    <n v="0"/>
    <n v="2.1199998855590798"/>
    <n v="1.62999999523163"/>
    <n v="5.6399998664856001"/>
    <n v="0"/>
    <n v="35"/>
    <n v="47"/>
    <n v="297"/>
    <n v="1061"/>
    <x v="492"/>
    <x v="0"/>
    <n v="1440"/>
    <s v="Weekday"/>
    <x v="3"/>
  </r>
  <r>
    <x v="1"/>
    <x v="15"/>
    <x v="580"/>
    <n v="5.8299999237060502"/>
    <n v="5.8299999237060502"/>
    <n v="0"/>
    <n v="0"/>
    <n v="0"/>
    <n v="5.8200001716613796"/>
    <n v="0"/>
    <n v="0"/>
    <n v="0"/>
    <n v="251"/>
    <n v="1189"/>
    <x v="493"/>
    <x v="4"/>
    <n v="1440"/>
    <s v="Weekday"/>
    <x v="1"/>
  </r>
  <r>
    <x v="1"/>
    <x v="20"/>
    <x v="581"/>
    <n v="4.4099998474121103"/>
    <n v="4.4099998474121103"/>
    <n v="0"/>
    <n v="0"/>
    <n v="0"/>
    <n v="4.4000000953674299"/>
    <n v="9.9999997764825804E-3"/>
    <n v="0"/>
    <n v="0"/>
    <n v="272"/>
    <n v="1168"/>
    <x v="494"/>
    <x v="3"/>
    <n v="1440"/>
    <s v="Weekday"/>
    <x v="2"/>
  </r>
  <r>
    <x v="1"/>
    <x v="16"/>
    <x v="582"/>
    <n v="5.1300001144409197"/>
    <n v="5.1300001144409197"/>
    <n v="0"/>
    <n v="0"/>
    <n v="0"/>
    <n v="5.1100001335143999"/>
    <n v="1.9999999552965199E-2"/>
    <n v="0"/>
    <n v="0"/>
    <n v="268"/>
    <n v="1172"/>
    <x v="495"/>
    <x v="4"/>
    <n v="1440"/>
    <s v="Weekday"/>
    <x v="2"/>
  </r>
  <r>
    <x v="20"/>
    <x v="21"/>
    <x v="583"/>
    <n v="5.3000001907348597"/>
    <n v="5.3000001907348597"/>
    <n v="0"/>
    <n v="0.31000000238418601"/>
    <n v="2.0499999523162802"/>
    <n v="2.9400000572204599"/>
    <n v="0"/>
    <n v="4"/>
    <n v="41"/>
    <n v="144"/>
    <n v="901"/>
    <x v="496"/>
    <x v="6"/>
    <n v="1090"/>
    <s v="Weekday"/>
    <x v="2"/>
  </r>
  <r>
    <x v="17"/>
    <x v="7"/>
    <x v="584"/>
    <n v="8.0699996948242205"/>
    <n v="8.0699996948242205"/>
    <n v="0"/>
    <n v="2.2999999523162802"/>
    <n v="0.89999997615814198"/>
    <n v="4.8499999046325701"/>
    <n v="0"/>
    <n v="30"/>
    <n v="15"/>
    <n v="258"/>
    <n v="685"/>
    <x v="497"/>
    <x v="3"/>
    <n v="988"/>
    <s v="Weekday"/>
    <x v="3"/>
  </r>
  <r>
    <x v="30"/>
    <x v="2"/>
    <x v="585"/>
    <n v="12.9099998474121"/>
    <n v="12.9099998474121"/>
    <n v="0"/>
    <n v="0.93999999761581399"/>
    <n v="1.3999999761581401"/>
    <n v="10.569999694824199"/>
    <n v="0"/>
    <n v="13"/>
    <n v="23"/>
    <n v="361"/>
    <n v="1043"/>
    <x v="498"/>
    <x v="2"/>
    <n v="1440"/>
    <s v="Weekend"/>
    <x v="3"/>
  </r>
  <r>
    <x v="17"/>
    <x v="28"/>
    <x v="586"/>
    <n v="6.1199998855590803"/>
    <n v="6.1199998855590803"/>
    <n v="0"/>
    <n v="2.0299999713897701"/>
    <n v="0.33000001311302202"/>
    <n v="3.6600000858306898"/>
    <n v="0"/>
    <n v="35"/>
    <n v="32"/>
    <n v="189"/>
    <n v="787"/>
    <x v="499"/>
    <x v="6"/>
    <n v="1043"/>
    <s v="Weekday"/>
    <x v="1"/>
  </r>
  <r>
    <x v="17"/>
    <x v="3"/>
    <x v="587"/>
    <n v="6.5199999809265101"/>
    <n v="6.5199999809265101"/>
    <n v="0"/>
    <n v="2.8900001049041699"/>
    <n v="1.3899999856948899"/>
    <n v="2.2300000190734899"/>
    <n v="0"/>
    <n v="57"/>
    <n v="40"/>
    <n v="128"/>
    <n v="757"/>
    <x v="500"/>
    <x v="2"/>
    <n v="982"/>
    <s v="Weekend"/>
    <x v="1"/>
  </r>
  <r>
    <x v="17"/>
    <x v="4"/>
    <x v="588"/>
    <n v="8.4799995422363299"/>
    <n v="8.4799995422363299"/>
    <n v="0"/>
    <n v="1.46000003814697"/>
    <n v="2.3299999237060498"/>
    <n v="4.6799998283386204"/>
    <n v="0"/>
    <n v="20"/>
    <n v="42"/>
    <n v="209"/>
    <n v="621"/>
    <x v="501"/>
    <x v="3"/>
    <n v="892"/>
    <s v="Weekday"/>
    <x v="3"/>
  </r>
  <r>
    <x v="32"/>
    <x v="12"/>
    <x v="589"/>
    <n v="2.9400000572204599"/>
    <n v="2.9400000572204599"/>
    <n v="0"/>
    <n v="0"/>
    <n v="0"/>
    <n v="2.9400000572204599"/>
    <n v="0"/>
    <n v="0"/>
    <n v="0"/>
    <n v="135"/>
    <n v="734"/>
    <x v="502"/>
    <x v="5"/>
    <n v="869"/>
    <s v="Weekend"/>
    <x v="0"/>
  </r>
  <r>
    <x v="6"/>
    <x v="26"/>
    <x v="590"/>
    <n v="9.6499996185302699"/>
    <n v="8.6000003814697301"/>
    <n v="4.8513069152831996"/>
    <n v="4.6100001335143999"/>
    <n v="0.56000000238418601"/>
    <n v="4.4800000190734899"/>
    <n v="0"/>
    <n v="56"/>
    <n v="22"/>
    <n v="261"/>
    <n v="1101"/>
    <x v="503"/>
    <x v="1"/>
    <n v="1440"/>
    <s v="Weekday"/>
    <x v="3"/>
  </r>
  <r>
    <x v="1"/>
    <x v="17"/>
    <x v="591"/>
    <n v="4.21000003814697"/>
    <n v="4.21000003814697"/>
    <n v="0"/>
    <n v="0"/>
    <n v="0"/>
    <n v="4.1799998283386204"/>
    <n v="2.9999999329447701E-2"/>
    <n v="0"/>
    <n v="0"/>
    <n v="287"/>
    <n v="1153"/>
    <x v="504"/>
    <x v="1"/>
    <n v="1440"/>
    <s v="Weekday"/>
    <x v="2"/>
  </r>
  <r>
    <x v="17"/>
    <x v="27"/>
    <x v="592"/>
    <n v="6.71000003814697"/>
    <n v="6.71000003814697"/>
    <n v="0"/>
    <n v="3.1700000762939502"/>
    <n v="1.2200000286102299"/>
    <n v="2.3099999427795401"/>
    <n v="0"/>
    <n v="61"/>
    <n v="51"/>
    <n v="114"/>
    <n v="1136"/>
    <x v="504"/>
    <x v="0"/>
    <n v="1362"/>
    <s v="Weekday"/>
    <x v="1"/>
  </r>
  <r>
    <x v="5"/>
    <x v="30"/>
    <x v="593"/>
    <n v="3.3599998950958301"/>
    <n v="3.3599998950958301"/>
    <n v="0"/>
    <n v="0.15999999642372101"/>
    <n v="0.43999999761581399"/>
    <n v="2.75"/>
    <n v="0"/>
    <n v="8"/>
    <n v="45"/>
    <n v="232"/>
    <n v="795"/>
    <x v="505"/>
    <x v="2"/>
    <n v="1080"/>
    <s v="Weekend"/>
    <x v="2"/>
  </r>
  <r>
    <x v="22"/>
    <x v="11"/>
    <x v="594"/>
    <n v="3.8299999237060498"/>
    <n v="3.8299999237060498"/>
    <n v="0"/>
    <n v="0.21999999880790699"/>
    <n v="0.15000000596046401"/>
    <n v="3.4500000476837198"/>
    <n v="0"/>
    <n v="3"/>
    <n v="4"/>
    <n v="170"/>
    <n v="1263"/>
    <x v="506"/>
    <x v="4"/>
    <n v="1440"/>
    <s v="Weekday"/>
    <x v="2"/>
  </r>
  <r>
    <x v="17"/>
    <x v="13"/>
    <x v="595"/>
    <n v="6.8200001716613796"/>
    <n v="6.8200001716613796"/>
    <n v="0"/>
    <n v="3.75"/>
    <n v="0.69999998807907104"/>
    <n v="2.3699998855590798"/>
    <n v="0"/>
    <n v="69"/>
    <n v="39"/>
    <n v="129"/>
    <n v="706"/>
    <x v="507"/>
    <x v="0"/>
    <n v="943"/>
    <s v="Weekday"/>
    <x v="3"/>
  </r>
  <r>
    <x v="30"/>
    <x v="9"/>
    <x v="596"/>
    <n v="8.7399997711181605"/>
    <n v="8.7399997711181605"/>
    <n v="0"/>
    <n v="3.9900000095367401"/>
    <n v="0.46000000834464999"/>
    <n v="4.2800002098083496"/>
    <n v="0"/>
    <n v="72"/>
    <n v="14"/>
    <n v="250"/>
    <n v="1104"/>
    <x v="507"/>
    <x v="2"/>
    <n v="1440"/>
    <s v="Weekend"/>
    <x v="3"/>
  </r>
  <r>
    <x v="17"/>
    <x v="16"/>
    <x v="597"/>
    <n v="6.8099999427795401"/>
    <n v="6.8099999427795401"/>
    <n v="0"/>
    <n v="3.4800000190734899"/>
    <n v="0.66000002622604403"/>
    <n v="2.6600000858306898"/>
    <n v="0"/>
    <n v="66"/>
    <n v="26"/>
    <n v="139"/>
    <n v="737"/>
    <x v="508"/>
    <x v="4"/>
    <n v="968"/>
    <s v="Weekday"/>
    <x v="3"/>
  </r>
  <r>
    <x v="17"/>
    <x v="9"/>
    <x v="598"/>
    <n v="6.7600002288818404"/>
    <n v="6.7600002288818404"/>
    <n v="0"/>
    <n v="2.7400000095367401"/>
    <n v="0.85000002384185802"/>
    <n v="3.1600000858306898"/>
    <n v="0"/>
    <n v="57"/>
    <n v="36"/>
    <n v="152"/>
    <n v="761"/>
    <x v="508"/>
    <x v="2"/>
    <n v="1006"/>
    <s v="Weekend"/>
    <x v="3"/>
  </r>
  <r>
    <x v="29"/>
    <x v="20"/>
    <x v="599"/>
    <n v="3.8900001049041699"/>
    <n v="3.8900001049041699"/>
    <n v="0"/>
    <n v="1.5599999427795399"/>
    <n v="0.25"/>
    <n v="2.0799999237060498"/>
    <n v="0"/>
    <n v="25"/>
    <n v="9"/>
    <n v="141"/>
    <n v="631"/>
    <x v="509"/>
    <x v="3"/>
    <n v="806"/>
    <s v="Weekday"/>
    <x v="2"/>
  </r>
  <r>
    <x v="3"/>
    <x v="25"/>
    <x v="600"/>
    <n v="4.8200001716613796"/>
    <n v="4.8200001716613796"/>
    <n v="0"/>
    <n v="0"/>
    <n v="1.20000004768372"/>
    <n v="3.6099998950958301"/>
    <n v="0"/>
    <n v="0"/>
    <n v="28"/>
    <n v="203"/>
    <n v="1209"/>
    <x v="510"/>
    <x v="6"/>
    <n v="1440"/>
    <s v="Weekday"/>
    <x v="2"/>
  </r>
  <r>
    <x v="31"/>
    <x v="27"/>
    <x v="417"/>
    <n v="8.6700000762939506"/>
    <n v="8.6700000762939506"/>
    <n v="0"/>
    <n v="2.4400000572204599"/>
    <n v="0.270000010728836"/>
    <n v="5.9400000572204599"/>
    <n v="0"/>
    <n v="29"/>
    <n v="5"/>
    <n v="191"/>
    <n v="1215"/>
    <x v="511"/>
    <x v="0"/>
    <n v="1440"/>
    <s v="Weekday"/>
    <x v="3"/>
  </r>
  <r>
    <x v="6"/>
    <x v="21"/>
    <x v="601"/>
    <n v="9.1899995803833008"/>
    <n v="9.1899995803833008"/>
    <n v="0"/>
    <n v="2.1500000953674299"/>
    <n v="1.87000000476837"/>
    <n v="5.1700000762939498"/>
    <n v="0"/>
    <n v="30"/>
    <n v="34"/>
    <n v="327"/>
    <n v="1049"/>
    <x v="512"/>
    <x v="6"/>
    <n v="1440"/>
    <s v="Weekday"/>
    <x v="3"/>
  </r>
  <r>
    <x v="26"/>
    <x v="8"/>
    <x v="602"/>
    <n v="9.3800001144409197"/>
    <n v="9.3800001144409197"/>
    <n v="0"/>
    <n v="6.1199998855590803"/>
    <n v="0.56999999284744296"/>
    <n v="2.6900000572204599"/>
    <n v="0"/>
    <n v="66"/>
    <n v="12"/>
    <n v="148"/>
    <n v="1214"/>
    <x v="513"/>
    <x v="0"/>
    <n v="1440"/>
    <s v="Weekday"/>
    <x v="3"/>
  </r>
  <r>
    <x v="1"/>
    <x v="27"/>
    <x v="603"/>
    <n v="5.21000003814697"/>
    <n v="5.21000003814697"/>
    <n v="0"/>
    <n v="0"/>
    <n v="0"/>
    <n v="5.1900000572204599"/>
    <n v="1.9999999552965199E-2"/>
    <n v="0"/>
    <n v="0"/>
    <n v="271"/>
    <n v="1169"/>
    <x v="514"/>
    <x v="0"/>
    <n v="1440"/>
    <s v="Weekday"/>
    <x v="2"/>
  </r>
  <r>
    <x v="30"/>
    <x v="27"/>
    <x v="604"/>
    <n v="10.069999694824199"/>
    <n v="10.069999694824199"/>
    <n v="0"/>
    <n v="3.6400001049041699"/>
    <n v="0.119999997317791"/>
    <n v="6.3000001907348597"/>
    <n v="0"/>
    <n v="48"/>
    <n v="3"/>
    <n v="311"/>
    <n v="1078"/>
    <x v="515"/>
    <x v="0"/>
    <n v="1440"/>
    <s v="Weekday"/>
    <x v="3"/>
  </r>
  <r>
    <x v="1"/>
    <x v="13"/>
    <x v="605"/>
    <n v="5.9000000953674299"/>
    <n v="5.9000000953674299"/>
    <n v="0"/>
    <n v="0.68000000715255704"/>
    <n v="0.18000000715255701"/>
    <n v="5.0300002098083496"/>
    <n v="9.9999997764825804E-3"/>
    <n v="8"/>
    <n v="3"/>
    <n v="249"/>
    <n v="1180"/>
    <x v="516"/>
    <x v="0"/>
    <n v="1440"/>
    <s v="Weekday"/>
    <x v="1"/>
  </r>
  <r>
    <x v="17"/>
    <x v="29"/>
    <x v="606"/>
    <n v="8.4099998474121094"/>
    <n v="8.4099998474121094"/>
    <n v="0"/>
    <n v="5.2699999809265101"/>
    <n v="0.15000000596046401"/>
    <n v="2.9700000286102299"/>
    <n v="0"/>
    <n v="59"/>
    <n v="6"/>
    <n v="153"/>
    <n v="745"/>
    <x v="517"/>
    <x v="5"/>
    <n v="963"/>
    <s v="Weekend"/>
    <x v="3"/>
  </r>
  <r>
    <x v="5"/>
    <x v="25"/>
    <x v="607"/>
    <n v="3.9400000572204599"/>
    <n v="3.9400000572204599"/>
    <n v="0"/>
    <n v="0"/>
    <n v="0"/>
    <n v="3.9400000572204599"/>
    <n v="0"/>
    <n v="0"/>
    <n v="0"/>
    <n v="310"/>
    <n v="714"/>
    <x v="518"/>
    <x v="6"/>
    <n v="1024"/>
    <s v="Weekday"/>
    <x v="2"/>
  </r>
  <r>
    <x v="17"/>
    <x v="14"/>
    <x v="608"/>
    <n v="7.0700001716613796"/>
    <n v="7.0700001716613796"/>
    <n v="0"/>
    <n v="4.1599998474121103"/>
    <n v="0.769999980926514"/>
    <n v="2.1199998855590798"/>
    <n v="0"/>
    <n v="70"/>
    <n v="33"/>
    <n v="132"/>
    <n v="726"/>
    <x v="519"/>
    <x v="3"/>
    <n v="961"/>
    <s v="Weekday"/>
    <x v="3"/>
  </r>
  <r>
    <x v="30"/>
    <x v="6"/>
    <x v="609"/>
    <n v="11.3999996185303"/>
    <n v="11.3999996185303"/>
    <n v="0"/>
    <n v="3.8699998855590798"/>
    <n v="0.66000002622604403"/>
    <n v="6.8800001144409197"/>
    <n v="0"/>
    <n v="28"/>
    <n v="29"/>
    <n v="331"/>
    <n v="1052"/>
    <x v="520"/>
    <x v="5"/>
    <n v="1440"/>
    <s v="Weekend"/>
    <x v="3"/>
  </r>
  <r>
    <x v="1"/>
    <x v="23"/>
    <x v="610"/>
    <n v="6.2800002098083496"/>
    <n v="6.2800002098083496"/>
    <n v="0"/>
    <n v="0"/>
    <n v="0"/>
    <n v="6.2699999809265101"/>
    <n v="9.9999997764825804E-3"/>
    <n v="0"/>
    <n v="0"/>
    <n v="258"/>
    <n v="1182"/>
    <x v="521"/>
    <x v="2"/>
    <n v="1440"/>
    <s v="Weekend"/>
    <x v="1"/>
  </r>
  <r>
    <x v="20"/>
    <x v="14"/>
    <x v="611"/>
    <n v="4.9499998092651403"/>
    <n v="4.9499998092651403"/>
    <n v="0"/>
    <n v="7.0000000298023196E-2"/>
    <n v="0.34999999403953602"/>
    <n v="4.53999996185303"/>
    <n v="0"/>
    <n v="1"/>
    <n v="8"/>
    <n v="216"/>
    <n v="765"/>
    <x v="522"/>
    <x v="3"/>
    <n v="990"/>
    <s v="Weekday"/>
    <x v="2"/>
  </r>
  <r>
    <x v="14"/>
    <x v="8"/>
    <x v="612"/>
    <n v="3.2699999809265101"/>
    <n v="3.2699999809265101"/>
    <n v="0"/>
    <n v="0.20000000298023199"/>
    <n v="0.119999997317791"/>
    <n v="2.9400000572204599"/>
    <n v="0"/>
    <n v="3"/>
    <n v="5"/>
    <n v="173"/>
    <n v="1225"/>
    <x v="523"/>
    <x v="0"/>
    <n v="1406"/>
    <s v="Weekday"/>
    <x v="0"/>
  </r>
  <r>
    <x v="31"/>
    <x v="7"/>
    <x v="613"/>
    <n v="8.3199996948242205"/>
    <n v="8.3199996948242205"/>
    <n v="0"/>
    <n v="3.1300001144409202"/>
    <n v="0.56999999284744296"/>
    <n v="4.5700001716613796"/>
    <n v="0"/>
    <n v="36"/>
    <n v="12"/>
    <n v="166"/>
    <n v="1226"/>
    <x v="524"/>
    <x v="3"/>
    <n v="1440"/>
    <s v="Weekday"/>
    <x v="3"/>
  </r>
  <r>
    <x v="30"/>
    <x v="14"/>
    <x v="614"/>
    <n v="7.1900000572204599"/>
    <n v="7.1900000572204599"/>
    <n v="0"/>
    <n v="1.4299999475479099"/>
    <n v="0.66000002622604403"/>
    <n v="5.1100001335143999"/>
    <n v="0"/>
    <n v="55"/>
    <n v="24"/>
    <n v="275"/>
    <n v="1086"/>
    <x v="525"/>
    <x v="3"/>
    <n v="1440"/>
    <s v="Weekday"/>
    <x v="3"/>
  </r>
  <r>
    <x v="26"/>
    <x v="5"/>
    <x v="615"/>
    <n v="9.6499996185302699"/>
    <n v="9.6499996185302699"/>
    <n v="0"/>
    <n v="6.1700000762939498"/>
    <n v="0.31000000238418601"/>
    <n v="3.1700000762939502"/>
    <n v="0"/>
    <n v="58"/>
    <n v="8"/>
    <n v="159"/>
    <n v="1215"/>
    <x v="526"/>
    <x v="4"/>
    <n v="1440"/>
    <s v="Weekday"/>
    <x v="3"/>
  </r>
  <r>
    <x v="1"/>
    <x v="24"/>
    <x v="616"/>
    <n v="4.7199997901916504"/>
    <n v="4.7199997901916504"/>
    <n v="0"/>
    <n v="0"/>
    <n v="0"/>
    <n v="4.7199997901916504"/>
    <n v="0"/>
    <n v="0"/>
    <n v="0"/>
    <n v="302"/>
    <n v="1138"/>
    <x v="527"/>
    <x v="4"/>
    <n v="1440"/>
    <s v="Weekday"/>
    <x v="2"/>
  </r>
  <r>
    <x v="30"/>
    <x v="1"/>
    <x v="617"/>
    <n v="8.9799995422363299"/>
    <n v="8.9799995422363299"/>
    <n v="0"/>
    <n v="2.2200000286102299"/>
    <n v="1.21000003814697"/>
    <n v="5.5599999427795401"/>
    <n v="0"/>
    <n v="57"/>
    <n v="28"/>
    <n v="271"/>
    <n v="1084"/>
    <x v="528"/>
    <x v="1"/>
    <n v="1440"/>
    <s v="Weekday"/>
    <x v="3"/>
  </r>
  <r>
    <x v="13"/>
    <x v="27"/>
    <x v="618"/>
    <n v="5.9499998092651403"/>
    <n v="5.9499998092651403"/>
    <n v="0"/>
    <n v="2"/>
    <n v="0.769999980926514"/>
    <n v="3.1700000762939502"/>
    <n v="0"/>
    <n v="30"/>
    <n v="31"/>
    <n v="146"/>
    <n v="1233"/>
    <x v="529"/>
    <x v="0"/>
    <n v="1440"/>
    <s v="Weekday"/>
    <x v="1"/>
  </r>
  <r>
    <x v="32"/>
    <x v="4"/>
    <x v="619"/>
    <n v="3.53999996185303"/>
    <n v="3.53999996185303"/>
    <n v="0"/>
    <n v="0"/>
    <n v="0"/>
    <n v="3.53999996185303"/>
    <n v="0"/>
    <n v="0"/>
    <n v="0"/>
    <n v="158"/>
    <n v="851"/>
    <x v="530"/>
    <x v="3"/>
    <n v="1009"/>
    <s v="Weekday"/>
    <x v="0"/>
  </r>
  <r>
    <x v="22"/>
    <x v="1"/>
    <x v="620"/>
    <n v="6.6599998474121103"/>
    <n v="6.6599998474121103"/>
    <n v="0"/>
    <n v="0.87999999523162797"/>
    <n v="0.81000000238418601"/>
    <n v="4.9699997901916504"/>
    <n v="9.9999997764825804E-3"/>
    <n v="12"/>
    <n v="19"/>
    <n v="155"/>
    <n v="1254"/>
    <x v="530"/>
    <x v="1"/>
    <n v="1440"/>
    <s v="Weekday"/>
    <x v="1"/>
  </r>
  <r>
    <x v="17"/>
    <x v="1"/>
    <x v="621"/>
    <n v="10.789999961853001"/>
    <n v="10.789999961853001"/>
    <n v="0"/>
    <n v="7.1100001335143999"/>
    <n v="1.20000004768372"/>
    <n v="2.4500000476837198"/>
    <n v="0"/>
    <n v="72"/>
    <n v="23"/>
    <n v="106"/>
    <n v="1182"/>
    <x v="531"/>
    <x v="1"/>
    <n v="1383"/>
    <s v="Weekday"/>
    <x v="3"/>
  </r>
  <r>
    <x v="3"/>
    <x v="3"/>
    <x v="622"/>
    <n v="6.78999996185303"/>
    <n v="6.78999996185303"/>
    <n v="0"/>
    <n v="0.37000000476837203"/>
    <n v="3.2400000095367401"/>
    <n v="3.1700000762939502"/>
    <n v="0"/>
    <n v="5"/>
    <n v="71"/>
    <n v="177"/>
    <n v="1106"/>
    <x v="532"/>
    <x v="2"/>
    <n v="1359"/>
    <s v="Weekend"/>
    <x v="1"/>
  </r>
  <r>
    <x v="1"/>
    <x v="10"/>
    <x v="623"/>
    <n v="4.6199998855590803"/>
    <n v="4.6199998855590803"/>
    <n v="0"/>
    <n v="0"/>
    <n v="0"/>
    <n v="4.5900001525878897"/>
    <n v="2.9999999329447701E-2"/>
    <n v="0"/>
    <n v="0"/>
    <n v="305"/>
    <n v="1135"/>
    <x v="533"/>
    <x v="5"/>
    <n v="1440"/>
    <s v="Weekend"/>
    <x v="2"/>
  </r>
  <r>
    <x v="22"/>
    <x v="27"/>
    <x v="624"/>
    <n v="5.1900000572204599"/>
    <n v="5.1900000572204599"/>
    <n v="0"/>
    <n v="1.0700000524520901"/>
    <n v="1.66999995708466"/>
    <n v="2.4500000476837198"/>
    <n v="0"/>
    <n v="15"/>
    <n v="33"/>
    <n v="121"/>
    <n v="1271"/>
    <x v="533"/>
    <x v="0"/>
    <n v="1440"/>
    <s v="Weekday"/>
    <x v="2"/>
  </r>
  <r>
    <x v="26"/>
    <x v="3"/>
    <x v="625"/>
    <n v="9.3999996185302699"/>
    <n v="9.3999996185302699"/>
    <n v="0"/>
    <n v="6.0799999237060502"/>
    <n v="0.28000000119209301"/>
    <n v="3.03999996185303"/>
    <n v="0"/>
    <n v="60"/>
    <n v="7"/>
    <n v="184"/>
    <n v="1189"/>
    <x v="534"/>
    <x v="2"/>
    <n v="1440"/>
    <s v="Weekend"/>
    <x v="3"/>
  </r>
  <r>
    <x v="3"/>
    <x v="4"/>
    <x v="626"/>
    <n v="4.7699999809265101"/>
    <n v="4.7699999809265101"/>
    <n v="0"/>
    <n v="0"/>
    <n v="0"/>
    <n v="4.7699999809265101"/>
    <n v="0"/>
    <n v="0"/>
    <n v="0"/>
    <n v="250"/>
    <n v="1190"/>
    <x v="535"/>
    <x v="3"/>
    <n v="1440"/>
    <s v="Weekday"/>
    <x v="2"/>
  </r>
  <r>
    <x v="20"/>
    <x v="19"/>
    <x v="306"/>
    <n v="5.4400000572204599"/>
    <n v="5.4400000572204599"/>
    <n v="0"/>
    <n v="0.87999999523162797"/>
    <n v="0.37000000476837203"/>
    <n v="4.1900000572204599"/>
    <n v="0"/>
    <n v="10"/>
    <n v="8"/>
    <n v="179"/>
    <n v="757"/>
    <x v="536"/>
    <x v="3"/>
    <n v="954"/>
    <s v="Weekday"/>
    <x v="2"/>
  </r>
  <r>
    <x v="6"/>
    <x v="19"/>
    <x v="627"/>
    <n v="10.4799995422363"/>
    <n v="9.5"/>
    <n v="4.9421420097351101"/>
    <n v="4.4099998474121103"/>
    <n v="0.75999999046325695"/>
    <n v="5.3099999427795401"/>
    <n v="0"/>
    <n v="53"/>
    <n v="17"/>
    <n v="304"/>
    <n v="1066"/>
    <x v="536"/>
    <x v="3"/>
    <n v="1440"/>
    <s v="Weekday"/>
    <x v="3"/>
  </r>
  <r>
    <x v="31"/>
    <x v="9"/>
    <x v="628"/>
    <n v="8.2100000381469709"/>
    <n v="8.2100000381469709"/>
    <n v="0"/>
    <n v="1.3899999856948899"/>
    <n v="0.10000000149011599"/>
    <n v="6.6700000762939498"/>
    <n v="9.9999997764825804E-3"/>
    <n v="19"/>
    <n v="3"/>
    <n v="229"/>
    <n v="1189"/>
    <x v="537"/>
    <x v="2"/>
    <n v="1440"/>
    <s v="Weekend"/>
    <x v="3"/>
  </r>
  <r>
    <x v="14"/>
    <x v="9"/>
    <x v="629"/>
    <n v="3.2200000286102299"/>
    <n v="3.2200000286102299"/>
    <n v="0"/>
    <n v="0"/>
    <n v="0"/>
    <n v="3.1500000953674299"/>
    <n v="5.0000000745058101E-2"/>
    <n v="0"/>
    <n v="0"/>
    <n v="174"/>
    <n v="950"/>
    <x v="538"/>
    <x v="2"/>
    <n v="1124"/>
    <s v="Weekend"/>
    <x v="0"/>
  </r>
  <r>
    <x v="21"/>
    <x v="23"/>
    <x v="630"/>
    <n v="10.9099998474121"/>
    <n v="10.9099998474121"/>
    <n v="0"/>
    <n v="0.57999998331069902"/>
    <n v="0.85000002384185802"/>
    <n v="9.4799995422363299"/>
    <n v="0"/>
    <n v="7"/>
    <n v="15"/>
    <n v="518"/>
    <n v="502"/>
    <x v="538"/>
    <x v="2"/>
    <n v="1042"/>
    <s v="Weekend"/>
    <x v="3"/>
  </r>
  <r>
    <x v="6"/>
    <x v="17"/>
    <x v="631"/>
    <n v="10.2200002670288"/>
    <n v="9.0600004196166992"/>
    <n v="4.8856048583984402"/>
    <n v="4.2699999809265101"/>
    <n v="0.66000002622604403"/>
    <n v="5.28999996185303"/>
    <n v="0"/>
    <n v="50"/>
    <n v="12"/>
    <n v="337"/>
    <n v="1041"/>
    <x v="539"/>
    <x v="1"/>
    <n v="1440"/>
    <s v="Weekday"/>
    <x v="3"/>
  </r>
  <r>
    <x v="31"/>
    <x v="1"/>
    <x v="632"/>
    <n v="8.1499996185302699"/>
    <n v="8.1499996185302699"/>
    <n v="0"/>
    <n v="1.3500000238418599"/>
    <n v="0.46000000834464999"/>
    <n v="6.2800002098083496"/>
    <n v="0"/>
    <n v="18"/>
    <n v="11"/>
    <n v="224"/>
    <n v="1187"/>
    <x v="540"/>
    <x v="1"/>
    <n v="1440"/>
    <s v="Weekday"/>
    <x v="3"/>
  </r>
  <r>
    <x v="6"/>
    <x v="27"/>
    <x v="633"/>
    <n v="10.9799995422363"/>
    <n v="9.9099998474121094"/>
    <n v="4.9305500984191903"/>
    <n v="3.78999996185303"/>
    <n v="2.1199998855590798"/>
    <n v="5.0500001907348597"/>
    <n v="1.9999999552965199E-2"/>
    <n v="48"/>
    <n v="31"/>
    <n v="284"/>
    <n v="1077"/>
    <x v="540"/>
    <x v="0"/>
    <n v="1440"/>
    <s v="Weekday"/>
    <x v="3"/>
  </r>
  <r>
    <x v="6"/>
    <x v="25"/>
    <x v="634"/>
    <n v="10.1199998855591"/>
    <n v="10.1199998855591"/>
    <n v="0"/>
    <n v="1.0900000333786"/>
    <n v="0.769999980926514"/>
    <n v="8.2600002288818395"/>
    <n v="0"/>
    <n v="16"/>
    <n v="16"/>
    <n v="401"/>
    <n v="1007"/>
    <x v="541"/>
    <x v="6"/>
    <n v="1440"/>
    <s v="Weekday"/>
    <x v="3"/>
  </r>
  <r>
    <x v="1"/>
    <x v="19"/>
    <x v="635"/>
    <n v="5.4000000953674299"/>
    <n v="5.4000000953674299"/>
    <n v="0"/>
    <n v="0"/>
    <n v="0"/>
    <n v="5.3899998664856001"/>
    <n v="9.9999997764825804E-3"/>
    <n v="0"/>
    <n v="0"/>
    <n v="321"/>
    <n v="1119"/>
    <x v="542"/>
    <x v="3"/>
    <n v="1440"/>
    <s v="Weekday"/>
    <x v="2"/>
  </r>
  <r>
    <x v="1"/>
    <x v="2"/>
    <x v="636"/>
    <n v="5.0999999046325701"/>
    <n v="5.0999999046325701"/>
    <n v="0"/>
    <n v="0"/>
    <n v="0"/>
    <n v="5.0900001525878897"/>
    <n v="9.9999997764825804E-3"/>
    <n v="0"/>
    <n v="0"/>
    <n v="324"/>
    <n v="1116"/>
    <x v="543"/>
    <x v="2"/>
    <n v="1440"/>
    <s v="Weekend"/>
    <x v="2"/>
  </r>
  <r>
    <x v="3"/>
    <x v="1"/>
    <x v="637"/>
    <n v="6.4299998283386204"/>
    <n v="6.4299998283386204"/>
    <n v="0"/>
    <n v="0.68999999761581399"/>
    <n v="2.0099999904632599"/>
    <n v="3.7200000286102299"/>
    <n v="0"/>
    <n v="9"/>
    <n v="43"/>
    <n v="162"/>
    <n v="1226"/>
    <x v="544"/>
    <x v="1"/>
    <n v="1440"/>
    <s v="Weekday"/>
    <x v="1"/>
  </r>
  <r>
    <x v="17"/>
    <x v="24"/>
    <x v="638"/>
    <n v="6.5300002098083496"/>
    <n v="6.5300002098083496"/>
    <n v="0"/>
    <n v="2.8699998855590798"/>
    <n v="0.97000002861022905"/>
    <n v="2.6700000762939502"/>
    <n v="0"/>
    <n v="58"/>
    <n v="59"/>
    <n v="153"/>
    <n v="762"/>
    <x v="544"/>
    <x v="4"/>
    <n v="1032"/>
    <s v="Weekday"/>
    <x v="1"/>
  </r>
  <r>
    <x v="26"/>
    <x v="14"/>
    <x v="639"/>
    <n v="9.6199998855590803"/>
    <n v="9.6199998855590803"/>
    <n v="0"/>
    <n v="6.3099999427795401"/>
    <n v="0.20000000298023199"/>
    <n v="3.0999999046325701"/>
    <n v="0"/>
    <n v="68"/>
    <n v="5"/>
    <n v="185"/>
    <n v="1182"/>
    <x v="544"/>
    <x v="3"/>
    <n v="1440"/>
    <s v="Weekday"/>
    <x v="3"/>
  </r>
  <r>
    <x v="31"/>
    <x v="15"/>
    <x v="640"/>
    <n v="8.1099996566772496"/>
    <n v="8.1099996566772496"/>
    <n v="0"/>
    <n v="1.08000004291534"/>
    <n v="0.20000000298023199"/>
    <n v="6.8000001907348597"/>
    <n v="0"/>
    <n v="17"/>
    <n v="4"/>
    <n v="245"/>
    <n v="1174"/>
    <x v="545"/>
    <x v="4"/>
    <n v="1440"/>
    <s v="Weekday"/>
    <x v="3"/>
  </r>
  <r>
    <x v="26"/>
    <x v="17"/>
    <x v="641"/>
    <n v="9.8199996948242205"/>
    <n v="9.8199996948242205"/>
    <n v="0"/>
    <n v="6.46000003814697"/>
    <n v="0.43000000715255698"/>
    <n v="2.9300000667571999"/>
    <n v="0"/>
    <n v="60"/>
    <n v="10"/>
    <n v="183"/>
    <n v="1187"/>
    <x v="546"/>
    <x v="1"/>
    <n v="1440"/>
    <s v="Weekday"/>
    <x v="3"/>
  </r>
  <r>
    <x v="20"/>
    <x v="10"/>
    <x v="642"/>
    <n v="5.6300001144409197"/>
    <n v="5.6300001144409197"/>
    <n v="0"/>
    <n v="7.9999998211860698E-2"/>
    <n v="0.66000002622604403"/>
    <n v="4.8699998855590803"/>
    <n v="0"/>
    <n v="1"/>
    <n v="16"/>
    <n v="207"/>
    <n v="682"/>
    <x v="547"/>
    <x v="5"/>
    <n v="906"/>
    <s v="Weekend"/>
    <x v="2"/>
  </r>
  <r>
    <x v="20"/>
    <x v="16"/>
    <x v="643"/>
    <n v="5.9200000762939498"/>
    <n v="5.9200000762939498"/>
    <n v="0"/>
    <n v="0.37999999523162797"/>
    <n v="1.7400000095367401"/>
    <n v="3.7599999904632599"/>
    <n v="0"/>
    <n v="5"/>
    <n v="40"/>
    <n v="195"/>
    <n v="1131"/>
    <x v="547"/>
    <x v="4"/>
    <n v="1371"/>
    <s v="Weekday"/>
    <x v="2"/>
  </r>
  <r>
    <x v="26"/>
    <x v="10"/>
    <x v="644"/>
    <n v="11"/>
    <n v="11"/>
    <n v="0"/>
    <n v="9.1000003814697301"/>
    <n v="0.68999999761581399"/>
    <n v="1.21000003814697"/>
    <n v="0"/>
    <n v="90"/>
    <n v="15"/>
    <n v="90"/>
    <n v="1245"/>
    <x v="547"/>
    <x v="5"/>
    <n v="1440"/>
    <s v="Weekend"/>
    <x v="3"/>
  </r>
  <r>
    <x v="31"/>
    <x v="14"/>
    <x v="645"/>
    <n v="8.4300003051757795"/>
    <n v="8.4300003051757795"/>
    <n v="0"/>
    <n v="1.7599999904632599"/>
    <n v="0.129999995231628"/>
    <n v="6.5"/>
    <n v="0"/>
    <n v="22"/>
    <n v="3"/>
    <n v="258"/>
    <n v="1157"/>
    <x v="548"/>
    <x v="3"/>
    <n v="1440"/>
    <s v="Weekday"/>
    <x v="3"/>
  </r>
  <r>
    <x v="17"/>
    <x v="25"/>
    <x v="646"/>
    <n v="7.8000001907348597"/>
    <n v="7.8000001907348597"/>
    <n v="0"/>
    <n v="2.78999996185303"/>
    <n v="1.6399999856948899"/>
    <n v="3.3599998950958301"/>
    <n v="0"/>
    <n v="54"/>
    <n v="48"/>
    <n v="161"/>
    <n v="810"/>
    <x v="549"/>
    <x v="6"/>
    <n v="1073"/>
    <s v="Weekday"/>
    <x v="3"/>
  </r>
  <r>
    <x v="21"/>
    <x v="11"/>
    <x v="647"/>
    <n v="10.5900001525879"/>
    <n v="10.5900001525879"/>
    <n v="0"/>
    <n v="0"/>
    <n v="0.28000000119209301"/>
    <n v="10.300000190734901"/>
    <n v="0"/>
    <n v="0"/>
    <n v="6"/>
    <n v="513"/>
    <n v="921"/>
    <x v="550"/>
    <x v="4"/>
    <n v="1440"/>
    <s v="Weekday"/>
    <x v="3"/>
  </r>
  <r>
    <x v="26"/>
    <x v="23"/>
    <x v="648"/>
    <n v="11.1099996566772"/>
    <n v="11.1099996566772"/>
    <n v="0"/>
    <n v="9.3599996566772496"/>
    <n v="0.270000010728836"/>
    <n v="1.4900000095367401"/>
    <n v="0"/>
    <n v="96"/>
    <n v="6"/>
    <n v="83"/>
    <n v="1255"/>
    <x v="551"/>
    <x v="2"/>
    <n v="1440"/>
    <s v="Weekend"/>
    <x v="3"/>
  </r>
  <r>
    <x v="3"/>
    <x v="21"/>
    <x v="91"/>
    <n v="6.6599998474121103"/>
    <n v="6.6599998474121103"/>
    <n v="0"/>
    <n v="2.6300001144409202"/>
    <n v="1.0199999809265099"/>
    <n v="3.0099999904632599"/>
    <n v="0"/>
    <n v="35"/>
    <n v="18"/>
    <n v="158"/>
    <n v="1229"/>
    <x v="552"/>
    <x v="6"/>
    <n v="1440"/>
    <s v="Weekday"/>
    <x v="1"/>
  </r>
  <r>
    <x v="32"/>
    <x v="25"/>
    <x v="649"/>
    <n v="4.3000001907348597"/>
    <n v="4.3000001907348597"/>
    <n v="0"/>
    <n v="0.89999997615814198"/>
    <n v="0.490000009536743"/>
    <n v="2.9100000858306898"/>
    <n v="0"/>
    <n v="11"/>
    <n v="10"/>
    <n v="139"/>
    <n v="711"/>
    <x v="553"/>
    <x v="6"/>
    <n v="871"/>
    <s v="Weekday"/>
    <x v="2"/>
  </r>
  <r>
    <x v="28"/>
    <x v="12"/>
    <x v="650"/>
    <n v="7.8800001144409197"/>
    <n v="7.8800001144409197"/>
    <n v="0"/>
    <n v="1.08000004291534"/>
    <n v="0.50999999046325695"/>
    <n v="6.3000001907348597"/>
    <n v="0"/>
    <n v="14"/>
    <n v="8"/>
    <n v="239"/>
    <n v="584"/>
    <x v="554"/>
    <x v="5"/>
    <n v="845"/>
    <s v="Weekend"/>
    <x v="3"/>
  </r>
  <r>
    <x v="3"/>
    <x v="12"/>
    <x v="651"/>
    <n v="6.46000003814697"/>
    <n v="6.46000003814697"/>
    <n v="0"/>
    <n v="0.15000000596046401"/>
    <n v="2.0499999523162802"/>
    <n v="4.2699999809265101"/>
    <n v="0"/>
    <n v="2"/>
    <n v="44"/>
    <n v="206"/>
    <n v="1188"/>
    <x v="555"/>
    <x v="5"/>
    <n v="1440"/>
    <s v="Weekend"/>
    <x v="1"/>
  </r>
  <r>
    <x v="6"/>
    <x v="24"/>
    <x v="652"/>
    <n v="10.2399997711182"/>
    <n v="10.2399997711182"/>
    <n v="0"/>
    <n v="4.0999999046325701"/>
    <n v="1.7599999904632599"/>
    <n v="4.3699998855590803"/>
    <n v="0"/>
    <n v="64"/>
    <n v="50"/>
    <n v="261"/>
    <n v="1065"/>
    <x v="555"/>
    <x v="4"/>
    <n v="1440"/>
    <s v="Weekday"/>
    <x v="3"/>
  </r>
  <r>
    <x v="3"/>
    <x v="16"/>
    <x v="653"/>
    <n v="6.6100001335143999"/>
    <n v="6.6100001335143999"/>
    <n v="0"/>
    <n v="0"/>
    <n v="0"/>
    <n v="0"/>
    <n v="0"/>
    <n v="0"/>
    <n v="0"/>
    <n v="0"/>
    <n v="1440"/>
    <x v="556"/>
    <x v="4"/>
    <n v="1440"/>
    <s v="Weekday"/>
    <x v="1"/>
  </r>
  <r>
    <x v="20"/>
    <x v="11"/>
    <x v="654"/>
    <n v="5.2800002098083496"/>
    <n v="5.2800002098083496"/>
    <n v="0"/>
    <n v="7.0000000298023196E-2"/>
    <n v="0.41999998688697798"/>
    <n v="4.78999996185303"/>
    <n v="0"/>
    <n v="1"/>
    <n v="8"/>
    <n v="256"/>
    <n v="944"/>
    <x v="557"/>
    <x v="4"/>
    <n v="1209"/>
    <s v="Weekday"/>
    <x v="2"/>
  </r>
  <r>
    <x v="5"/>
    <x v="2"/>
    <x v="655"/>
    <n v="4.5900001525878897"/>
    <n v="4.5900001525878897"/>
    <n v="0"/>
    <n v="0.33000001311302202"/>
    <n v="0.36000001430511502"/>
    <n v="3.9100000858306898"/>
    <n v="0"/>
    <n v="10"/>
    <n v="20"/>
    <n v="301"/>
    <n v="749"/>
    <x v="557"/>
    <x v="2"/>
    <n v="1080"/>
    <s v="Weekend"/>
    <x v="2"/>
  </r>
  <r>
    <x v="1"/>
    <x v="11"/>
    <x v="656"/>
    <n v="7.1799998283386204"/>
    <n v="7.1799998283386204"/>
    <n v="0"/>
    <n v="0"/>
    <n v="0"/>
    <n v="7.1700000762939498"/>
    <n v="9.9999997764825804E-3"/>
    <n v="0"/>
    <n v="0"/>
    <n v="328"/>
    <n v="1112"/>
    <x v="557"/>
    <x v="4"/>
    <n v="1440"/>
    <s v="Weekday"/>
    <x v="1"/>
  </r>
  <r>
    <x v="30"/>
    <x v="18"/>
    <x v="609"/>
    <n v="10.670000076293899"/>
    <n v="10.670000076293899"/>
    <n v="0"/>
    <n v="3.3399999141693102"/>
    <n v="1.9299999475479099"/>
    <n v="5.4000000953674299"/>
    <n v="0"/>
    <n v="48"/>
    <n v="63"/>
    <n v="276"/>
    <n v="1053"/>
    <x v="558"/>
    <x v="1"/>
    <n v="1440"/>
    <s v="Weekday"/>
    <x v="3"/>
  </r>
  <r>
    <x v="20"/>
    <x v="26"/>
    <x v="657"/>
    <n v="5.5799999237060502"/>
    <n v="5.5799999237060502"/>
    <n v="0"/>
    <n v="0"/>
    <n v="0"/>
    <n v="5.5799999237060502"/>
    <n v="0"/>
    <n v="0"/>
    <n v="0"/>
    <n v="258"/>
    <n v="777"/>
    <x v="559"/>
    <x v="1"/>
    <n v="1035"/>
    <s v="Weekday"/>
    <x v="2"/>
  </r>
  <r>
    <x v="28"/>
    <x v="22"/>
    <x v="658"/>
    <n v="7.3800001144409197"/>
    <n v="7.3800001144409197"/>
    <n v="0"/>
    <n v="0.62999999523162797"/>
    <n v="1.66999995708466"/>
    <n v="5.0900001525878897"/>
    <n v="0"/>
    <n v="12"/>
    <n v="39"/>
    <n v="199"/>
    <n v="896"/>
    <x v="560"/>
    <x v="6"/>
    <n v="1146"/>
    <s v="Weekday"/>
    <x v="1"/>
  </r>
  <r>
    <x v="22"/>
    <x v="26"/>
    <x v="659"/>
    <n v="5.8200001716613796"/>
    <n v="5.8200001716613796"/>
    <n v="0"/>
    <n v="2.2799999713897701"/>
    <n v="0.89999997615814198"/>
    <n v="2.6400001049041699"/>
    <n v="0"/>
    <n v="30"/>
    <n v="16"/>
    <n v="135"/>
    <n v="1259"/>
    <x v="561"/>
    <x v="1"/>
    <n v="1440"/>
    <s v="Weekday"/>
    <x v="1"/>
  </r>
  <r>
    <x v="1"/>
    <x v="26"/>
    <x v="635"/>
    <n v="5.4000000953674299"/>
    <n v="5.4000000953674299"/>
    <n v="0"/>
    <n v="0"/>
    <n v="0"/>
    <n v="5.3899998664856001"/>
    <n v="9.9999997764825804E-3"/>
    <n v="0"/>
    <n v="0"/>
    <n v="350"/>
    <n v="1090"/>
    <x v="562"/>
    <x v="1"/>
    <n v="1440"/>
    <s v="Weekday"/>
    <x v="2"/>
  </r>
  <r>
    <x v="32"/>
    <x v="30"/>
    <x v="660"/>
    <n v="4.5300002098083496"/>
    <n v="4.5300002098083496"/>
    <n v="0"/>
    <n v="1.5199999809265099"/>
    <n v="0.519999980926514"/>
    <n v="2.4800000190734899"/>
    <n v="0"/>
    <n v="19"/>
    <n v="10"/>
    <n v="136"/>
    <n v="740"/>
    <x v="563"/>
    <x v="2"/>
    <n v="905"/>
    <s v="Weekend"/>
    <x v="2"/>
  </r>
  <r>
    <x v="20"/>
    <x v="17"/>
    <x v="661"/>
    <n v="5.7199997901916504"/>
    <n v="5.7199997901916504"/>
    <n v="0"/>
    <n v="9.00000035762787E-2"/>
    <n v="0.80000001192092896"/>
    <n v="4.7800002098083496"/>
    <n v="0"/>
    <n v="1"/>
    <n v="16"/>
    <n v="238"/>
    <n v="733"/>
    <x v="563"/>
    <x v="1"/>
    <n v="988"/>
    <s v="Weekday"/>
    <x v="2"/>
  </r>
  <r>
    <x v="26"/>
    <x v="20"/>
    <x v="662"/>
    <n v="11.1499996185303"/>
    <n v="11.1499996185303"/>
    <n v="0"/>
    <n v="8.8199996948242205"/>
    <n v="0.40000000596046398"/>
    <n v="1.9099999666214"/>
    <n v="0"/>
    <n v="89"/>
    <n v="8"/>
    <n v="123"/>
    <n v="1220"/>
    <x v="564"/>
    <x v="3"/>
    <n v="1440"/>
    <s v="Weekday"/>
    <x v="3"/>
  </r>
  <r>
    <x v="17"/>
    <x v="10"/>
    <x v="663"/>
    <n v="8.3800001144409197"/>
    <n v="8.3800001144409197"/>
    <n v="0"/>
    <n v="3.8199999332428001"/>
    <n v="1.4299999475479099"/>
    <n v="3.1199998855590798"/>
    <n v="0"/>
    <n v="84"/>
    <n v="35"/>
    <n v="154"/>
    <n v="834"/>
    <x v="565"/>
    <x v="5"/>
    <n v="1107"/>
    <s v="Weekend"/>
    <x v="3"/>
  </r>
  <r>
    <x v="14"/>
    <x v="1"/>
    <x v="664"/>
    <n v="3.9800000190734899"/>
    <n v="3.9800000190734899"/>
    <n v="0"/>
    <n v="0"/>
    <n v="0"/>
    <n v="3.8699998855590798"/>
    <n v="3.9999999105930301E-2"/>
    <n v="0"/>
    <n v="0"/>
    <n v="206"/>
    <n v="774"/>
    <x v="566"/>
    <x v="1"/>
    <n v="980"/>
    <s v="Weekday"/>
    <x v="2"/>
  </r>
  <r>
    <x v="28"/>
    <x v="7"/>
    <x v="665"/>
    <n v="7.8899998664856001"/>
    <n v="7.8899998664856001"/>
    <n v="0"/>
    <n v="1.0099999904632599"/>
    <n v="0.68000000715255704"/>
    <n v="6.1999998092651403"/>
    <n v="0"/>
    <n v="12"/>
    <n v="15"/>
    <n v="241"/>
    <n v="579"/>
    <x v="566"/>
    <x v="3"/>
    <n v="847"/>
    <s v="Weekday"/>
    <x v="3"/>
  </r>
  <r>
    <x v="26"/>
    <x v="1"/>
    <x v="666"/>
    <n v="11.3599996566772"/>
    <n v="11.3599996566772"/>
    <n v="0"/>
    <n v="9.0900001525878906"/>
    <n v="0.41999998688697798"/>
    <n v="1.8500000238418599"/>
    <n v="0"/>
    <n v="96"/>
    <n v="10"/>
    <n v="115"/>
    <n v="1219"/>
    <x v="566"/>
    <x v="1"/>
    <n v="1440"/>
    <s v="Weekday"/>
    <x v="3"/>
  </r>
  <r>
    <x v="28"/>
    <x v="14"/>
    <x v="667"/>
    <n v="7.2800002098083496"/>
    <n v="7.2800002098083496"/>
    <n v="0"/>
    <n v="0.93999999761581399"/>
    <n v="1.0599999427795399"/>
    <n v="5.2699999809265101"/>
    <n v="0"/>
    <n v="14"/>
    <n v="23"/>
    <n v="224"/>
    <n v="673"/>
    <x v="567"/>
    <x v="3"/>
    <n v="934"/>
    <s v="Weekday"/>
    <x v="1"/>
  </r>
  <r>
    <x v="6"/>
    <x v="22"/>
    <x v="668"/>
    <n v="11.1000003814697"/>
    <n v="10.039999961853001"/>
    <n v="4.8782320022582999"/>
    <n v="4.3299999237060502"/>
    <n v="1.28999996185303"/>
    <n v="5.4800000190734899"/>
    <n v="0"/>
    <n v="53"/>
    <n v="23"/>
    <n v="317"/>
    <n v="1047"/>
    <x v="568"/>
    <x v="6"/>
    <n v="1440"/>
    <s v="Weekday"/>
    <x v="3"/>
  </r>
  <r>
    <x v="6"/>
    <x v="29"/>
    <x v="669"/>
    <n v="10.289999961853001"/>
    <n v="9.4799995422363299"/>
    <n v="4.8697829246520996"/>
    <n v="4.5"/>
    <n v="0.37999999523162797"/>
    <n v="5.4099998474121103"/>
    <n v="0"/>
    <n v="53"/>
    <n v="8"/>
    <n v="355"/>
    <n v="1024"/>
    <x v="569"/>
    <x v="5"/>
    <n v="1440"/>
    <s v="Weekend"/>
    <x v="3"/>
  </r>
  <r>
    <x v="6"/>
    <x v="14"/>
    <x v="670"/>
    <n v="10.1000003814697"/>
    <n v="10.1000003814697"/>
    <n v="0"/>
    <n v="0.93000000715255704"/>
    <n v="0.93999999761581399"/>
    <n v="8.2299995422363299"/>
    <n v="0"/>
    <n v="16"/>
    <n v="22"/>
    <n v="424"/>
    <n v="978"/>
    <x v="570"/>
    <x v="3"/>
    <n v="1440"/>
    <s v="Weekday"/>
    <x v="3"/>
  </r>
  <r>
    <x v="3"/>
    <x v="15"/>
    <x v="671"/>
    <n v="7.1900000572204599"/>
    <n v="7.1900000572204599"/>
    <n v="0"/>
    <n v="0.21999999880790699"/>
    <n v="3.3099999427795401"/>
    <n v="3.6600000858306898"/>
    <n v="0"/>
    <n v="3"/>
    <n v="72"/>
    <n v="182"/>
    <n v="1183"/>
    <x v="571"/>
    <x v="4"/>
    <n v="1440"/>
    <s v="Weekday"/>
    <x v="1"/>
  </r>
  <r>
    <x v="3"/>
    <x v="24"/>
    <x v="672"/>
    <n v="6.7800002098083496"/>
    <n v="6.7800002098083496"/>
    <n v="0"/>
    <n v="0.28999999165535001"/>
    <n v="2.4100000858306898"/>
    <n v="4.0799999237060502"/>
    <n v="0"/>
    <n v="4"/>
    <n v="54"/>
    <n v="212"/>
    <n v="1170"/>
    <x v="572"/>
    <x v="4"/>
    <n v="1440"/>
    <s v="Weekday"/>
    <x v="1"/>
  </r>
  <r>
    <x v="17"/>
    <x v="19"/>
    <x v="673"/>
    <n v="7.28999996185303"/>
    <n v="7.28999996185303"/>
    <n v="0"/>
    <n v="3.5299999713897701"/>
    <n v="1.2300000190734901"/>
    <n v="2.5099999904632599"/>
    <n v="0"/>
    <n v="67"/>
    <n v="69"/>
    <n v="124"/>
    <n v="671"/>
    <x v="572"/>
    <x v="3"/>
    <n v="931"/>
    <s v="Weekday"/>
    <x v="3"/>
  </r>
  <r>
    <x v="20"/>
    <x v="29"/>
    <x v="674"/>
    <n v="5.8800001144409197"/>
    <n v="5.8800001144409197"/>
    <n v="0"/>
    <n v="0"/>
    <n v="0"/>
    <n v="5.8499999046325701"/>
    <n v="0"/>
    <n v="0"/>
    <n v="0"/>
    <n v="263"/>
    <n v="718"/>
    <x v="573"/>
    <x v="5"/>
    <n v="981"/>
    <s v="Weekend"/>
    <x v="2"/>
  </r>
  <r>
    <x v="3"/>
    <x v="8"/>
    <x v="675"/>
    <n v="7.6999998092651403"/>
    <n v="7.6999998092651403"/>
    <n v="0"/>
    <n v="5.7600002288818404"/>
    <n v="0.17000000178813901"/>
    <n v="1.7300000190734901"/>
    <n v="0"/>
    <n v="66"/>
    <n v="4"/>
    <n v="110"/>
    <n v="1260"/>
    <x v="573"/>
    <x v="0"/>
    <n v="1440"/>
    <s v="Weekday"/>
    <x v="1"/>
  </r>
  <r>
    <x v="26"/>
    <x v="22"/>
    <x v="676"/>
    <n v="11.5100002288818"/>
    <n v="11.5100002288818"/>
    <n v="0"/>
    <n v="8.8500003814697301"/>
    <n v="0.44999998807907099"/>
    <n v="2.21000003814697"/>
    <n v="0"/>
    <n v="93"/>
    <n v="9"/>
    <n v="130"/>
    <n v="1208"/>
    <x v="574"/>
    <x v="6"/>
    <n v="1440"/>
    <s v="Weekday"/>
    <x v="3"/>
  </r>
  <r>
    <x v="14"/>
    <x v="11"/>
    <x v="677"/>
    <n v="1.3500000238418599"/>
    <n v="1.3500000238418599"/>
    <n v="0"/>
    <n v="0.20999999344348899"/>
    <n v="0.36000001430511502"/>
    <n v="0.769999980926514"/>
    <n v="0"/>
    <n v="36"/>
    <n v="18"/>
    <n v="87"/>
    <n v="1299"/>
    <x v="575"/>
    <x v="4"/>
    <n v="1440"/>
    <s v="Weekday"/>
    <x v="0"/>
  </r>
  <r>
    <x v="1"/>
    <x v="28"/>
    <x v="678"/>
    <n v="5.8000001907348597"/>
    <n v="5.8000001907348597"/>
    <n v="0"/>
    <n v="0"/>
    <n v="0"/>
    <n v="5.7699999809265101"/>
    <n v="2.9999999329447701E-2"/>
    <n v="0"/>
    <n v="0"/>
    <n v="363"/>
    <n v="1077"/>
    <x v="576"/>
    <x v="6"/>
    <n v="1440"/>
    <s v="Weekday"/>
    <x v="1"/>
  </r>
  <r>
    <x v="28"/>
    <x v="3"/>
    <x v="679"/>
    <n v="7.8400001525878897"/>
    <n v="7.8400001525878897"/>
    <n v="0"/>
    <n v="0.52999997138977095"/>
    <n v="0.79000002145767201"/>
    <n v="6.5300002098083496"/>
    <n v="0"/>
    <n v="8"/>
    <n v="18"/>
    <n v="256"/>
    <n v="858"/>
    <x v="577"/>
    <x v="2"/>
    <n v="1140"/>
    <s v="Weekend"/>
    <x v="3"/>
  </r>
  <r>
    <x v="28"/>
    <x v="29"/>
    <x v="680"/>
    <n v="7.7800002098083496"/>
    <n v="7.7800002098083496"/>
    <n v="0"/>
    <n v="0"/>
    <n v="0"/>
    <n v="0"/>
    <n v="0"/>
    <n v="0"/>
    <n v="0"/>
    <n v="0"/>
    <n v="1440"/>
    <x v="578"/>
    <x v="5"/>
    <n v="1440"/>
    <s v="Weekend"/>
    <x v="3"/>
  </r>
  <r>
    <x v="17"/>
    <x v="8"/>
    <x v="681"/>
    <n v="9.1099996566772496"/>
    <n v="9.1099996566772496"/>
    <n v="0"/>
    <n v="4.2600002288818404"/>
    <n v="1.71000003814697"/>
    <n v="3.1199998855590798"/>
    <n v="0"/>
    <n v="67"/>
    <n v="50"/>
    <n v="171"/>
    <n v="743"/>
    <x v="579"/>
    <x v="0"/>
    <n v="1031"/>
    <s v="Weekday"/>
    <x v="3"/>
  </r>
  <r>
    <x v="28"/>
    <x v="25"/>
    <x v="682"/>
    <n v="7.75"/>
    <n v="7.75"/>
    <n v="0"/>
    <n v="1.28999996185303"/>
    <n v="0.43000000715255698"/>
    <n v="6.0300002098083496"/>
    <n v="0"/>
    <n v="19"/>
    <n v="9"/>
    <n v="234"/>
    <n v="878"/>
    <x v="580"/>
    <x v="6"/>
    <n v="1140"/>
    <s v="Weekday"/>
    <x v="3"/>
  </r>
  <r>
    <x v="14"/>
    <x v="4"/>
    <x v="574"/>
    <n v="4.4000000953674299"/>
    <n v="4.4000000953674299"/>
    <n v="0"/>
    <n v="0"/>
    <n v="0"/>
    <n v="3.5799999237060498"/>
    <n v="0"/>
    <n v="0"/>
    <n v="0"/>
    <n v="184"/>
    <n v="1256"/>
    <x v="581"/>
    <x v="3"/>
    <n v="1440"/>
    <s v="Weekday"/>
    <x v="2"/>
  </r>
  <r>
    <x v="6"/>
    <x v="9"/>
    <x v="683"/>
    <n v="10.8699998855591"/>
    <n v="9.7100000381469709"/>
    <n v="4.9123678207397496"/>
    <n v="4.4800000190734899"/>
    <n v="1.0199999809265099"/>
    <n v="5.3600001335143999"/>
    <n v="0"/>
    <n v="58"/>
    <n v="31"/>
    <n v="330"/>
    <n v="1021"/>
    <x v="582"/>
    <x v="2"/>
    <n v="1440"/>
    <s v="Weekend"/>
    <x v="3"/>
  </r>
  <r>
    <x v="28"/>
    <x v="5"/>
    <x v="684"/>
    <n v="7.0999999046325701"/>
    <n v="7.0999999046325701"/>
    <n v="0"/>
    <n v="0.80000001192092896"/>
    <n v="0.88999998569488503"/>
    <n v="5.4200000762939498"/>
    <n v="0"/>
    <n v="13"/>
    <n v="16"/>
    <n v="236"/>
    <n v="1175"/>
    <x v="583"/>
    <x v="4"/>
    <n v="1440"/>
    <s v="Weekday"/>
    <x v="1"/>
  </r>
  <r>
    <x v="32"/>
    <x v="5"/>
    <x v="88"/>
    <n v="4.9000000953674299"/>
    <n v="4.9000000953674299"/>
    <n v="0"/>
    <n v="0.25"/>
    <n v="0.36000001430511502"/>
    <n v="4.2699999809265101"/>
    <n v="0"/>
    <n v="3"/>
    <n v="7"/>
    <n v="172"/>
    <n v="767"/>
    <x v="584"/>
    <x v="4"/>
    <n v="949"/>
    <s v="Weekday"/>
    <x v="2"/>
  </r>
  <r>
    <x v="20"/>
    <x v="28"/>
    <x v="685"/>
    <n v="6.3699998855590803"/>
    <n v="6.3699998855590803"/>
    <n v="0"/>
    <n v="0"/>
    <n v="0"/>
    <n v="6.3699998855590803"/>
    <n v="0"/>
    <n v="0"/>
    <n v="0"/>
    <n v="271"/>
    <n v="772"/>
    <x v="585"/>
    <x v="6"/>
    <n v="1043"/>
    <s v="Weekday"/>
    <x v="1"/>
  </r>
  <r>
    <x v="22"/>
    <x v="15"/>
    <x v="686"/>
    <n v="4.8899998664856001"/>
    <n v="4.8899998664856001"/>
    <n v="0"/>
    <n v="0"/>
    <n v="0"/>
    <n v="4.8800001144409197"/>
    <n v="0"/>
    <n v="0"/>
    <n v="0"/>
    <n v="295"/>
    <n v="991"/>
    <x v="586"/>
    <x v="4"/>
    <n v="1286"/>
    <s v="Weekday"/>
    <x v="2"/>
  </r>
  <r>
    <x v="20"/>
    <x v="8"/>
    <x v="687"/>
    <n v="6.6799998283386204"/>
    <n v="6.6799998283386204"/>
    <n v="0"/>
    <n v="0"/>
    <n v="0.56999999284744296"/>
    <n v="6.0999999046325701"/>
    <n v="0"/>
    <n v="0"/>
    <n v="12"/>
    <n v="253"/>
    <n v="746"/>
    <x v="587"/>
    <x v="0"/>
    <n v="1011"/>
    <s v="Weekday"/>
    <x v="1"/>
  </r>
  <r>
    <x v="17"/>
    <x v="2"/>
    <x v="688"/>
    <n v="9.4099998474121094"/>
    <n v="9.4099998474121094"/>
    <n v="0"/>
    <n v="3.1199998855590798"/>
    <n v="1.03999996185303"/>
    <n v="5.2399997711181596"/>
    <n v="0"/>
    <n v="42"/>
    <n v="17"/>
    <n v="308"/>
    <n v="584"/>
    <x v="588"/>
    <x v="2"/>
    <n v="951"/>
    <s v="Weekend"/>
    <x v="3"/>
  </r>
  <r>
    <x v="17"/>
    <x v="18"/>
    <x v="689"/>
    <n v="10.6400003433228"/>
    <n v="10.6400003433228"/>
    <n v="0"/>
    <n v="7.6399998664856001"/>
    <n v="0.44999998807907099"/>
    <n v="2.53999996185303"/>
    <n v="0"/>
    <n v="87"/>
    <n v="13"/>
    <n v="145"/>
    <n v="797"/>
    <x v="589"/>
    <x v="1"/>
    <n v="1042"/>
    <s v="Weekday"/>
    <x v="3"/>
  </r>
  <r>
    <x v="28"/>
    <x v="28"/>
    <x v="690"/>
    <n v="6.8200001716613796"/>
    <n v="6.8200001716613796"/>
    <n v="0"/>
    <n v="0.129999995231628"/>
    <n v="1.0700000524520901"/>
    <n v="5.6199998855590803"/>
    <n v="0"/>
    <n v="10"/>
    <n v="35"/>
    <n v="219"/>
    <n v="945"/>
    <x v="590"/>
    <x v="6"/>
    <n v="1209"/>
    <s v="Weekday"/>
    <x v="1"/>
  </r>
  <r>
    <x v="29"/>
    <x v="22"/>
    <x v="691"/>
    <n v="5.6399998664856001"/>
    <n v="5.6399998664856001"/>
    <n v="0"/>
    <n v="2.5"/>
    <n v="0.46999999880790699"/>
    <n v="2.6700000762939502"/>
    <n v="0"/>
    <n v="45"/>
    <n v="21"/>
    <n v="143"/>
    <n v="1153"/>
    <x v="591"/>
    <x v="6"/>
    <n v="1362"/>
    <s v="Weekday"/>
    <x v="1"/>
  </r>
  <r>
    <x v="20"/>
    <x v="20"/>
    <x v="692"/>
    <n v="6.6199998855590803"/>
    <n v="6.6199998855590803"/>
    <n v="0"/>
    <n v="0.34000000357627902"/>
    <n v="0.730000019073486"/>
    <n v="5.53999996185303"/>
    <n v="0"/>
    <n v="4"/>
    <n v="15"/>
    <n v="251"/>
    <n v="757"/>
    <x v="591"/>
    <x v="3"/>
    <n v="1027"/>
    <s v="Weekday"/>
    <x v="1"/>
  </r>
  <r>
    <x v="20"/>
    <x v="22"/>
    <x v="693"/>
    <n v="6.9899997711181596"/>
    <n v="6.9899997711181596"/>
    <n v="0"/>
    <n v="0.67000001668930098"/>
    <n v="0.21999999880790699"/>
    <n v="6.0900001525878897"/>
    <n v="0"/>
    <n v="8"/>
    <n v="5"/>
    <n v="241"/>
    <n v="745"/>
    <x v="592"/>
    <x v="6"/>
    <n v="999"/>
    <s v="Weekday"/>
    <x v="1"/>
  </r>
  <r>
    <x v="22"/>
    <x v="8"/>
    <x v="694"/>
    <n v="4.8299999237060502"/>
    <n v="4.8299999237060502"/>
    <n v="0"/>
    <n v="2.3900001049041699"/>
    <n v="0.34999999403953602"/>
    <n v="2.0899999141693102"/>
    <n v="9.9999997764825804E-3"/>
    <n v="32"/>
    <n v="6"/>
    <n v="303"/>
    <n v="1099"/>
    <x v="593"/>
    <x v="0"/>
    <n v="1440"/>
    <s v="Weekday"/>
    <x v="2"/>
  </r>
  <r>
    <x v="22"/>
    <x v="6"/>
    <x v="695"/>
    <n v="6.3699998855590803"/>
    <n v="6.3699998855590803"/>
    <n v="0"/>
    <n v="2.25"/>
    <n v="0.56999999284744296"/>
    <n v="3.5499999523162802"/>
    <n v="0"/>
    <n v="29"/>
    <n v="13"/>
    <n v="186"/>
    <n v="1212"/>
    <x v="594"/>
    <x v="5"/>
    <n v="1440"/>
    <s v="Weekend"/>
    <x v="1"/>
  </r>
  <r>
    <x v="3"/>
    <x v="30"/>
    <x v="696"/>
    <n v="7.3499999046325701"/>
    <n v="7.3499999046325701"/>
    <n v="0"/>
    <n v="0.52999997138977095"/>
    <n v="2.0299999713897701"/>
    <n v="4.75"/>
    <n v="0"/>
    <n v="7"/>
    <n v="44"/>
    <n v="238"/>
    <n v="1151"/>
    <x v="595"/>
    <x v="2"/>
    <n v="1440"/>
    <s v="Weekend"/>
    <x v="1"/>
  </r>
  <r>
    <x v="20"/>
    <x v="27"/>
    <x v="518"/>
    <n v="7.3800001144409197"/>
    <n v="7.3800001144409197"/>
    <n v="0"/>
    <n v="1.8200000524520901"/>
    <n v="1.4900000095367401"/>
    <n v="4.0700001716613796"/>
    <n v="0"/>
    <n v="22"/>
    <n v="30"/>
    <n v="191"/>
    <n v="890"/>
    <x v="596"/>
    <x v="0"/>
    <n v="1133"/>
    <s v="Weekday"/>
    <x v="1"/>
  </r>
  <r>
    <x v="28"/>
    <x v="8"/>
    <x v="697"/>
    <n v="7.8600001335143999"/>
    <n v="7.8600001335143999"/>
    <n v="0"/>
    <n v="0.34000000357627902"/>
    <n v="0.730000019073486"/>
    <n v="6.78999996185303"/>
    <n v="0"/>
    <n v="6"/>
    <n v="19"/>
    <n v="258"/>
    <n v="1020"/>
    <x v="596"/>
    <x v="0"/>
    <n v="1303"/>
    <s v="Weekday"/>
    <x v="3"/>
  </r>
  <r>
    <x v="29"/>
    <x v="16"/>
    <x v="698"/>
    <n v="5.5599999427795401"/>
    <n v="5.5599999427795401"/>
    <n v="0"/>
    <n v="1.12000000476837"/>
    <n v="0.34999999403953602"/>
    <n v="4.0700001716613796"/>
    <n v="0"/>
    <n v="37"/>
    <n v="20"/>
    <n v="235"/>
    <n v="732"/>
    <x v="597"/>
    <x v="4"/>
    <n v="1024"/>
    <s v="Weekday"/>
    <x v="2"/>
  </r>
  <r>
    <x v="28"/>
    <x v="19"/>
    <x v="699"/>
    <n v="7.8299999237060502"/>
    <n v="7.8299999237060502"/>
    <n v="0"/>
    <n v="1.37000000476837"/>
    <n v="0.68999999761581399"/>
    <n v="5.7699999809265101"/>
    <n v="0"/>
    <n v="20"/>
    <n v="16"/>
    <n v="249"/>
    <n v="704"/>
    <x v="598"/>
    <x v="3"/>
    <n v="989"/>
    <s v="Weekday"/>
    <x v="3"/>
  </r>
  <r>
    <x v="26"/>
    <x v="9"/>
    <x v="700"/>
    <n v="11.8999996185303"/>
    <n v="11.8999996185303"/>
    <n v="0"/>
    <n v="8.3900003433227504"/>
    <n v="0.93000000715255704"/>
    <n v="2.5899999141693102"/>
    <n v="0"/>
    <n v="87"/>
    <n v="22"/>
    <n v="165"/>
    <n v="1166"/>
    <x v="599"/>
    <x v="2"/>
    <n v="1440"/>
    <s v="Weekend"/>
    <x v="3"/>
  </r>
  <r>
    <x v="20"/>
    <x v="25"/>
    <x v="701"/>
    <n v="7.3200001716613796"/>
    <n v="7.3200001716613796"/>
    <n v="0"/>
    <n v="1.12999999523163"/>
    <n v="0.41999998688697798"/>
    <n v="5.7699999809265101"/>
    <n v="0"/>
    <n v="14"/>
    <n v="9"/>
    <n v="232"/>
    <n v="738"/>
    <x v="600"/>
    <x v="6"/>
    <n v="993"/>
    <s v="Weekday"/>
    <x v="1"/>
  </r>
  <r>
    <x v="26"/>
    <x v="18"/>
    <x v="702"/>
    <n v="12.189999580383301"/>
    <n v="12.189999580383301"/>
    <n v="0"/>
    <n v="9.5799999237060494"/>
    <n v="0.230000004172325"/>
    <n v="2.3800001144409202"/>
    <n v="0"/>
    <n v="89"/>
    <n v="5"/>
    <n v="158"/>
    <n v="695"/>
    <x v="601"/>
    <x v="1"/>
    <n v="947"/>
    <s v="Weekday"/>
    <x v="3"/>
  </r>
  <r>
    <x v="14"/>
    <x v="23"/>
    <x v="703"/>
    <n v="1.41999995708466"/>
    <n v="1.41999995708466"/>
    <n v="0"/>
    <n v="0.44999998807907099"/>
    <n v="0.37000000476837203"/>
    <n v="0.58999997377395597"/>
    <n v="0"/>
    <n v="65"/>
    <n v="21"/>
    <n v="55"/>
    <n v="1222"/>
    <x v="602"/>
    <x v="2"/>
    <n v="1363"/>
    <s v="Weekend"/>
    <x v="0"/>
  </r>
  <r>
    <x v="31"/>
    <x v="22"/>
    <x v="704"/>
    <n v="10.670000076293899"/>
    <n v="10.670000076293899"/>
    <n v="0"/>
    <n v="5.46000003814697"/>
    <n v="0.81999999284744296"/>
    <n v="4.3699998855590803"/>
    <n v="0"/>
    <n v="67"/>
    <n v="15"/>
    <n v="188"/>
    <n v="1170"/>
    <x v="603"/>
    <x v="6"/>
    <n v="1440"/>
    <s v="Weekday"/>
    <x v="3"/>
  </r>
  <r>
    <x v="6"/>
    <x v="13"/>
    <x v="705"/>
    <n v="13.3400001525879"/>
    <n v="12.199999809265099"/>
    <n v="4.8617920875549299"/>
    <n v="4.3099999427795401"/>
    <n v="1.37000000476837"/>
    <n v="7.6700000762939498"/>
    <n v="0"/>
    <n v="51"/>
    <n v="24"/>
    <n v="379"/>
    <n v="986"/>
    <x v="604"/>
    <x v="0"/>
    <n v="1440"/>
    <s v="Weekday"/>
    <x v="3"/>
  </r>
  <r>
    <x v="31"/>
    <x v="25"/>
    <x v="706"/>
    <n v="11.300000190734901"/>
    <n v="11.300000190734901"/>
    <n v="0"/>
    <n v="4.9299998283386204"/>
    <n v="0.37999999523162797"/>
    <n v="5.9699997901916504"/>
    <n v="0"/>
    <n v="58"/>
    <n v="8"/>
    <n v="231"/>
    <n v="1143"/>
    <x v="605"/>
    <x v="6"/>
    <n v="1440"/>
    <s v="Weekday"/>
    <x v="3"/>
  </r>
  <r>
    <x v="32"/>
    <x v="17"/>
    <x v="707"/>
    <n v="5.8400001525878897"/>
    <n v="5.8400001525878897"/>
    <n v="0"/>
    <n v="0.33000001311302202"/>
    <n v="0.18000000715255701"/>
    <n v="5.3299999237060502"/>
    <n v="0"/>
    <n v="4"/>
    <n v="4"/>
    <n v="192"/>
    <n v="676"/>
    <x v="606"/>
    <x v="1"/>
    <n v="876"/>
    <s v="Weekday"/>
    <x v="2"/>
  </r>
  <r>
    <x v="20"/>
    <x v="18"/>
    <x v="708"/>
    <n v="7.1300001144409197"/>
    <n v="7.1300001144409197"/>
    <n v="0"/>
    <n v="0.15999999642372101"/>
    <n v="1.2300000190734901"/>
    <n v="5.7300000190734899"/>
    <n v="0"/>
    <n v="2"/>
    <n v="29"/>
    <n v="260"/>
    <n v="717"/>
    <x v="606"/>
    <x v="1"/>
    <n v="1008"/>
    <s v="Weekday"/>
    <x v="1"/>
  </r>
  <r>
    <x v="28"/>
    <x v="1"/>
    <x v="709"/>
    <n v="7.9200000762939498"/>
    <n v="7.9200000762939498"/>
    <n v="0"/>
    <n v="0.81000000238418601"/>
    <n v="0.64999997615814198"/>
    <n v="6.46000003814697"/>
    <n v="0"/>
    <n v="13"/>
    <n v="14"/>
    <n v="267"/>
    <n v="648"/>
    <x v="606"/>
    <x v="1"/>
    <n v="942"/>
    <s v="Weekday"/>
    <x v="3"/>
  </r>
  <r>
    <x v="26"/>
    <x v="25"/>
    <x v="710"/>
    <n v="12.3999996185303"/>
    <n v="12.3999996185303"/>
    <n v="0"/>
    <n v="9.6700000762939506"/>
    <n v="0.38999998569488498"/>
    <n v="2.3499999046325701"/>
    <n v="0"/>
    <n v="90"/>
    <n v="9"/>
    <n v="153"/>
    <n v="1188"/>
    <x v="607"/>
    <x v="6"/>
    <n v="1440"/>
    <s v="Weekday"/>
    <x v="3"/>
  </r>
  <r>
    <x v="20"/>
    <x v="13"/>
    <x v="620"/>
    <n v="7.4299998283386204"/>
    <n v="7.4299998283386204"/>
    <n v="0"/>
    <n v="0.490000009536743"/>
    <n v="0.81999999284744296"/>
    <n v="6.1100001335143999"/>
    <n v="0"/>
    <n v="6"/>
    <n v="15"/>
    <n v="270"/>
    <n v="730"/>
    <x v="608"/>
    <x v="0"/>
    <n v="1021"/>
    <s v="Weekday"/>
    <x v="1"/>
  </r>
  <r>
    <x v="28"/>
    <x v="11"/>
    <x v="711"/>
    <n v="6.7300000190734899"/>
    <n v="6.7300000190734899"/>
    <n v="0"/>
    <n v="0"/>
    <n v="0"/>
    <n v="6.7300000190734899"/>
    <n v="0"/>
    <n v="0"/>
    <n v="0"/>
    <n v="299"/>
    <n v="837"/>
    <x v="609"/>
    <x v="4"/>
    <n v="1136"/>
    <s v="Weekday"/>
    <x v="1"/>
  </r>
  <r>
    <x v="20"/>
    <x v="3"/>
    <x v="712"/>
    <n v="7.96000003814697"/>
    <n v="7.96000003814697"/>
    <n v="0"/>
    <n v="0.77999997138977095"/>
    <n v="2.1600000858306898"/>
    <n v="4.9800000190734899"/>
    <n v="0"/>
    <n v="10"/>
    <n v="41"/>
    <n v="235"/>
    <n v="784"/>
    <x v="610"/>
    <x v="2"/>
    <n v="1070"/>
    <s v="Weekend"/>
    <x v="1"/>
  </r>
  <r>
    <x v="28"/>
    <x v="21"/>
    <x v="713"/>
    <n v="7.7300000190734899"/>
    <n v="7.7300000190734899"/>
    <n v="0"/>
    <n v="0.37000000476837203"/>
    <n v="0.38999998569488498"/>
    <n v="6.9800000190734899"/>
    <n v="0"/>
    <n v="7"/>
    <n v="12"/>
    <n v="272"/>
    <n v="853"/>
    <x v="610"/>
    <x v="6"/>
    <n v="1144"/>
    <s v="Weekday"/>
    <x v="3"/>
  </r>
  <r>
    <x v="28"/>
    <x v="23"/>
    <x v="714"/>
    <n v="5.0599999427795401"/>
    <n v="5.0599999427795401"/>
    <n v="0"/>
    <n v="0.20999999344348899"/>
    <n v="0.40000000596046398"/>
    <n v="4.4499998092651403"/>
    <n v="0"/>
    <n v="6"/>
    <n v="9"/>
    <n v="253"/>
    <n v="609"/>
    <x v="611"/>
    <x v="2"/>
    <n v="877"/>
    <s v="Weekend"/>
    <x v="2"/>
  </r>
  <r>
    <x v="28"/>
    <x v="17"/>
    <x v="715"/>
    <n v="8.6099996566772496"/>
    <n v="8.6099996566772496"/>
    <n v="0"/>
    <n v="0.69999998807907104"/>
    <n v="2.5099999904632599"/>
    <n v="5.3899998664856001"/>
    <n v="0"/>
    <n v="11"/>
    <n v="48"/>
    <n v="241"/>
    <n v="684"/>
    <x v="612"/>
    <x v="1"/>
    <n v="984"/>
    <s v="Weekday"/>
    <x v="3"/>
  </r>
  <r>
    <x v="28"/>
    <x v="18"/>
    <x v="716"/>
    <n v="8.1199998855590803"/>
    <n v="8.1199998855590803"/>
    <n v="0"/>
    <n v="1.1000000238418599"/>
    <n v="1.7200000286102299"/>
    <n v="5.28999996185303"/>
    <n v="0"/>
    <n v="19"/>
    <n v="42"/>
    <n v="228"/>
    <n v="696"/>
    <x v="613"/>
    <x v="1"/>
    <n v="985"/>
    <s v="Weekday"/>
    <x v="3"/>
  </r>
  <r>
    <x v="29"/>
    <x v="14"/>
    <x v="717"/>
    <n v="3.9800000190734899"/>
    <n v="3.9800000190734899"/>
    <n v="0"/>
    <n v="0.85000002384185802"/>
    <n v="0.64999997615814198"/>
    <n v="2.4700000286102299"/>
    <n v="0"/>
    <n v="38"/>
    <n v="32"/>
    <n v="181"/>
    <n v="759"/>
    <x v="614"/>
    <x v="3"/>
    <n v="1010"/>
    <s v="Weekday"/>
    <x v="2"/>
  </r>
  <r>
    <x v="14"/>
    <x v="15"/>
    <x v="718"/>
    <n v="4.1999998092651403"/>
    <n v="4.1999998092651403"/>
    <n v="0"/>
    <n v="0"/>
    <n v="0"/>
    <n v="4.1500000953674299"/>
    <n v="0"/>
    <n v="0"/>
    <n v="0"/>
    <n v="263"/>
    <n v="775"/>
    <x v="615"/>
    <x v="4"/>
    <n v="1038"/>
    <s v="Weekday"/>
    <x v="2"/>
  </r>
  <r>
    <x v="28"/>
    <x v="26"/>
    <x v="719"/>
    <n v="8.4499998092651403"/>
    <n v="8.4499998092651403"/>
    <n v="0"/>
    <n v="5.9999998658895499E-2"/>
    <n v="0.62999999523162797"/>
    <n v="3.8800001144409202"/>
    <n v="0"/>
    <n v="1"/>
    <n v="14"/>
    <n v="150"/>
    <n v="1275"/>
    <x v="616"/>
    <x v="1"/>
    <n v="1440"/>
    <s v="Weekday"/>
    <x v="3"/>
  </r>
  <r>
    <x v="3"/>
    <x v="14"/>
    <x v="720"/>
    <n v="8.1899995803833008"/>
    <n v="8.1899995803833008"/>
    <n v="0"/>
    <n v="7.0000000298023196E-2"/>
    <n v="4.2199997901916504"/>
    <n v="3.8900001049041699"/>
    <n v="0"/>
    <n v="1"/>
    <n v="91"/>
    <n v="214"/>
    <n v="1134"/>
    <x v="617"/>
    <x v="3"/>
    <n v="1440"/>
    <s v="Weekday"/>
    <x v="3"/>
  </r>
  <r>
    <x v="6"/>
    <x v="18"/>
    <x v="721"/>
    <n v="11.310000419616699"/>
    <n v="10.4099998474121"/>
    <n v="4.9248409271240199"/>
    <n v="4.78999996185303"/>
    <n v="0.67000001668930098"/>
    <n v="5.8600001335143999"/>
    <n v="0"/>
    <n v="60"/>
    <n v="33"/>
    <n v="347"/>
    <n v="1000"/>
    <x v="618"/>
    <x v="1"/>
    <n v="1440"/>
    <s v="Weekday"/>
    <x v="3"/>
  </r>
  <r>
    <x v="5"/>
    <x v="5"/>
    <x v="722"/>
    <n v="5.3499999046325701"/>
    <n v="5.3499999046325701"/>
    <n v="0"/>
    <n v="0.140000000596046"/>
    <n v="0.28000000119209301"/>
    <n v="4.9299998283386204"/>
    <n v="0"/>
    <n v="6"/>
    <n v="14"/>
    <n v="380"/>
    <n v="634"/>
    <x v="619"/>
    <x v="4"/>
    <n v="1034"/>
    <s v="Weekday"/>
    <x v="1"/>
  </r>
  <r>
    <x v="26"/>
    <x v="21"/>
    <x v="723"/>
    <n v="12.5100002288818"/>
    <n v="12.5100002288818"/>
    <n v="0"/>
    <n v="9.6700000762939506"/>
    <n v="0.25"/>
    <n v="2.5799999237060498"/>
    <n v="0"/>
    <n v="100"/>
    <n v="6"/>
    <n v="170"/>
    <n v="1164"/>
    <x v="620"/>
    <x v="6"/>
    <n v="1440"/>
    <s v="Weekday"/>
    <x v="3"/>
  </r>
  <r>
    <x v="22"/>
    <x v="25"/>
    <x v="724"/>
    <n v="6.8400001525878897"/>
    <n v="6.8400001525878897"/>
    <n v="0"/>
    <n v="0.20000000298023199"/>
    <n v="2.3199999332428001"/>
    <n v="4.3099999427795401"/>
    <n v="0"/>
    <n v="3"/>
    <n v="53"/>
    <n v="227"/>
    <n v="1157"/>
    <x v="621"/>
    <x v="6"/>
    <n v="1440"/>
    <s v="Weekday"/>
    <x v="1"/>
  </r>
  <r>
    <x v="32"/>
    <x v="20"/>
    <x v="725"/>
    <n v="6.2399997711181596"/>
    <n v="6.2399997711181596"/>
    <n v="0"/>
    <n v="1.5599999427795399"/>
    <n v="0.490000009536743"/>
    <n v="4.1999998092651403"/>
    <n v="0"/>
    <n v="19"/>
    <n v="10"/>
    <n v="167"/>
    <n v="680"/>
    <x v="622"/>
    <x v="3"/>
    <n v="876"/>
    <s v="Weekday"/>
    <x v="1"/>
  </r>
  <r>
    <x v="26"/>
    <x v="19"/>
    <x v="726"/>
    <n v="12.4799995422363"/>
    <n v="12.4799995422363"/>
    <n v="0"/>
    <n v="9.2200002670288104"/>
    <n v="0.31000000238418601"/>
    <n v="2.9500000476837198"/>
    <n v="0"/>
    <n v="90"/>
    <n v="7"/>
    <n v="191"/>
    <n v="1152"/>
    <x v="623"/>
    <x v="3"/>
    <n v="1440"/>
    <s v="Weekday"/>
    <x v="3"/>
  </r>
  <r>
    <x v="20"/>
    <x v="2"/>
    <x v="727"/>
    <n v="8.2299995422363299"/>
    <n v="8.2299995422363299"/>
    <n v="0"/>
    <n v="0.31999999284744302"/>
    <n v="2.0299999713897701"/>
    <n v="5.8800001144409197"/>
    <n v="0"/>
    <n v="4"/>
    <n v="36"/>
    <n v="263"/>
    <n v="728"/>
    <x v="624"/>
    <x v="2"/>
    <n v="1031"/>
    <s v="Weekend"/>
    <x v="3"/>
  </r>
  <r>
    <x v="22"/>
    <x v="14"/>
    <x v="728"/>
    <n v="7.21000003814697"/>
    <n v="7.21000003814697"/>
    <n v="0"/>
    <n v="0.80000001192092896"/>
    <n v="1.7200000286102299"/>
    <n v="4.6900000572204599"/>
    <n v="0"/>
    <n v="11"/>
    <n v="41"/>
    <n v="223"/>
    <n v="1165"/>
    <x v="625"/>
    <x v="3"/>
    <n v="1440"/>
    <s v="Weekday"/>
    <x v="1"/>
  </r>
  <r>
    <x v="26"/>
    <x v="27"/>
    <x v="729"/>
    <n v="12.6599998474121"/>
    <n v="12.6599998474121"/>
    <n v="0"/>
    <n v="9.0799999237060494"/>
    <n v="0.230000004172325"/>
    <n v="3.3499999046325701"/>
    <n v="0"/>
    <n v="102"/>
    <n v="6"/>
    <n v="195"/>
    <n v="1137"/>
    <x v="626"/>
    <x v="0"/>
    <n v="1440"/>
    <s v="Weekday"/>
    <x v="3"/>
  </r>
  <r>
    <x v="26"/>
    <x v="26"/>
    <x v="730"/>
    <n v="13.3500003814697"/>
    <n v="13.3500003814697"/>
    <n v="0"/>
    <n v="10.430000305175801"/>
    <n v="0.46999999880790699"/>
    <n v="2.4500000476837198"/>
    <n v="0"/>
    <n v="95"/>
    <n v="12"/>
    <n v="156"/>
    <n v="1177"/>
    <x v="627"/>
    <x v="1"/>
    <n v="1440"/>
    <s v="Weekday"/>
    <x v="3"/>
  </r>
  <r>
    <x v="3"/>
    <x v="17"/>
    <x v="731"/>
    <n v="9.7299995422363299"/>
    <n v="9.7299995422363299"/>
    <n v="0"/>
    <n v="6.5999999046325701"/>
    <n v="0.270000010728836"/>
    <n v="2.8699998855590798"/>
    <n v="0"/>
    <n v="77"/>
    <n v="5"/>
    <n v="129"/>
    <n v="1229"/>
    <x v="628"/>
    <x v="1"/>
    <n v="1440"/>
    <s v="Weekday"/>
    <x v="3"/>
  </r>
  <r>
    <x v="20"/>
    <x v="9"/>
    <x v="732"/>
    <n v="7.6700000762939498"/>
    <n v="7.6700000762939498"/>
    <n v="0"/>
    <n v="0"/>
    <n v="0"/>
    <n v="7.6700000762939498"/>
    <n v="0"/>
    <n v="0"/>
    <n v="0"/>
    <n v="313"/>
    <n v="729"/>
    <x v="629"/>
    <x v="2"/>
    <n v="1042"/>
    <s v="Weekend"/>
    <x v="1"/>
  </r>
  <r>
    <x v="28"/>
    <x v="16"/>
    <x v="733"/>
    <n v="8.3999996185302699"/>
    <n v="8.3999996185302699"/>
    <n v="0"/>
    <n v="3.7699999809265101"/>
    <n v="7.9999998211860698E-2"/>
    <n v="4.5500001907348597"/>
    <n v="0"/>
    <n v="33"/>
    <n v="4"/>
    <n v="204"/>
    <n v="935"/>
    <x v="630"/>
    <x v="4"/>
    <n v="1176"/>
    <s v="Weekday"/>
    <x v="3"/>
  </r>
  <r>
    <x v="29"/>
    <x v="30"/>
    <x v="734"/>
    <n v="5.71000003814697"/>
    <n v="5.71000003814697"/>
    <n v="0"/>
    <n v="1.21000003814697"/>
    <n v="0.36000001430511502"/>
    <n v="4.1399998664856001"/>
    <n v="0"/>
    <n v="24"/>
    <n v="24"/>
    <n v="223"/>
    <n v="627"/>
    <x v="631"/>
    <x v="2"/>
    <n v="898"/>
    <s v="Weekend"/>
    <x v="1"/>
  </r>
  <r>
    <x v="30"/>
    <x v="21"/>
    <x v="735"/>
    <n v="8.7399997711181605"/>
    <n v="8.7399997711181605"/>
    <n v="0"/>
    <n v="3.3299999237060498"/>
    <n v="1.1100000143051101"/>
    <n v="4.3099999427795401"/>
    <n v="0"/>
    <n v="104"/>
    <n v="53"/>
    <n v="255"/>
    <n v="1028"/>
    <x v="632"/>
    <x v="6"/>
    <n v="1440"/>
    <s v="Weekday"/>
    <x v="3"/>
  </r>
  <r>
    <x v="28"/>
    <x v="20"/>
    <x v="736"/>
    <n v="9.5200004577636701"/>
    <n v="9.5200004577636701"/>
    <n v="0"/>
    <n v="2.78999996185303"/>
    <n v="0.93000000715255704"/>
    <n v="5.8000001907348597"/>
    <n v="0"/>
    <n v="35"/>
    <n v="21"/>
    <n v="251"/>
    <n v="632"/>
    <x v="633"/>
    <x v="3"/>
    <n v="939"/>
    <s v="Weekday"/>
    <x v="3"/>
  </r>
  <r>
    <x v="3"/>
    <x v="2"/>
    <x v="737"/>
    <n v="7.8699998855590803"/>
    <n v="7.8699998855590803"/>
    <n v="0"/>
    <n v="0.15000000596046401"/>
    <n v="1.2799999713897701"/>
    <n v="6.4299998283386204"/>
    <n v="0"/>
    <n v="2"/>
    <n v="28"/>
    <n v="317"/>
    <n v="1093"/>
    <x v="634"/>
    <x v="2"/>
    <n v="1440"/>
    <s v="Weekend"/>
    <x v="3"/>
  </r>
  <r>
    <x v="20"/>
    <x v="5"/>
    <x v="738"/>
    <n v="8.0500001907348597"/>
    <n v="8.0500001907348597"/>
    <n v="0"/>
    <n v="1.0599999427795399"/>
    <n v="0.92000001668930098"/>
    <n v="6.0700001716613796"/>
    <n v="0"/>
    <n v="12"/>
    <n v="19"/>
    <n v="267"/>
    <n v="692"/>
    <x v="635"/>
    <x v="4"/>
    <n v="990"/>
    <s v="Weekday"/>
    <x v="1"/>
  </r>
  <r>
    <x v="1"/>
    <x v="6"/>
    <x v="739"/>
    <n v="5.9400000572204599"/>
    <n v="5.9400000572204599"/>
    <n v="0"/>
    <n v="1.1399999856948899"/>
    <n v="0.79000002145767201"/>
    <n v="4"/>
    <n v="0"/>
    <n v="31"/>
    <n v="12"/>
    <n v="225"/>
    <n v="1172"/>
    <x v="636"/>
    <x v="5"/>
    <n v="1440"/>
    <s v="Weekend"/>
    <x v="1"/>
  </r>
  <r>
    <x v="20"/>
    <x v="1"/>
    <x v="740"/>
    <n v="8.6099996566772496"/>
    <n v="8.6099996566772496"/>
    <n v="0"/>
    <n v="7.9999998211860698E-2"/>
    <n v="1.87999999523163"/>
    <n v="6.6500000953674299"/>
    <n v="0"/>
    <n v="1"/>
    <n v="37"/>
    <n v="262"/>
    <n v="701"/>
    <x v="637"/>
    <x v="1"/>
    <n v="1001"/>
    <s v="Weekday"/>
    <x v="3"/>
  </r>
  <r>
    <x v="6"/>
    <x v="5"/>
    <x v="741"/>
    <n v="14.300000190734901"/>
    <n v="13.420000076293899"/>
    <n v="4.9111461639404297"/>
    <n v="4.3099999427795401"/>
    <n v="2.0499999523162802"/>
    <n v="7.9499998092651403"/>
    <n v="0"/>
    <n v="55"/>
    <n v="42"/>
    <n v="382"/>
    <n v="961"/>
    <x v="638"/>
    <x v="4"/>
    <n v="1440"/>
    <s v="Weekday"/>
    <x v="3"/>
  </r>
  <r>
    <x v="26"/>
    <x v="29"/>
    <x v="742"/>
    <n v="14.1199998855591"/>
    <n v="14.1199998855591"/>
    <n v="0"/>
    <n v="11.6400003433228"/>
    <n v="0.38999998569488498"/>
    <n v="2.0999999046325701"/>
    <n v="0"/>
    <n v="116"/>
    <n v="8"/>
    <n v="123"/>
    <n v="1193"/>
    <x v="639"/>
    <x v="5"/>
    <n v="1440"/>
    <s v="Weekend"/>
    <x v="3"/>
  </r>
  <r>
    <x v="29"/>
    <x v="18"/>
    <x v="743"/>
    <n v="6.2199997901916504"/>
    <n v="6.2199997901916504"/>
    <n v="0"/>
    <n v="4.1199998855590803"/>
    <n v="0.34000000357627902"/>
    <n v="1.7599999904632599"/>
    <n v="0"/>
    <n v="87"/>
    <n v="16"/>
    <n v="113"/>
    <n v="773"/>
    <x v="640"/>
    <x v="1"/>
    <n v="989"/>
    <s v="Weekday"/>
    <x v="1"/>
  </r>
  <r>
    <x v="22"/>
    <x v="29"/>
    <x v="744"/>
    <n v="7.7699999809265101"/>
    <n v="7.7699999809265101"/>
    <n v="0"/>
    <n v="0.140000000596046"/>
    <n v="2.2999999523162802"/>
    <n v="5.3299999237060502"/>
    <n v="0"/>
    <n v="2"/>
    <n v="51"/>
    <n v="256"/>
    <n v="1131"/>
    <x v="641"/>
    <x v="5"/>
    <n v="1440"/>
    <s v="Weekend"/>
    <x v="3"/>
  </r>
  <r>
    <x v="3"/>
    <x v="9"/>
    <x v="745"/>
    <n v="9.3699998855590803"/>
    <n v="9.3699998855590803"/>
    <n v="0"/>
    <n v="0"/>
    <n v="0"/>
    <n v="0"/>
    <n v="0"/>
    <n v="0"/>
    <n v="0"/>
    <n v="0"/>
    <n v="1440"/>
    <x v="642"/>
    <x v="2"/>
    <n v="1440"/>
    <s v="Weekend"/>
    <x v="3"/>
  </r>
  <r>
    <x v="26"/>
    <x v="6"/>
    <x v="746"/>
    <n v="13.689999580383301"/>
    <n v="13.689999580383301"/>
    <n v="0"/>
    <n v="9.2399997711181605"/>
    <n v="0.80000001192092896"/>
    <n v="3.6400001049041699"/>
    <n v="0"/>
    <n v="111"/>
    <n v="21"/>
    <n v="195"/>
    <n v="1113"/>
    <x v="643"/>
    <x v="5"/>
    <n v="1440"/>
    <s v="Weekend"/>
    <x v="3"/>
  </r>
  <r>
    <x v="22"/>
    <x v="28"/>
    <x v="747"/>
    <n v="8.0200004577636701"/>
    <n v="8.0200004577636701"/>
    <n v="0"/>
    <n v="0.36000001430511502"/>
    <n v="2.5599999427795401"/>
    <n v="5.0999999046325701"/>
    <n v="0"/>
    <n v="5"/>
    <n v="58"/>
    <n v="252"/>
    <n v="1125"/>
    <x v="644"/>
    <x v="6"/>
    <n v="1440"/>
    <s v="Weekday"/>
    <x v="3"/>
  </r>
  <r>
    <x v="3"/>
    <x v="22"/>
    <x v="748"/>
    <n v="9.6899995803833008"/>
    <n v="9.6899995803833008"/>
    <n v="0"/>
    <n v="0"/>
    <n v="0"/>
    <n v="1.1799999475479099"/>
    <n v="0"/>
    <n v="0"/>
    <n v="0"/>
    <n v="70"/>
    <n v="1370"/>
    <x v="645"/>
    <x v="6"/>
    <n v="1440"/>
    <s v="Weekday"/>
    <x v="3"/>
  </r>
  <r>
    <x v="28"/>
    <x v="27"/>
    <x v="749"/>
    <n v="9.1000003814697301"/>
    <n v="9.1000003814697301"/>
    <n v="0"/>
    <n v="3.5599999427795401"/>
    <n v="0.40000000596046398"/>
    <n v="5.1399998664856001"/>
    <n v="0"/>
    <n v="27"/>
    <n v="8"/>
    <n v="239"/>
    <n v="1017"/>
    <x v="646"/>
    <x v="0"/>
    <n v="1291"/>
    <s v="Weekday"/>
    <x v="3"/>
  </r>
  <r>
    <x v="28"/>
    <x v="2"/>
    <x v="750"/>
    <n v="9.6400003433227504"/>
    <n v="9.6400003433227504"/>
    <n v="0"/>
    <n v="0.69999998807907104"/>
    <n v="2"/>
    <n v="6.9400000572204599"/>
    <n v="0"/>
    <n v="14"/>
    <n v="43"/>
    <n v="300"/>
    <n v="537"/>
    <x v="647"/>
    <x v="2"/>
    <n v="894"/>
    <s v="Weekend"/>
    <x v="3"/>
  </r>
  <r>
    <x v="20"/>
    <x v="15"/>
    <x v="751"/>
    <n v="10.430000305175801"/>
    <n v="10.430000305175801"/>
    <n v="0"/>
    <n v="0.68000000715255704"/>
    <n v="6.21000003814697"/>
    <n v="3.53999996185303"/>
    <n v="0"/>
    <n v="9"/>
    <n v="125"/>
    <n v="192"/>
    <n v="1019"/>
    <x v="648"/>
    <x v="4"/>
    <n v="1345"/>
    <s v="Weekday"/>
    <x v="3"/>
  </r>
  <r>
    <x v="28"/>
    <x v="13"/>
    <x v="752"/>
    <n v="9.9700002670288104"/>
    <n v="9.9700002670288104"/>
    <n v="0"/>
    <n v="0.730000019073486"/>
    <n v="1.3999999761581401"/>
    <n v="7.8400001525878897"/>
    <n v="0"/>
    <n v="11"/>
    <n v="31"/>
    <n v="301"/>
    <n v="1054"/>
    <x v="649"/>
    <x v="0"/>
    <n v="1397"/>
    <s v="Weekday"/>
    <x v="3"/>
  </r>
  <r>
    <x v="28"/>
    <x v="9"/>
    <x v="753"/>
    <n v="9.7899999618530291"/>
    <n v="9.7899999618530291"/>
    <n v="0"/>
    <n v="1.12999999523163"/>
    <n v="0.77999997138977095"/>
    <n v="7.8800001144409197"/>
    <n v="0"/>
    <n v="18"/>
    <n v="18"/>
    <n v="306"/>
    <n v="984"/>
    <x v="650"/>
    <x v="2"/>
    <n v="1326"/>
    <s v="Weekend"/>
    <x v="3"/>
  </r>
  <r>
    <x v="29"/>
    <x v="17"/>
    <x v="754"/>
    <n v="5.1399998664856001"/>
    <n v="5.1399998664856001"/>
    <n v="0"/>
    <n v="1.8099999427795399"/>
    <n v="0.40000000596046398"/>
    <n v="2.9300000667571999"/>
    <n v="0"/>
    <n v="63"/>
    <n v="16"/>
    <n v="190"/>
    <n v="773"/>
    <x v="651"/>
    <x v="1"/>
    <n v="1042"/>
    <s v="Weekday"/>
    <x v="2"/>
  </r>
  <r>
    <x v="22"/>
    <x v="19"/>
    <x v="755"/>
    <n v="8.1800003051757795"/>
    <n v="8.1800003051757795"/>
    <n v="0"/>
    <n v="0.36000001430511502"/>
    <n v="2.5299999713897701"/>
    <n v="5.3000001907348597"/>
    <n v="0"/>
    <n v="5"/>
    <n v="58"/>
    <n v="278"/>
    <n v="1099"/>
    <x v="652"/>
    <x v="3"/>
    <n v="1440"/>
    <s v="Weekday"/>
    <x v="3"/>
  </r>
  <r>
    <x v="28"/>
    <x v="30"/>
    <x v="756"/>
    <n v="10.180000305175801"/>
    <n v="10.180000305175801"/>
    <n v="0"/>
    <n v="4.5"/>
    <n v="0.31999999284744302"/>
    <n v="5.3499999046325701"/>
    <n v="0"/>
    <n v="58"/>
    <n v="5"/>
    <n v="215"/>
    <n v="749"/>
    <x v="653"/>
    <x v="2"/>
    <n v="1027"/>
    <s v="Weekend"/>
    <x v="3"/>
  </r>
  <r>
    <x v="22"/>
    <x v="9"/>
    <x v="757"/>
    <n v="9.3400001525878906"/>
    <n v="9.3400001525878906"/>
    <n v="0"/>
    <n v="0.72000002861022905"/>
    <n v="4.0900001525878897"/>
    <n v="4.53999996185303"/>
    <n v="0"/>
    <n v="10"/>
    <n v="94"/>
    <n v="221"/>
    <n v="1115"/>
    <x v="654"/>
    <x v="2"/>
    <n v="1440"/>
    <s v="Weekend"/>
    <x v="3"/>
  </r>
  <r>
    <x v="1"/>
    <x v="7"/>
    <x v="758"/>
    <n v="7.4400000572204599"/>
    <n v="7.4400000572204599"/>
    <n v="0"/>
    <n v="0.66000002622604403"/>
    <n v="2.75"/>
    <n v="4"/>
    <n v="1.9999999552965199E-2"/>
    <n v="8"/>
    <n v="95"/>
    <n v="282"/>
    <n v="1055"/>
    <x v="655"/>
    <x v="3"/>
    <n v="1440"/>
    <s v="Weekday"/>
    <x v="1"/>
  </r>
  <r>
    <x v="22"/>
    <x v="10"/>
    <x v="759"/>
    <n v="7.1199998855590803"/>
    <n v="7.1199998855590803"/>
    <n v="0"/>
    <n v="0.81999999284744296"/>
    <n v="0.270000010728836"/>
    <n v="6.0100002288818404"/>
    <n v="1.9999999552965199E-2"/>
    <n v="11"/>
    <n v="6"/>
    <n v="369"/>
    <n v="1054"/>
    <x v="656"/>
    <x v="5"/>
    <n v="1440"/>
    <s v="Weekend"/>
    <x v="1"/>
  </r>
  <r>
    <x v="20"/>
    <x v="23"/>
    <x v="760"/>
    <n v="9.0299997329711896"/>
    <n v="9.0299997329711896"/>
    <n v="0"/>
    <n v="0.239999994635582"/>
    <n v="1.25"/>
    <n v="7.53999996185303"/>
    <n v="0"/>
    <n v="3"/>
    <n v="24"/>
    <n v="335"/>
    <n v="556"/>
    <x v="656"/>
    <x v="2"/>
    <n v="918"/>
    <s v="Weekend"/>
    <x v="3"/>
  </r>
  <r>
    <x v="29"/>
    <x v="24"/>
    <x v="761"/>
    <n v="6.8499999046325701"/>
    <n v="6.8499999046325701"/>
    <n v="0"/>
    <n v="2.4200000762939502"/>
    <n v="0.79000002145767201"/>
    <n v="3.2999999523162802"/>
    <n v="0"/>
    <n v="62"/>
    <n v="30"/>
    <n v="200"/>
    <n v="823"/>
    <x v="657"/>
    <x v="4"/>
    <n v="1115"/>
    <s v="Weekday"/>
    <x v="1"/>
  </r>
  <r>
    <x v="26"/>
    <x v="4"/>
    <x v="762"/>
    <n v="15.670000076293899"/>
    <n v="15.670000076293899"/>
    <n v="0"/>
    <n v="12.439999580383301"/>
    <n v="0.87999999523162797"/>
    <n v="2.3499999046325701"/>
    <n v="0"/>
    <n v="121"/>
    <n v="20"/>
    <n v="148"/>
    <n v="1076"/>
    <x v="658"/>
    <x v="3"/>
    <n v="1365"/>
    <s v="Weekday"/>
    <x v="3"/>
  </r>
  <r>
    <x v="32"/>
    <x v="23"/>
    <x v="763"/>
    <n v="8.8900003433227504"/>
    <n v="8.8900003433227504"/>
    <n v="0"/>
    <n v="5.3699998855590803"/>
    <n v="1.0700000524520901"/>
    <n v="2.4400000572204599"/>
    <n v="0"/>
    <n v="64"/>
    <n v="21"/>
    <n v="142"/>
    <n v="563"/>
    <x v="659"/>
    <x v="2"/>
    <n v="790"/>
    <s v="Weekend"/>
    <x v="3"/>
  </r>
  <r>
    <x v="32"/>
    <x v="7"/>
    <x v="764"/>
    <n v="9.0600004196166992"/>
    <n v="9.0600004196166992"/>
    <n v="0"/>
    <n v="6.0300002098083496"/>
    <n v="0.56000000238418601"/>
    <n v="2.4700000286102299"/>
    <n v="0"/>
    <n v="71"/>
    <n v="10"/>
    <n v="127"/>
    <n v="669"/>
    <x v="660"/>
    <x v="3"/>
    <n v="877"/>
    <s v="Weekday"/>
    <x v="3"/>
  </r>
  <r>
    <x v="29"/>
    <x v="13"/>
    <x v="765"/>
    <n v="4.7800002098083496"/>
    <n v="4.7800002098083496"/>
    <n v="0"/>
    <n v="1.3500000238418599"/>
    <n v="0.67000001668930098"/>
    <n v="2.7599999904632599"/>
    <n v="0"/>
    <n v="61"/>
    <n v="38"/>
    <n v="214"/>
    <n v="743"/>
    <x v="661"/>
    <x v="0"/>
    <n v="1056"/>
    <s v="Weekday"/>
    <x v="2"/>
  </r>
  <r>
    <x v="20"/>
    <x v="6"/>
    <x v="766"/>
    <n v="10.289999961853001"/>
    <n v="10.289999961853001"/>
    <n v="0"/>
    <n v="0.95999997854232799"/>
    <n v="3.46000003814697"/>
    <n v="5.8800001144409197"/>
    <n v="0"/>
    <n v="12"/>
    <n v="66"/>
    <n v="302"/>
    <n v="437"/>
    <x v="662"/>
    <x v="5"/>
    <n v="817"/>
    <s v="Weekend"/>
    <x v="3"/>
  </r>
  <r>
    <x v="26"/>
    <x v="13"/>
    <x v="767"/>
    <n v="15.689999580383301"/>
    <n v="15.689999580383301"/>
    <n v="0"/>
    <n v="11.3699998855591"/>
    <n v="0.46000000834464999"/>
    <n v="3.8599998950958301"/>
    <n v="0"/>
    <n v="118"/>
    <n v="9"/>
    <n v="209"/>
    <n v="1104"/>
    <x v="663"/>
    <x v="0"/>
    <n v="1440"/>
    <s v="Weekday"/>
    <x v="3"/>
  </r>
  <r>
    <x v="22"/>
    <x v="4"/>
    <x v="768"/>
    <n v="9.7200002670288104"/>
    <n v="9.7200002670288104"/>
    <n v="0"/>
    <n v="3.2599999904632599"/>
    <n v="0.79000002145767201"/>
    <n v="5.6700000762939498"/>
    <n v="9.9999997764825804E-3"/>
    <n v="41"/>
    <n v="17"/>
    <n v="243"/>
    <n v="1139"/>
    <x v="664"/>
    <x v="3"/>
    <n v="1440"/>
    <s v="Weekday"/>
    <x v="3"/>
  </r>
  <r>
    <x v="29"/>
    <x v="29"/>
    <x v="769"/>
    <n v="6.0799999237060502"/>
    <n v="6.0799999237060502"/>
    <n v="0"/>
    <n v="3.5999999046325701"/>
    <n v="0.37999999523162797"/>
    <n v="2.0999999046325701"/>
    <n v="0"/>
    <n v="86"/>
    <n v="16"/>
    <n v="140"/>
    <n v="728"/>
    <x v="665"/>
    <x v="5"/>
    <n v="970"/>
    <s v="Weekend"/>
    <x v="1"/>
  </r>
  <r>
    <x v="26"/>
    <x v="11"/>
    <x v="770"/>
    <n v="16.2399997711182"/>
    <n v="16.2399997711182"/>
    <n v="0"/>
    <n v="13.2600002288818"/>
    <n v="0.38999998569488498"/>
    <n v="2.5899999141693102"/>
    <n v="0"/>
    <n v="132"/>
    <n v="8"/>
    <n v="158"/>
    <n v="1142"/>
    <x v="666"/>
    <x v="4"/>
    <n v="1440"/>
    <s v="Weekday"/>
    <x v="3"/>
  </r>
  <r>
    <x v="26"/>
    <x v="28"/>
    <x v="771"/>
    <n v="15.9700002670288"/>
    <n v="15.9700002670288"/>
    <n v="0"/>
    <n v="12.3400001525879"/>
    <n v="0.20999999344348899"/>
    <n v="3.3599998950958301"/>
    <n v="0"/>
    <n v="119"/>
    <n v="5"/>
    <n v="193"/>
    <n v="1123"/>
    <x v="667"/>
    <x v="6"/>
    <n v="1440"/>
    <s v="Weekday"/>
    <x v="3"/>
  </r>
  <r>
    <x v="28"/>
    <x v="10"/>
    <x v="772"/>
    <n v="10.1300001144409"/>
    <n v="10.1300001144409"/>
    <n v="0"/>
    <n v="2.1099998950958301"/>
    <n v="2.0899999141693102"/>
    <n v="5.9299998283386204"/>
    <n v="0"/>
    <n v="33"/>
    <n v="45"/>
    <n v="262"/>
    <n v="1100"/>
    <x v="668"/>
    <x v="5"/>
    <n v="1440"/>
    <s v="Weekend"/>
    <x v="3"/>
  </r>
  <r>
    <x v="31"/>
    <x v="24"/>
    <x v="773"/>
    <n v="16.309999465942401"/>
    <n v="16.309999465942401"/>
    <n v="0"/>
    <n v="10.2299995422363"/>
    <n v="2.9999999329447701E-2"/>
    <n v="5.9699997901916504"/>
    <n v="5.0000000745058101E-2"/>
    <n v="61"/>
    <n v="2"/>
    <n v="236"/>
    <n v="1141"/>
    <x v="669"/>
    <x v="4"/>
    <n v="1440"/>
    <s v="Weekday"/>
    <x v="3"/>
  </r>
  <r>
    <x v="14"/>
    <x v="22"/>
    <x v="774"/>
    <n v="8.4300003051757795"/>
    <n v="8.4300003051757795"/>
    <n v="0"/>
    <n v="2.6199998855590798"/>
    <n v="1.6799999475479099"/>
    <n v="4.03999996185303"/>
    <n v="7.0000000298023196E-2"/>
    <n v="38"/>
    <n v="42"/>
    <n v="196"/>
    <n v="916"/>
    <x v="670"/>
    <x v="6"/>
    <n v="1192"/>
    <s v="Weekday"/>
    <x v="3"/>
  </r>
  <r>
    <x v="31"/>
    <x v="12"/>
    <x v="775"/>
    <n v="15.7399997711182"/>
    <n v="15.7399997711182"/>
    <n v="0"/>
    <n v="11.0100002288818"/>
    <n v="9.9999997764825804E-3"/>
    <n v="4.6900000572204599"/>
    <n v="0"/>
    <n v="64"/>
    <n v="1"/>
    <n v="227"/>
    <n v="1148"/>
    <x v="671"/>
    <x v="5"/>
    <n v="1440"/>
    <s v="Weekend"/>
    <x v="3"/>
  </r>
  <r>
    <x v="31"/>
    <x v="20"/>
    <x v="776"/>
    <n v="16.299999237060501"/>
    <n v="16.299999237060501"/>
    <n v="0"/>
    <n v="10.420000076293899"/>
    <n v="0.31000000238418601"/>
    <n v="5.5300002098083496"/>
    <n v="0"/>
    <n v="66"/>
    <n v="8"/>
    <n v="212"/>
    <n v="1154"/>
    <x v="672"/>
    <x v="3"/>
    <n v="1440"/>
    <s v="Weekday"/>
    <x v="3"/>
  </r>
  <r>
    <x v="32"/>
    <x v="16"/>
    <x v="777"/>
    <n v="4.8099999427795401"/>
    <n v="4.8099999427795401"/>
    <n v="2.0921471118927002"/>
    <n v="0.62999999523162797"/>
    <n v="0.17000000178813901"/>
    <n v="4.0100002288818404"/>
    <n v="0"/>
    <n v="63"/>
    <n v="4"/>
    <n v="142"/>
    <n v="802"/>
    <x v="673"/>
    <x v="4"/>
    <n v="1011"/>
    <s v="Weekday"/>
    <x v="2"/>
  </r>
  <r>
    <x v="22"/>
    <x v="23"/>
    <x v="778"/>
    <n v="11.1199998855591"/>
    <n v="11.1199998855591"/>
    <n v="0"/>
    <n v="4.0999999046325701"/>
    <n v="1.87999999523163"/>
    <n v="5.0900001525878897"/>
    <n v="0"/>
    <n v="51"/>
    <n v="42"/>
    <n v="212"/>
    <n v="1135"/>
    <x v="674"/>
    <x v="2"/>
    <n v="1440"/>
    <s v="Weekend"/>
    <x v="3"/>
  </r>
  <r>
    <x v="29"/>
    <x v="19"/>
    <x v="779"/>
    <n v="9.4200000762939506"/>
    <n v="9.4200000762939506"/>
    <n v="0"/>
    <n v="7.0199999809265101"/>
    <n v="0.63999998569488503"/>
    <n v="1.7599999904632599"/>
    <n v="0"/>
    <n v="108"/>
    <n v="23"/>
    <n v="111"/>
    <n v="733"/>
    <x v="675"/>
    <x v="3"/>
    <n v="975"/>
    <s v="Weekday"/>
    <x v="3"/>
  </r>
  <r>
    <x v="3"/>
    <x v="5"/>
    <x v="780"/>
    <n v="11.829999923706101"/>
    <n v="11.829999923706101"/>
    <n v="0"/>
    <n v="3.9000000953674299"/>
    <n v="3"/>
    <n v="4.9200000762939498"/>
    <n v="0"/>
    <n v="46"/>
    <n v="67"/>
    <n v="258"/>
    <n v="1069"/>
    <x v="676"/>
    <x v="4"/>
    <n v="1440"/>
    <s v="Weekday"/>
    <x v="3"/>
  </r>
  <r>
    <x v="20"/>
    <x v="12"/>
    <x v="781"/>
    <n v="12.2200002670288"/>
    <n v="12.2200002670288"/>
    <n v="0"/>
    <n v="1.20000004768372"/>
    <n v="5.1199998855590803"/>
    <n v="5.8800001144409197"/>
    <n v="0"/>
    <n v="15"/>
    <n v="95"/>
    <n v="281"/>
    <n v="542"/>
    <x v="677"/>
    <x v="5"/>
    <n v="933"/>
    <s v="Weekend"/>
    <x v="3"/>
  </r>
  <r>
    <x v="29"/>
    <x v="5"/>
    <x v="782"/>
    <n v="5.9200000762939498"/>
    <n v="5.9200000762939498"/>
    <n v="0"/>
    <n v="2.8399999141693102"/>
    <n v="0.61000001430511497"/>
    <n v="2.4700000286102299"/>
    <n v="0"/>
    <n v="97"/>
    <n v="36"/>
    <n v="165"/>
    <n v="739"/>
    <x v="678"/>
    <x v="4"/>
    <n v="1037"/>
    <s v="Weekday"/>
    <x v="1"/>
  </r>
  <r>
    <x v="28"/>
    <x v="24"/>
    <x v="783"/>
    <n v="9.3400001525878906"/>
    <n v="9.3400001525878906"/>
    <n v="0"/>
    <n v="3.2999999523162802"/>
    <n v="1.1100000143051101"/>
    <n v="4.9200000762939498"/>
    <n v="0"/>
    <n v="77"/>
    <n v="25"/>
    <n v="220"/>
    <n v="945"/>
    <x v="678"/>
    <x v="4"/>
    <n v="1267"/>
    <s v="Weekday"/>
    <x v="3"/>
  </r>
  <r>
    <x v="31"/>
    <x v="6"/>
    <x v="784"/>
    <n v="8.8699998855590803"/>
    <n v="8.8699998855590803"/>
    <n v="0"/>
    <n v="0"/>
    <n v="7.0000000298023196E-2"/>
    <n v="8.7899999618530291"/>
    <n v="0"/>
    <n v="58"/>
    <n v="15"/>
    <n v="307"/>
    <n v="1060"/>
    <x v="679"/>
    <x v="5"/>
    <n v="1440"/>
    <s v="Weekend"/>
    <x v="3"/>
  </r>
  <r>
    <x v="26"/>
    <x v="30"/>
    <x v="785"/>
    <n v="17.190000534057599"/>
    <n v="17.190000534057599"/>
    <n v="0"/>
    <n v="12.539999961853001"/>
    <n v="0.62999999523162797"/>
    <n v="4.0199999809265101"/>
    <n v="0"/>
    <n v="125"/>
    <n v="14"/>
    <n v="223"/>
    <n v="741"/>
    <x v="680"/>
    <x v="2"/>
    <n v="1103"/>
    <s v="Weekend"/>
    <x v="3"/>
  </r>
  <r>
    <x v="31"/>
    <x v="26"/>
    <x v="786"/>
    <n v="9.5799999237060494"/>
    <n v="9.5799999237060494"/>
    <n v="0"/>
    <n v="3.5499999523162802"/>
    <n v="0.37999999523162797"/>
    <n v="5.6399998664856001"/>
    <n v="0"/>
    <n v="108"/>
    <n v="18"/>
    <n v="216"/>
    <n v="1098"/>
    <x v="681"/>
    <x v="1"/>
    <n v="1440"/>
    <s v="Weekday"/>
    <x v="3"/>
  </r>
  <r>
    <x v="26"/>
    <x v="12"/>
    <x v="787"/>
    <n v="17.950000762939499"/>
    <n v="17.950000762939499"/>
    <n v="0"/>
    <n v="13.1300001144409"/>
    <n v="1.54999995231628"/>
    <n v="3.2599999904632599"/>
    <n v="0"/>
    <n v="129"/>
    <n v="33"/>
    <n v="182"/>
    <n v="1096"/>
    <x v="682"/>
    <x v="5"/>
    <n v="1440"/>
    <s v="Weekend"/>
    <x v="3"/>
  </r>
  <r>
    <x v="29"/>
    <x v="25"/>
    <x v="788"/>
    <n v="7.4299998283386204"/>
    <n v="7.4299998283386204"/>
    <n v="0"/>
    <n v="3.25"/>
    <n v="1.16999995708466"/>
    <n v="3.0099999904632599"/>
    <n v="0"/>
    <n v="99"/>
    <n v="51"/>
    <n v="141"/>
    <n v="692"/>
    <x v="683"/>
    <x v="6"/>
    <n v="983"/>
    <s v="Weekday"/>
    <x v="1"/>
  </r>
  <r>
    <x v="32"/>
    <x v="1"/>
    <x v="789"/>
    <n v="5.2199997901916504"/>
    <n v="5.2199997901916504"/>
    <n v="2.2530810832977299"/>
    <n v="0.66000002622604403"/>
    <n v="0.63999998569488503"/>
    <n v="3.9200000762939502"/>
    <n v="0"/>
    <n v="63"/>
    <n v="13"/>
    <n v="152"/>
    <n v="840"/>
    <x v="684"/>
    <x v="1"/>
    <n v="1068"/>
    <s v="Weekday"/>
    <x v="2"/>
  </r>
  <r>
    <x v="26"/>
    <x v="15"/>
    <x v="790"/>
    <n v="17.649999618530298"/>
    <n v="17.649999618530298"/>
    <n v="0"/>
    <n v="13.3999996185303"/>
    <n v="0.58999997377395597"/>
    <n v="3.6600000858306898"/>
    <n v="0"/>
    <n v="125"/>
    <n v="14"/>
    <n v="228"/>
    <n v="1073"/>
    <x v="685"/>
    <x v="4"/>
    <n v="1440"/>
    <s v="Weekday"/>
    <x v="3"/>
  </r>
  <r>
    <x v="29"/>
    <x v="27"/>
    <x v="791"/>
    <n v="7.3899998664856001"/>
    <n v="7.3899998664856001"/>
    <n v="0"/>
    <n v="4.8600001335143999"/>
    <n v="0.72000002861022905"/>
    <n v="1.8200000524520901"/>
    <n v="0"/>
    <n v="114"/>
    <n v="32"/>
    <n v="130"/>
    <n v="623"/>
    <x v="686"/>
    <x v="0"/>
    <n v="899"/>
    <s v="Weekday"/>
    <x v="1"/>
  </r>
  <r>
    <x v="32"/>
    <x v="29"/>
    <x v="792"/>
    <n v="6.0500001907348597"/>
    <n v="6.0500001907348597"/>
    <n v="2.2530810832977299"/>
    <n v="0.82999998331069902"/>
    <n v="0.70999997854232799"/>
    <n v="4.5"/>
    <n v="0"/>
    <n v="65"/>
    <n v="15"/>
    <n v="156"/>
    <n v="723"/>
    <x v="687"/>
    <x v="5"/>
    <n v="959"/>
    <s v="Weekend"/>
    <x v="1"/>
  </r>
  <r>
    <x v="32"/>
    <x v="10"/>
    <x v="793"/>
    <n v="5.5900001525878897"/>
    <n v="5.5900001525878897"/>
    <n v="2.0921471118927002"/>
    <n v="1.54999995231628"/>
    <n v="0.25"/>
    <n v="3.7799999713897701"/>
    <n v="0"/>
    <n v="74"/>
    <n v="5"/>
    <n v="166"/>
    <n v="831"/>
    <x v="688"/>
    <x v="5"/>
    <n v="1076"/>
    <s v="Weekend"/>
    <x v="2"/>
  </r>
  <r>
    <x v="14"/>
    <x v="29"/>
    <x v="794"/>
    <n v="6.1199998855590803"/>
    <n v="6.1199998855590803"/>
    <n v="0"/>
    <n v="0.15000000596046401"/>
    <n v="0.239999994635582"/>
    <n v="5.6799998283386204"/>
    <n v="0"/>
    <n v="4"/>
    <n v="15"/>
    <n v="331"/>
    <n v="712"/>
    <x v="689"/>
    <x v="5"/>
    <n v="1062"/>
    <s v="Weekend"/>
    <x v="1"/>
  </r>
  <r>
    <x v="31"/>
    <x v="21"/>
    <x v="795"/>
    <n v="17.620000839233398"/>
    <n v="17.620000839233398"/>
    <n v="0"/>
    <n v="12.289999961853001"/>
    <n v="0.41999998688697798"/>
    <n v="4.8899998664856001"/>
    <n v="0"/>
    <n v="82"/>
    <n v="13"/>
    <n v="226"/>
    <n v="1119"/>
    <x v="690"/>
    <x v="6"/>
    <n v="1440"/>
    <s v="Weekday"/>
    <x v="3"/>
  </r>
  <r>
    <x v="32"/>
    <x v="11"/>
    <x v="796"/>
    <n v="11.4700002670288"/>
    <n v="11.4700002670288"/>
    <n v="0"/>
    <n v="4.9099998474121103"/>
    <n v="1.1499999761581401"/>
    <n v="5.4099998474121103"/>
    <n v="0"/>
    <n v="60"/>
    <n v="23"/>
    <n v="190"/>
    <n v="729"/>
    <x v="691"/>
    <x v="4"/>
    <n v="1002"/>
    <s v="Weekday"/>
    <x v="3"/>
  </r>
  <r>
    <x v="31"/>
    <x v="19"/>
    <x v="797"/>
    <n v="17.399999618530298"/>
    <n v="17.399999618530298"/>
    <n v="0"/>
    <n v="12.1499996185303"/>
    <n v="0.18000000715255701"/>
    <n v="5.0300002098083496"/>
    <n v="0"/>
    <n v="82"/>
    <n v="13"/>
    <n v="214"/>
    <n v="1131"/>
    <x v="692"/>
    <x v="3"/>
    <n v="1440"/>
    <s v="Weekday"/>
    <x v="3"/>
  </r>
  <r>
    <x v="31"/>
    <x v="18"/>
    <x v="798"/>
    <n v="18.110000610351602"/>
    <n v="18.110000610351602"/>
    <n v="0"/>
    <n v="11.0200004577637"/>
    <n v="0.68999999761581399"/>
    <n v="6.3400001525878897"/>
    <n v="0"/>
    <n v="73"/>
    <n v="19"/>
    <n v="225"/>
    <n v="1123"/>
    <x v="693"/>
    <x v="1"/>
    <n v="1440"/>
    <s v="Weekday"/>
    <x v="3"/>
  </r>
  <r>
    <x v="20"/>
    <x v="4"/>
    <x v="799"/>
    <n v="11.6499996185303"/>
    <n v="11.6499996185303"/>
    <n v="0"/>
    <n v="0.37000000476837203"/>
    <n v="2.3099999427795401"/>
    <n v="8.9700002670288104"/>
    <n v="0"/>
    <n v="5"/>
    <n v="46"/>
    <n v="439"/>
    <n v="577"/>
    <x v="694"/>
    <x v="3"/>
    <n v="1067"/>
    <s v="Weekday"/>
    <x v="3"/>
  </r>
  <r>
    <x v="20"/>
    <x v="30"/>
    <x v="800"/>
    <n v="12.2700004577637"/>
    <n v="12.2700004577637"/>
    <n v="0"/>
    <n v="0.75999999046325695"/>
    <n v="3.2400000095367401"/>
    <n v="8.2700004577636701"/>
    <n v="0"/>
    <n v="9"/>
    <n v="66"/>
    <n v="408"/>
    <n v="469"/>
    <x v="695"/>
    <x v="2"/>
    <n v="952"/>
    <s v="Weekend"/>
    <x v="3"/>
  </r>
  <r>
    <x v="31"/>
    <x v="8"/>
    <x v="801"/>
    <n v="18.25"/>
    <n v="18.25"/>
    <n v="0"/>
    <n v="11.1000003814697"/>
    <n v="0.80000001192092896"/>
    <n v="6.2399997711181596"/>
    <n v="5.0000000745058101E-2"/>
    <n v="73"/>
    <n v="19"/>
    <n v="217"/>
    <n v="1131"/>
    <x v="696"/>
    <x v="0"/>
    <n v="1440"/>
    <s v="Weekday"/>
    <x v="3"/>
  </r>
  <r>
    <x v="32"/>
    <x v="8"/>
    <x v="802"/>
    <n v="6.6500000953674299"/>
    <n v="6.6500000953674299"/>
    <n v="2.0921471118927002"/>
    <n v="1.2699999809265099"/>
    <n v="0.66000002622604403"/>
    <n v="4.7199997901916504"/>
    <n v="0"/>
    <n v="71"/>
    <n v="13"/>
    <n v="171"/>
    <n v="772"/>
    <x v="697"/>
    <x v="0"/>
    <n v="1027"/>
    <s v="Weekday"/>
    <x v="1"/>
  </r>
  <r>
    <x v="13"/>
    <x v="18"/>
    <x v="803"/>
    <n v="7.7199997901916504"/>
    <n v="7.7199997901916504"/>
    <n v="0"/>
    <n v="3.7699999809265101"/>
    <n v="1.7400000095367401"/>
    <n v="2.2200000286102299"/>
    <n v="0"/>
    <n v="70"/>
    <n v="113"/>
    <n v="178"/>
    <n v="1079"/>
    <x v="698"/>
    <x v="1"/>
    <n v="1440"/>
    <s v="Weekday"/>
    <x v="3"/>
  </r>
  <r>
    <x v="32"/>
    <x v="14"/>
    <x v="804"/>
    <n v="12.8500003814697"/>
    <n v="12.8500003814697"/>
    <n v="0"/>
    <n v="7.5100002288818404"/>
    <n v="0.92000001668930098"/>
    <n v="4.4200000762939498"/>
    <n v="0"/>
    <n v="90"/>
    <n v="18"/>
    <n v="161"/>
    <n v="593"/>
    <x v="699"/>
    <x v="3"/>
    <n v="862"/>
    <s v="Weekday"/>
    <x v="3"/>
  </r>
  <r>
    <x v="32"/>
    <x v="22"/>
    <x v="805"/>
    <n v="6.78999996185303"/>
    <n v="6.78999996185303"/>
    <n v="2.2530810832977299"/>
    <n v="0.88999998569488503"/>
    <n v="0.15999999642372101"/>
    <n v="5.7399997711181596"/>
    <n v="0"/>
    <n v="66"/>
    <n v="3"/>
    <n v="214"/>
    <n v="764"/>
    <x v="700"/>
    <x v="6"/>
    <n v="1047"/>
    <s v="Weekday"/>
    <x v="1"/>
  </r>
  <r>
    <x v="32"/>
    <x v="9"/>
    <x v="806"/>
    <n v="6.9099998474121103"/>
    <n v="6.9099998474121103"/>
    <n v="2.2530810832977299"/>
    <n v="1.3400000333786"/>
    <n v="1.0599999427795399"/>
    <n v="4.5"/>
    <n v="0"/>
    <n v="71"/>
    <n v="20"/>
    <n v="195"/>
    <n v="822"/>
    <x v="701"/>
    <x v="2"/>
    <n v="1108"/>
    <s v="Weekend"/>
    <x v="1"/>
  </r>
  <r>
    <x v="32"/>
    <x v="18"/>
    <x v="807"/>
    <n v="7.4400000572204599"/>
    <n v="7.4400000572204599"/>
    <n v="2.0921471118927002"/>
    <n v="2.2300000190734899"/>
    <n v="0.43999999761581399"/>
    <n v="4.7800002098083496"/>
    <n v="0"/>
    <n v="82"/>
    <n v="8"/>
    <n v="169"/>
    <n v="763"/>
    <x v="702"/>
    <x v="1"/>
    <n v="1022"/>
    <s v="Weekday"/>
    <x v="1"/>
  </r>
  <r>
    <x v="32"/>
    <x v="3"/>
    <x v="808"/>
    <n v="7.25"/>
    <n v="7.25"/>
    <n v="2.0921471118927002"/>
    <n v="1.3899999856948899"/>
    <n v="0.58999997377395597"/>
    <n v="5.2699999809265101"/>
    <n v="0"/>
    <n v="72"/>
    <n v="10"/>
    <n v="184"/>
    <n v="763"/>
    <x v="703"/>
    <x v="2"/>
    <n v="1029"/>
    <s v="Weekend"/>
    <x v="1"/>
  </r>
  <r>
    <x v="31"/>
    <x v="28"/>
    <x v="809"/>
    <n v="18.9799995422363"/>
    <n v="18.9799995422363"/>
    <n v="0"/>
    <n v="10.550000190734901"/>
    <n v="0.58999997377395597"/>
    <n v="7.75"/>
    <n v="1.9999999552965199E-2"/>
    <n v="68"/>
    <n v="13"/>
    <n v="298"/>
    <n v="1061"/>
    <x v="704"/>
    <x v="6"/>
    <n v="1440"/>
    <s v="Weekday"/>
    <x v="3"/>
  </r>
  <r>
    <x v="29"/>
    <x v="9"/>
    <x v="810"/>
    <n v="8.25"/>
    <n v="8.25"/>
    <n v="0"/>
    <n v="4.5199999809265101"/>
    <n v="0.15000000596046401"/>
    <n v="3.5699999332428001"/>
    <n v="0"/>
    <n v="97"/>
    <n v="8"/>
    <n v="212"/>
    <n v="580"/>
    <x v="705"/>
    <x v="2"/>
    <n v="897"/>
    <s v="Weekend"/>
    <x v="3"/>
  </r>
  <r>
    <x v="31"/>
    <x v="13"/>
    <x v="811"/>
    <n v="8.7399997711181605"/>
    <n v="8.7399997711181605"/>
    <n v="0"/>
    <n v="2.3699998855590798"/>
    <n v="7.0000000298023196E-2"/>
    <n v="6.2699999809265101"/>
    <n v="9.9999997764825804E-3"/>
    <n v="113"/>
    <n v="8"/>
    <n v="218"/>
    <n v="1101"/>
    <x v="706"/>
    <x v="0"/>
    <n v="1440"/>
    <s v="Weekday"/>
    <x v="3"/>
  </r>
  <r>
    <x v="31"/>
    <x v="17"/>
    <x v="812"/>
    <n v="20.649999618530298"/>
    <n v="20.649999618530298"/>
    <n v="0"/>
    <n v="13.069999694824199"/>
    <n v="0.43999999761581399"/>
    <n v="7.0999999046325701"/>
    <n v="0"/>
    <n v="93"/>
    <n v="8"/>
    <n v="235"/>
    <n v="1104"/>
    <x v="707"/>
    <x v="1"/>
    <n v="1440"/>
    <s v="Weekday"/>
    <x v="3"/>
  </r>
  <r>
    <x v="31"/>
    <x v="3"/>
    <x v="813"/>
    <n v="19.559999465942401"/>
    <n v="19.559999465942401"/>
    <n v="0"/>
    <n v="13.2200002670288"/>
    <n v="0.40999999642372098"/>
    <n v="5.8899998664856001"/>
    <n v="0"/>
    <n v="88"/>
    <n v="12"/>
    <n v="213"/>
    <n v="1127"/>
    <x v="708"/>
    <x v="2"/>
    <n v="1440"/>
    <s v="Weekend"/>
    <x v="3"/>
  </r>
  <r>
    <x v="29"/>
    <x v="1"/>
    <x v="814"/>
    <n v="6.6500000953674299"/>
    <n v="6.6500000953674299"/>
    <n v="0"/>
    <n v="2.5599999427795401"/>
    <n v="0.75"/>
    <n v="3.3499999046325701"/>
    <n v="0"/>
    <n v="104"/>
    <n v="37"/>
    <n v="194"/>
    <n v="639"/>
    <x v="709"/>
    <x v="1"/>
    <n v="974"/>
    <s v="Weekday"/>
    <x v="1"/>
  </r>
  <r>
    <x v="22"/>
    <x v="2"/>
    <x v="815"/>
    <n v="13.2399997711182"/>
    <n v="13.2399997711182"/>
    <n v="0"/>
    <n v="0.62999999523162797"/>
    <n v="3.1400001049041699"/>
    <n v="9.4600000381469709"/>
    <n v="0"/>
    <n v="9"/>
    <n v="71"/>
    <n v="402"/>
    <n v="816"/>
    <x v="710"/>
    <x v="2"/>
    <n v="1298"/>
    <s v="Weekend"/>
    <x v="3"/>
  </r>
  <r>
    <x v="14"/>
    <x v="20"/>
    <x v="816"/>
    <n v="7.3499999046325701"/>
    <n v="7.3499999046325701"/>
    <n v="0"/>
    <n v="0.67000001668930098"/>
    <n v="1.03999996185303"/>
    <n v="5.5799999237060502"/>
    <n v="0"/>
    <n v="13"/>
    <n v="46"/>
    <n v="346"/>
    <n v="531"/>
    <x v="711"/>
    <x v="3"/>
    <n v="936"/>
    <s v="Weekday"/>
    <x v="3"/>
  </r>
  <r>
    <x v="31"/>
    <x v="30"/>
    <x v="817"/>
    <n v="7.4299998283386204"/>
    <n v="7.4299998283386204"/>
    <n v="0"/>
    <n v="0"/>
    <n v="0"/>
    <n v="7.4000000953674299"/>
    <n v="9.9999997764825804E-3"/>
    <n v="102"/>
    <n v="6"/>
    <n v="300"/>
    <n v="1032"/>
    <x v="712"/>
    <x v="2"/>
    <n v="1440"/>
    <s v="Weekend"/>
    <x v="3"/>
  </r>
  <r>
    <x v="31"/>
    <x v="29"/>
    <x v="818"/>
    <n v="20.399999618530298"/>
    <n v="20.399999618530298"/>
    <n v="0"/>
    <n v="12.2200002670288"/>
    <n v="0.34000000357627902"/>
    <n v="7.8200001716613796"/>
    <n v="0"/>
    <n v="85"/>
    <n v="7"/>
    <n v="312"/>
    <n v="1036"/>
    <x v="713"/>
    <x v="5"/>
    <n v="1440"/>
    <s v="Weekend"/>
    <x v="3"/>
  </r>
  <r>
    <x v="31"/>
    <x v="11"/>
    <x v="819"/>
    <n v="7.1700000762939498"/>
    <n v="7.1700000762939498"/>
    <n v="0"/>
    <n v="5.0000000745058101E-2"/>
    <n v="5.0000000745058101E-2"/>
    <n v="7.0100002288818404"/>
    <n v="9.9999997764825804E-3"/>
    <n v="106"/>
    <n v="1"/>
    <n v="281"/>
    <n v="1052"/>
    <x v="714"/>
    <x v="4"/>
    <n v="1440"/>
    <s v="Weekday"/>
    <x v="3"/>
  </r>
  <r>
    <x v="28"/>
    <x v="15"/>
    <x v="820"/>
    <n v="14.3800001144409"/>
    <n v="14.3800001144409"/>
    <n v="0"/>
    <n v="9.8900003433227504"/>
    <n v="1.2599999904632599"/>
    <n v="3.2300000190734899"/>
    <n v="0"/>
    <n v="107"/>
    <n v="38"/>
    <n v="178"/>
    <n v="576"/>
    <x v="714"/>
    <x v="4"/>
    <n v="899"/>
    <s v="Weekday"/>
    <x v="3"/>
  </r>
  <r>
    <x v="29"/>
    <x v="11"/>
    <x v="821"/>
    <n v="9.0799999237060494"/>
    <n v="9.0799999237060494"/>
    <n v="0"/>
    <n v="3.9200000762939502"/>
    <n v="1.6000000238418599"/>
    <n v="3.5599999427795401"/>
    <n v="0"/>
    <n v="115"/>
    <n v="54"/>
    <n v="199"/>
    <n v="695"/>
    <x v="715"/>
    <x v="4"/>
    <n v="1063"/>
    <s v="Weekday"/>
    <x v="3"/>
  </r>
  <r>
    <x v="32"/>
    <x v="13"/>
    <x v="822"/>
    <n v="9.8400001525878906"/>
    <n v="9.8400001525878906"/>
    <n v="2.0921471118927002"/>
    <n v="5.0500001907348597"/>
    <n v="0.87000000476837203"/>
    <n v="3.9200000762939502"/>
    <n v="0"/>
    <n v="117"/>
    <n v="16"/>
    <n v="141"/>
    <n v="692"/>
    <x v="715"/>
    <x v="0"/>
    <n v="966"/>
    <s v="Weekday"/>
    <x v="3"/>
  </r>
  <r>
    <x v="31"/>
    <x v="10"/>
    <x v="823"/>
    <n v="19.340000152587901"/>
    <n v="19.340000152587901"/>
    <n v="0"/>
    <n v="12.789999961853001"/>
    <n v="0.28999999165535001"/>
    <n v="6.1599998474121103"/>
    <n v="0"/>
    <n v="96"/>
    <n v="17"/>
    <n v="232"/>
    <n v="1095"/>
    <x v="716"/>
    <x v="5"/>
    <n v="1440"/>
    <s v="Weekend"/>
    <x v="3"/>
  </r>
  <r>
    <x v="29"/>
    <x v="21"/>
    <x v="824"/>
    <n v="8.0900001525878906"/>
    <n v="8.0900001525878906"/>
    <n v="0"/>
    <n v="3.6500000953674299"/>
    <n v="1.6599999666214"/>
    <n v="2.7799999713897701"/>
    <n v="0"/>
    <n v="110"/>
    <n v="74"/>
    <n v="175"/>
    <n v="670"/>
    <x v="717"/>
    <x v="6"/>
    <n v="1029"/>
    <s v="Weekday"/>
    <x v="3"/>
  </r>
  <r>
    <x v="29"/>
    <x v="28"/>
    <x v="825"/>
    <n v="6.4200000762939498"/>
    <n v="6.4200000762939498"/>
    <n v="0"/>
    <n v="3.3299999237060498"/>
    <n v="0.31000000238418601"/>
    <n v="2.7799999713897701"/>
    <n v="0"/>
    <n v="118"/>
    <n v="30"/>
    <n v="176"/>
    <n v="662"/>
    <x v="718"/>
    <x v="6"/>
    <n v="986"/>
    <s v="Weekday"/>
    <x v="1"/>
  </r>
  <r>
    <x v="28"/>
    <x v="4"/>
    <x v="826"/>
    <n v="17.540000915527301"/>
    <n v="17.540000915527301"/>
    <n v="0"/>
    <n v="9.4499998092651403"/>
    <n v="2.7699999809265101"/>
    <n v="5.3299999237060502"/>
    <n v="0"/>
    <n v="120"/>
    <n v="56"/>
    <n v="260"/>
    <n v="508"/>
    <x v="718"/>
    <x v="3"/>
    <n v="944"/>
    <s v="Weekday"/>
    <x v="3"/>
  </r>
  <r>
    <x v="32"/>
    <x v="24"/>
    <x v="827"/>
    <n v="9.6700000762939506"/>
    <n v="9.6700000762939506"/>
    <n v="2.0921471118927002"/>
    <n v="4.9099998474121103"/>
    <n v="0.58999997377395597"/>
    <n v="4.1799998283386204"/>
    <n v="0"/>
    <n v="113"/>
    <n v="12"/>
    <n v="159"/>
    <n v="769"/>
    <x v="719"/>
    <x v="4"/>
    <n v="1053"/>
    <s v="Weekday"/>
    <x v="3"/>
  </r>
  <r>
    <x v="32"/>
    <x v="26"/>
    <x v="828"/>
    <n v="9.8199996948242205"/>
    <n v="9.8199996948242205"/>
    <n v="2.0921471118927002"/>
    <n v="4.96000003814697"/>
    <n v="0.64999997615814198"/>
    <n v="4.21000003814697"/>
    <n v="0"/>
    <n v="116"/>
    <n v="14"/>
    <n v="169"/>
    <n v="680"/>
    <x v="720"/>
    <x v="1"/>
    <n v="979"/>
    <s v="Weekday"/>
    <x v="3"/>
  </r>
  <r>
    <x v="32"/>
    <x v="19"/>
    <x v="829"/>
    <n v="10.3599996566772"/>
    <n v="10.3599996566772"/>
    <n v="2.2530810832977299"/>
    <n v="5.3000001907348597"/>
    <n v="0.87999999523162797"/>
    <n v="4.1799998283386204"/>
    <n v="0"/>
    <n v="120"/>
    <n v="19"/>
    <n v="154"/>
    <n v="737"/>
    <x v="721"/>
    <x v="3"/>
    <n v="1030"/>
    <s v="Weekday"/>
    <x v="3"/>
  </r>
  <r>
    <x v="31"/>
    <x v="4"/>
    <x v="830"/>
    <n v="8.1300001144409197"/>
    <n v="8.1300001144409197"/>
    <n v="0"/>
    <n v="7.9999998211860698E-2"/>
    <n v="0.95999997854232799"/>
    <n v="6.9899997711181596"/>
    <n v="0"/>
    <n v="105"/>
    <n v="28"/>
    <n v="271"/>
    <n v="1036"/>
    <x v="722"/>
    <x v="3"/>
    <n v="1440"/>
    <s v="Weekday"/>
    <x v="3"/>
  </r>
  <r>
    <x v="32"/>
    <x v="27"/>
    <x v="831"/>
    <n v="10.810000419616699"/>
    <n v="10.810000419616699"/>
    <n v="2.0921471118927002"/>
    <n v="5.0500001907348597"/>
    <n v="0.56000000238418601"/>
    <n v="5.1999998092651403"/>
    <n v="0"/>
    <n v="117"/>
    <n v="10"/>
    <n v="174"/>
    <n v="720"/>
    <x v="723"/>
    <x v="0"/>
    <n v="1021"/>
    <s v="Weekday"/>
    <x v="3"/>
  </r>
  <r>
    <x v="32"/>
    <x v="28"/>
    <x v="832"/>
    <n v="10.560000419616699"/>
    <n v="10.560000419616699"/>
    <n v="2.2530810832977299"/>
    <n v="5.6199998855590803"/>
    <n v="1.0299999713897701"/>
    <n v="3.9100000858306898"/>
    <n v="0"/>
    <n v="123"/>
    <n v="21"/>
    <n v="174"/>
    <n v="699"/>
    <x v="724"/>
    <x v="6"/>
    <n v="1017"/>
    <s v="Weekday"/>
    <x v="3"/>
  </r>
  <r>
    <x v="32"/>
    <x v="21"/>
    <x v="833"/>
    <n v="12.0100002288818"/>
    <n v="12.0100002288818"/>
    <n v="2.2530810832977299"/>
    <n v="6.9000000953674299"/>
    <n v="0.81999999284744296"/>
    <n v="4.28999996185303"/>
    <n v="0"/>
    <n v="137"/>
    <n v="16"/>
    <n v="145"/>
    <n v="677"/>
    <x v="725"/>
    <x v="6"/>
    <n v="975"/>
    <s v="Weekday"/>
    <x v="3"/>
  </r>
  <r>
    <x v="29"/>
    <x v="23"/>
    <x v="834"/>
    <n v="10.6599998474121"/>
    <n v="10.6599998474121"/>
    <n v="0"/>
    <n v="6.6399998664856001"/>
    <n v="1.2799999713897701"/>
    <n v="2.7300000190734899"/>
    <n v="0"/>
    <n v="184"/>
    <n v="56"/>
    <n v="158"/>
    <n v="472"/>
    <x v="726"/>
    <x v="2"/>
    <n v="870"/>
    <s v="Weekend"/>
    <x v="3"/>
  </r>
  <r>
    <x v="29"/>
    <x v="12"/>
    <x v="835"/>
    <n v="11.7799997329712"/>
    <n v="11.7799997329712"/>
    <n v="0"/>
    <n v="7.6500000953674299"/>
    <n v="2.1500000953674299"/>
    <n v="1.9800000190734901"/>
    <n v="0"/>
    <n v="210"/>
    <n v="65"/>
    <n v="141"/>
    <n v="425"/>
    <x v="727"/>
    <x v="5"/>
    <n v="841"/>
    <s v="Weekend"/>
    <x v="3"/>
  </r>
  <r>
    <x v="31"/>
    <x v="2"/>
    <x v="836"/>
    <n v="26.719999313354499"/>
    <n v="26.719999313354499"/>
    <n v="0"/>
    <n v="21.659999847412099"/>
    <n v="7.9999998211860698E-2"/>
    <n v="4.9299998283386204"/>
    <n v="0"/>
    <n v="124"/>
    <n v="4"/>
    <n v="223"/>
    <n v="1089"/>
    <x v="728"/>
    <x v="2"/>
    <n v="1440"/>
    <s v="Weekend"/>
    <x v="3"/>
  </r>
  <r>
    <x v="29"/>
    <x v="2"/>
    <x v="837"/>
    <n v="9.2399997711181605"/>
    <n v="9.2399997711181605"/>
    <n v="0"/>
    <n v="5.8299999237060502"/>
    <n v="0.79000002145767201"/>
    <n v="2.6099998950958301"/>
    <n v="0"/>
    <n v="207"/>
    <n v="45"/>
    <n v="163"/>
    <n v="621"/>
    <x v="729"/>
    <x v="2"/>
    <n v="1036"/>
    <s v="Weekend"/>
    <x v="3"/>
  </r>
  <r>
    <x v="29"/>
    <x v="7"/>
    <x v="838"/>
    <n v="9.9899997711181605"/>
    <n v="9.9899997711181605"/>
    <n v="0"/>
    <n v="5.3099999427795401"/>
    <n v="1.4400000572204601"/>
    <n v="3.2400000095367401"/>
    <n v="0"/>
    <n v="194"/>
    <n v="72"/>
    <n v="178"/>
    <n v="499"/>
    <x v="730"/>
    <x v="3"/>
    <n v="943"/>
    <s v="Weekday"/>
    <x v="3"/>
  </r>
  <r>
    <x v="31"/>
    <x v="23"/>
    <x v="839"/>
    <n v="25.290000915527301"/>
    <n v="25.290000915527301"/>
    <n v="0"/>
    <n v="13.2399997711182"/>
    <n v="1.21000003814697"/>
    <n v="10.710000038146999"/>
    <n v="0"/>
    <n v="94"/>
    <n v="29"/>
    <n v="429"/>
    <n v="888"/>
    <x v="731"/>
    <x v="2"/>
    <n v="1440"/>
    <s v="Weekend"/>
    <x v="3"/>
  </r>
  <r>
    <x v="29"/>
    <x v="6"/>
    <x v="840"/>
    <n v="9.1400003433227504"/>
    <n v="9.1400003433227504"/>
    <n v="0"/>
    <n v="5.9800000190734899"/>
    <n v="0.82999998331069902"/>
    <n v="2.3199999332428001"/>
    <n v="0"/>
    <n v="200"/>
    <n v="37"/>
    <n v="159"/>
    <n v="525"/>
    <x v="732"/>
    <x v="5"/>
    <n v="921"/>
    <s v="Weekend"/>
    <x v="3"/>
  </r>
  <r>
    <x v="21"/>
    <x v="21"/>
    <x v="841"/>
    <n v="15.0100002288818"/>
    <n v="15.0100002288818"/>
    <n v="0"/>
    <n v="0.980000019073486"/>
    <n v="0.40000000596046398"/>
    <n v="5.6199998855590803"/>
    <n v="0"/>
    <n v="11"/>
    <n v="19"/>
    <n v="294"/>
    <n v="579"/>
    <x v="733"/>
    <x v="6"/>
    <n v="903"/>
    <s v="Weekday"/>
    <x v="3"/>
  </r>
  <r>
    <x v="33"/>
    <x v="31"/>
    <x v="842"/>
    <m/>
    <m/>
    <m/>
    <m/>
    <m/>
    <m/>
    <m/>
    <m/>
    <m/>
    <m/>
    <m/>
    <x v="734"/>
    <x v="2"/>
    <n v="0"/>
    <s v="Weekend"/>
    <x v="0"/>
  </r>
  <r>
    <x v="33"/>
    <x v="31"/>
    <x v="842"/>
    <m/>
    <m/>
    <m/>
    <m/>
    <m/>
    <m/>
    <m/>
    <m/>
    <m/>
    <m/>
    <m/>
    <x v="734"/>
    <x v="7"/>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x v="0"/>
    <d v="2016-04-12T00:00:00"/>
    <n v="1"/>
    <n v="327"/>
    <n v="346"/>
    <x v="0"/>
    <x v="0"/>
  </r>
  <r>
    <x v="0"/>
    <d v="2016-04-13T00:00:00"/>
    <n v="2"/>
    <n v="384"/>
    <n v="407"/>
    <x v="1"/>
    <x v="1"/>
  </r>
  <r>
    <x v="0"/>
    <d v="2016-04-15T00:00:00"/>
    <n v="1"/>
    <n v="412"/>
    <n v="442"/>
    <x v="2"/>
    <x v="2"/>
  </r>
  <r>
    <x v="0"/>
    <d v="2016-04-16T00:00:00"/>
    <n v="2"/>
    <n v="340"/>
    <n v="367"/>
    <x v="3"/>
    <x v="3"/>
  </r>
  <r>
    <x v="0"/>
    <d v="2016-04-17T00:00:00"/>
    <n v="1"/>
    <n v="700"/>
    <n v="712"/>
    <x v="4"/>
    <x v="4"/>
  </r>
  <r>
    <x v="0"/>
    <d v="2016-04-19T00:00:00"/>
    <n v="1"/>
    <n v="304"/>
    <n v="320"/>
    <x v="5"/>
    <x v="0"/>
  </r>
  <r>
    <x v="0"/>
    <d v="2016-04-20T00:00:00"/>
    <n v="1"/>
    <n v="360"/>
    <n v="377"/>
    <x v="6"/>
    <x v="1"/>
  </r>
  <r>
    <x v="0"/>
    <d v="2016-04-21T00:00:00"/>
    <n v="1"/>
    <n v="325"/>
    <n v="364"/>
    <x v="7"/>
    <x v="5"/>
  </r>
  <r>
    <x v="0"/>
    <d v="2016-04-23T00:00:00"/>
    <n v="1"/>
    <n v="361"/>
    <n v="384"/>
    <x v="8"/>
    <x v="3"/>
  </r>
  <r>
    <x v="0"/>
    <d v="2016-04-24T00:00:00"/>
    <n v="1"/>
    <n v="430"/>
    <n v="449"/>
    <x v="9"/>
    <x v="4"/>
  </r>
  <r>
    <x v="0"/>
    <d v="2016-04-25T00:00:00"/>
    <n v="1"/>
    <n v="277"/>
    <n v="323"/>
    <x v="10"/>
    <x v="6"/>
  </r>
  <r>
    <x v="0"/>
    <d v="2016-04-26T00:00:00"/>
    <n v="1"/>
    <n v="245"/>
    <n v="274"/>
    <x v="11"/>
    <x v="0"/>
  </r>
  <r>
    <x v="0"/>
    <d v="2016-04-28T00:00:00"/>
    <n v="1"/>
    <n v="366"/>
    <n v="393"/>
    <x v="12"/>
    <x v="5"/>
  </r>
  <r>
    <x v="0"/>
    <d v="2016-04-29T00:00:00"/>
    <n v="1"/>
    <n v="341"/>
    <n v="354"/>
    <x v="13"/>
    <x v="2"/>
  </r>
  <r>
    <x v="0"/>
    <d v="2016-04-30T00:00:00"/>
    <n v="1"/>
    <n v="404"/>
    <n v="425"/>
    <x v="14"/>
    <x v="3"/>
  </r>
  <r>
    <x v="0"/>
    <d v="2016-05-01T00:00:00"/>
    <n v="1"/>
    <n v="369"/>
    <n v="396"/>
    <x v="15"/>
    <x v="4"/>
  </r>
  <r>
    <x v="0"/>
    <d v="2016-05-02T00:00:00"/>
    <n v="1"/>
    <n v="277"/>
    <n v="309"/>
    <x v="10"/>
    <x v="6"/>
  </r>
  <r>
    <x v="0"/>
    <d v="2016-05-03T00:00:00"/>
    <n v="1"/>
    <n v="273"/>
    <n v="296"/>
    <x v="16"/>
    <x v="0"/>
  </r>
  <r>
    <x v="0"/>
    <d v="2016-05-05T00:00:00"/>
    <n v="1"/>
    <n v="247"/>
    <n v="264"/>
    <x v="17"/>
    <x v="5"/>
  </r>
  <r>
    <x v="0"/>
    <d v="2016-05-06T00:00:00"/>
    <n v="1"/>
    <n v="334"/>
    <n v="367"/>
    <x v="18"/>
    <x v="2"/>
  </r>
  <r>
    <x v="0"/>
    <d v="2016-05-07T00:00:00"/>
    <n v="1"/>
    <n v="331"/>
    <n v="349"/>
    <x v="19"/>
    <x v="3"/>
  </r>
  <r>
    <x v="0"/>
    <d v="2016-05-08T00:00:00"/>
    <n v="1"/>
    <n v="594"/>
    <n v="611"/>
    <x v="20"/>
    <x v="4"/>
  </r>
  <r>
    <x v="0"/>
    <d v="2016-05-09T00:00:00"/>
    <n v="1"/>
    <n v="338"/>
    <n v="342"/>
    <x v="21"/>
    <x v="6"/>
  </r>
  <r>
    <x v="0"/>
    <d v="2016-05-10T00:00:00"/>
    <n v="1"/>
    <n v="383"/>
    <n v="403"/>
    <x v="22"/>
    <x v="0"/>
  </r>
  <r>
    <x v="0"/>
    <d v="2016-05-11T00:00:00"/>
    <n v="1"/>
    <n v="285"/>
    <n v="306"/>
    <x v="23"/>
    <x v="1"/>
  </r>
  <r>
    <x v="1"/>
    <d v="2016-04-29T00:00:00"/>
    <n v="1"/>
    <n v="119"/>
    <n v="127"/>
    <x v="24"/>
    <x v="2"/>
  </r>
  <r>
    <x v="1"/>
    <d v="2016-04-30T00:00:00"/>
    <n v="1"/>
    <n v="124"/>
    <n v="142"/>
    <x v="25"/>
    <x v="3"/>
  </r>
  <r>
    <x v="1"/>
    <d v="2016-05-02T00:00:00"/>
    <n v="1"/>
    <n v="796"/>
    <n v="961"/>
    <x v="26"/>
    <x v="6"/>
  </r>
  <r>
    <x v="1"/>
    <d v="2016-05-08T00:00:00"/>
    <n v="1"/>
    <n v="137"/>
    <n v="154"/>
    <x v="27"/>
    <x v="4"/>
  </r>
  <r>
    <x v="2"/>
    <d v="2016-04-15T00:00:00"/>
    <n v="1"/>
    <n v="644"/>
    <n v="961"/>
    <x v="28"/>
    <x v="2"/>
  </r>
  <r>
    <x v="2"/>
    <d v="2016-04-30T00:00:00"/>
    <n v="1"/>
    <n v="722"/>
    <n v="961"/>
    <x v="29"/>
    <x v="3"/>
  </r>
  <r>
    <x v="2"/>
    <d v="2016-05-01T00:00:00"/>
    <n v="1"/>
    <n v="590"/>
    <n v="961"/>
    <x v="30"/>
    <x v="4"/>
  </r>
  <r>
    <x v="3"/>
    <d v="2016-04-12T00:00:00"/>
    <n v="3"/>
    <n v="750"/>
    <n v="775"/>
    <x v="31"/>
    <x v="0"/>
  </r>
  <r>
    <x v="3"/>
    <d v="2016-04-13T00:00:00"/>
    <n v="1"/>
    <n v="398"/>
    <n v="422"/>
    <x v="32"/>
    <x v="1"/>
  </r>
  <r>
    <x v="3"/>
    <d v="2016-04-15T00:00:00"/>
    <n v="2"/>
    <n v="475"/>
    <n v="499"/>
    <x v="33"/>
    <x v="2"/>
  </r>
  <r>
    <x v="3"/>
    <d v="2016-04-26T00:00:00"/>
    <n v="1"/>
    <n v="296"/>
    <n v="315"/>
    <x v="34"/>
    <x v="0"/>
  </r>
  <r>
    <x v="3"/>
    <d v="2016-04-28T00:00:00"/>
    <n v="1"/>
    <n v="166"/>
    <n v="178"/>
    <x v="35"/>
    <x v="5"/>
  </r>
  <r>
    <x v="4"/>
    <d v="2016-04-12T00:00:00"/>
    <n v="1"/>
    <n v="503"/>
    <n v="546"/>
    <x v="36"/>
    <x v="0"/>
  </r>
  <r>
    <x v="4"/>
    <d v="2016-04-13T00:00:00"/>
    <n v="1"/>
    <n v="531"/>
    <n v="565"/>
    <x v="37"/>
    <x v="1"/>
  </r>
  <r>
    <x v="4"/>
    <d v="2016-04-14T00:00:00"/>
    <n v="1"/>
    <n v="545"/>
    <n v="568"/>
    <x v="38"/>
    <x v="5"/>
  </r>
  <r>
    <x v="4"/>
    <d v="2016-04-15T00:00:00"/>
    <n v="1"/>
    <n v="523"/>
    <n v="573"/>
    <x v="39"/>
    <x v="2"/>
  </r>
  <r>
    <x v="4"/>
    <d v="2016-04-16T00:00:00"/>
    <n v="1"/>
    <n v="524"/>
    <n v="567"/>
    <x v="40"/>
    <x v="3"/>
  </r>
  <r>
    <x v="4"/>
    <d v="2016-04-17T00:00:00"/>
    <n v="1"/>
    <n v="437"/>
    <n v="498"/>
    <x v="41"/>
    <x v="4"/>
  </r>
  <r>
    <x v="4"/>
    <d v="2016-04-19T00:00:00"/>
    <n v="1"/>
    <n v="498"/>
    <n v="540"/>
    <x v="42"/>
    <x v="0"/>
  </r>
  <r>
    <x v="4"/>
    <d v="2016-04-20T00:00:00"/>
    <n v="1"/>
    <n v="461"/>
    <n v="510"/>
    <x v="43"/>
    <x v="1"/>
  </r>
  <r>
    <x v="4"/>
    <d v="2016-04-21T00:00:00"/>
    <n v="1"/>
    <n v="477"/>
    <n v="514"/>
    <x v="44"/>
    <x v="5"/>
  </r>
  <r>
    <x v="4"/>
    <d v="2016-04-22T00:00:00"/>
    <n v="1"/>
    <n v="520"/>
    <n v="545"/>
    <x v="45"/>
    <x v="2"/>
  </r>
  <r>
    <x v="4"/>
    <d v="2016-04-23T00:00:00"/>
    <n v="1"/>
    <n v="522"/>
    <n v="554"/>
    <x v="46"/>
    <x v="3"/>
  </r>
  <r>
    <x v="4"/>
    <d v="2016-04-24T00:00:00"/>
    <n v="1"/>
    <n v="555"/>
    <n v="591"/>
    <x v="47"/>
    <x v="4"/>
  </r>
  <r>
    <x v="4"/>
    <d v="2016-04-25T00:00:00"/>
    <n v="1"/>
    <n v="506"/>
    <n v="531"/>
    <x v="48"/>
    <x v="6"/>
  </r>
  <r>
    <x v="4"/>
    <d v="2016-04-27T00:00:00"/>
    <n v="1"/>
    <n v="508"/>
    <n v="545"/>
    <x v="49"/>
    <x v="1"/>
  </r>
  <r>
    <x v="4"/>
    <d v="2016-04-28T00:00:00"/>
    <n v="1"/>
    <n v="513"/>
    <n v="545"/>
    <x v="50"/>
    <x v="5"/>
  </r>
  <r>
    <x v="4"/>
    <d v="2016-04-29T00:00:00"/>
    <n v="1"/>
    <n v="490"/>
    <n v="510"/>
    <x v="51"/>
    <x v="2"/>
  </r>
  <r>
    <x v="4"/>
    <d v="2016-04-30T00:00:00"/>
    <n v="1"/>
    <n v="573"/>
    <n v="607"/>
    <x v="52"/>
    <x v="3"/>
  </r>
  <r>
    <x v="4"/>
    <d v="2016-05-01T00:00:00"/>
    <n v="1"/>
    <n v="527"/>
    <n v="546"/>
    <x v="53"/>
    <x v="4"/>
  </r>
  <r>
    <x v="4"/>
    <d v="2016-05-02T00:00:00"/>
    <n v="1"/>
    <n v="511"/>
    <n v="543"/>
    <x v="54"/>
    <x v="6"/>
  </r>
  <r>
    <x v="4"/>
    <d v="2016-05-04T00:00:00"/>
    <n v="1"/>
    <n v="538"/>
    <n v="560"/>
    <x v="55"/>
    <x v="1"/>
  </r>
  <r>
    <x v="4"/>
    <d v="2016-05-05T00:00:00"/>
    <n v="1"/>
    <n v="468"/>
    <n v="485"/>
    <x v="56"/>
    <x v="5"/>
  </r>
  <r>
    <x v="4"/>
    <d v="2016-05-06T00:00:00"/>
    <n v="1"/>
    <n v="524"/>
    <n v="548"/>
    <x v="40"/>
    <x v="2"/>
  </r>
  <r>
    <x v="4"/>
    <d v="2016-05-07T00:00:00"/>
    <n v="1"/>
    <n v="511"/>
    <n v="521"/>
    <x v="54"/>
    <x v="3"/>
  </r>
  <r>
    <x v="4"/>
    <d v="2016-05-08T00:00:00"/>
    <n v="1"/>
    <n v="541"/>
    <n v="568"/>
    <x v="57"/>
    <x v="4"/>
  </r>
  <r>
    <x v="4"/>
    <d v="2016-05-09T00:00:00"/>
    <n v="1"/>
    <n v="531"/>
    <n v="556"/>
    <x v="37"/>
    <x v="6"/>
  </r>
  <r>
    <x v="4"/>
    <d v="2016-05-10T00:00:00"/>
    <n v="1"/>
    <n v="357"/>
    <n v="380"/>
    <x v="58"/>
    <x v="0"/>
  </r>
  <r>
    <x v="4"/>
    <d v="2016-05-11T00:00:00"/>
    <n v="1"/>
    <n v="523"/>
    <n v="553"/>
    <x v="39"/>
    <x v="1"/>
  </r>
  <r>
    <x v="4"/>
    <d v="2016-05-12T00:00:00"/>
    <n v="1"/>
    <n v="456"/>
    <n v="485"/>
    <x v="59"/>
    <x v="5"/>
  </r>
  <r>
    <x v="5"/>
    <d v="2016-04-23T00:00:00"/>
    <n v="1"/>
    <n v="61"/>
    <n v="69"/>
    <x v="60"/>
    <x v="3"/>
  </r>
  <r>
    <x v="6"/>
    <d v="2016-04-13T00:00:00"/>
    <n v="1"/>
    <n v="467"/>
    <n v="531"/>
    <x v="61"/>
    <x v="1"/>
  </r>
  <r>
    <x v="6"/>
    <d v="2016-04-14T00:00:00"/>
    <n v="1"/>
    <n v="445"/>
    <n v="489"/>
    <x v="62"/>
    <x v="5"/>
  </r>
  <r>
    <x v="6"/>
    <d v="2016-04-15T00:00:00"/>
    <n v="1"/>
    <n v="452"/>
    <n v="504"/>
    <x v="63"/>
    <x v="2"/>
  </r>
  <r>
    <x v="6"/>
    <d v="2016-04-17T00:00:00"/>
    <n v="1"/>
    <n v="556"/>
    <n v="602"/>
    <x v="64"/>
    <x v="4"/>
  </r>
  <r>
    <x v="6"/>
    <d v="2016-04-18T00:00:00"/>
    <n v="1"/>
    <n v="500"/>
    <n v="557"/>
    <x v="65"/>
    <x v="6"/>
  </r>
  <r>
    <x v="6"/>
    <d v="2016-04-19T00:00:00"/>
    <n v="1"/>
    <n v="465"/>
    <n v="514"/>
    <x v="66"/>
    <x v="0"/>
  </r>
  <r>
    <x v="6"/>
    <d v="2016-04-21T00:00:00"/>
    <n v="1"/>
    <n v="460"/>
    <n v="484"/>
    <x v="67"/>
    <x v="5"/>
  </r>
  <r>
    <x v="6"/>
    <d v="2016-04-22T00:00:00"/>
    <n v="1"/>
    <n v="405"/>
    <n v="461"/>
    <x v="68"/>
    <x v="2"/>
  </r>
  <r>
    <x v="6"/>
    <d v="2016-04-23T00:00:00"/>
    <n v="1"/>
    <n v="374"/>
    <n v="386"/>
    <x v="69"/>
    <x v="3"/>
  </r>
  <r>
    <x v="6"/>
    <d v="2016-04-24T00:00:00"/>
    <n v="1"/>
    <n v="442"/>
    <n v="459"/>
    <x v="70"/>
    <x v="4"/>
  </r>
  <r>
    <x v="6"/>
    <d v="2016-04-25T00:00:00"/>
    <n v="1"/>
    <n v="433"/>
    <n v="471"/>
    <x v="71"/>
    <x v="6"/>
  </r>
  <r>
    <x v="6"/>
    <d v="2016-04-26T00:00:00"/>
    <n v="1"/>
    <n v="436"/>
    <n v="490"/>
    <x v="72"/>
    <x v="0"/>
  </r>
  <r>
    <x v="6"/>
    <d v="2016-04-27T00:00:00"/>
    <n v="1"/>
    <n v="448"/>
    <n v="499"/>
    <x v="73"/>
    <x v="1"/>
  </r>
  <r>
    <x v="6"/>
    <d v="2016-04-28T00:00:00"/>
    <n v="1"/>
    <n v="408"/>
    <n v="450"/>
    <x v="74"/>
    <x v="5"/>
  </r>
  <r>
    <x v="6"/>
    <d v="2016-04-29T00:00:00"/>
    <n v="1"/>
    <n v="411"/>
    <n v="473"/>
    <x v="75"/>
    <x v="2"/>
  </r>
  <r>
    <x v="7"/>
    <d v="2016-04-12T00:00:00"/>
    <n v="1"/>
    <n v="274"/>
    <n v="469"/>
    <x v="76"/>
    <x v="0"/>
  </r>
  <r>
    <x v="7"/>
    <d v="2016-04-13T00:00:00"/>
    <n v="2"/>
    <n v="295"/>
    <n v="456"/>
    <x v="77"/>
    <x v="1"/>
  </r>
  <r>
    <x v="7"/>
    <d v="2016-04-14T00:00:00"/>
    <n v="1"/>
    <n v="291"/>
    <n v="397"/>
    <x v="78"/>
    <x v="5"/>
  </r>
  <r>
    <x v="7"/>
    <d v="2016-04-15T00:00:00"/>
    <n v="1"/>
    <n v="424"/>
    <n v="556"/>
    <x v="79"/>
    <x v="2"/>
  </r>
  <r>
    <x v="7"/>
    <d v="2016-04-16T00:00:00"/>
    <n v="1"/>
    <n v="283"/>
    <n v="510"/>
    <x v="80"/>
    <x v="3"/>
  </r>
  <r>
    <x v="7"/>
    <d v="2016-04-17T00:00:00"/>
    <n v="1"/>
    <n v="381"/>
    <n v="566"/>
    <x v="81"/>
    <x v="4"/>
  </r>
  <r>
    <x v="7"/>
    <d v="2016-04-18T00:00:00"/>
    <n v="2"/>
    <n v="412"/>
    <n v="522"/>
    <x v="2"/>
    <x v="6"/>
  </r>
  <r>
    <x v="7"/>
    <d v="2016-04-19T00:00:00"/>
    <n v="1"/>
    <n v="219"/>
    <n v="395"/>
    <x v="82"/>
    <x v="0"/>
  </r>
  <r>
    <x v="7"/>
    <d v="2016-04-20T00:00:00"/>
    <n v="2"/>
    <n v="152"/>
    <n v="305"/>
    <x v="83"/>
    <x v="1"/>
  </r>
  <r>
    <x v="7"/>
    <d v="2016-04-21T00:00:00"/>
    <n v="1"/>
    <n v="332"/>
    <n v="512"/>
    <x v="84"/>
    <x v="5"/>
  </r>
  <r>
    <x v="7"/>
    <d v="2016-04-22T00:00:00"/>
    <n v="1"/>
    <n v="355"/>
    <n v="476"/>
    <x v="85"/>
    <x v="2"/>
  </r>
  <r>
    <x v="7"/>
    <d v="2016-04-23T00:00:00"/>
    <n v="1"/>
    <n v="235"/>
    <n v="372"/>
    <x v="86"/>
    <x v="3"/>
  </r>
  <r>
    <x v="7"/>
    <d v="2016-04-24T00:00:00"/>
    <n v="1"/>
    <n v="310"/>
    <n v="526"/>
    <x v="87"/>
    <x v="4"/>
  </r>
  <r>
    <x v="7"/>
    <d v="2016-04-25T00:00:00"/>
    <n v="1"/>
    <n v="262"/>
    <n v="467"/>
    <x v="88"/>
    <x v="6"/>
  </r>
  <r>
    <x v="7"/>
    <d v="2016-04-26T00:00:00"/>
    <n v="1"/>
    <n v="250"/>
    <n v="371"/>
    <x v="89"/>
    <x v="0"/>
  </r>
  <r>
    <x v="7"/>
    <d v="2016-04-27T00:00:00"/>
    <n v="1"/>
    <n v="349"/>
    <n v="540"/>
    <x v="90"/>
    <x v="1"/>
  </r>
  <r>
    <x v="7"/>
    <d v="2016-04-28T00:00:00"/>
    <n v="1"/>
    <n v="261"/>
    <n v="423"/>
    <x v="91"/>
    <x v="5"/>
  </r>
  <r>
    <x v="7"/>
    <d v="2016-04-29T00:00:00"/>
    <n v="1"/>
    <n v="333"/>
    <n v="478"/>
    <x v="92"/>
    <x v="2"/>
  </r>
  <r>
    <x v="7"/>
    <d v="2016-04-30T00:00:00"/>
    <n v="1"/>
    <n v="237"/>
    <n v="382"/>
    <x v="93"/>
    <x v="3"/>
  </r>
  <r>
    <x v="7"/>
    <d v="2016-05-01T00:00:00"/>
    <n v="1"/>
    <n v="383"/>
    <n v="626"/>
    <x v="22"/>
    <x v="4"/>
  </r>
  <r>
    <x v="7"/>
    <d v="2016-05-02T00:00:00"/>
    <n v="1"/>
    <n v="230"/>
    <n v="384"/>
    <x v="94"/>
    <x v="6"/>
  </r>
  <r>
    <x v="7"/>
    <d v="2016-05-03T00:00:00"/>
    <n v="1"/>
    <n v="292"/>
    <n v="500"/>
    <x v="95"/>
    <x v="0"/>
  </r>
  <r>
    <x v="7"/>
    <d v="2016-05-04T00:00:00"/>
    <n v="1"/>
    <n v="213"/>
    <n v="336"/>
    <x v="96"/>
    <x v="1"/>
  </r>
  <r>
    <x v="7"/>
    <d v="2016-05-05T00:00:00"/>
    <n v="1"/>
    <n v="318"/>
    <n v="480"/>
    <x v="97"/>
    <x v="5"/>
  </r>
  <r>
    <x v="7"/>
    <d v="2016-05-06T00:00:00"/>
    <n v="1"/>
    <n v="323"/>
    <n v="512"/>
    <x v="98"/>
    <x v="2"/>
  </r>
  <r>
    <x v="7"/>
    <d v="2016-05-07T00:00:00"/>
    <n v="1"/>
    <n v="237"/>
    <n v="443"/>
    <x v="93"/>
    <x v="3"/>
  </r>
  <r>
    <x v="7"/>
    <d v="2016-05-08T00:00:00"/>
    <n v="2"/>
    <n v="259"/>
    <n v="456"/>
    <x v="99"/>
    <x v="4"/>
  </r>
  <r>
    <x v="7"/>
    <d v="2016-05-10T00:00:00"/>
    <n v="1"/>
    <n v="312"/>
    <n v="452"/>
    <x v="100"/>
    <x v="0"/>
  </r>
  <r>
    <x v="8"/>
    <d v="2016-04-12T00:00:00"/>
    <n v="1"/>
    <n v="501"/>
    <n v="541"/>
    <x v="101"/>
    <x v="0"/>
  </r>
  <r>
    <x v="8"/>
    <d v="2016-04-16T00:00:00"/>
    <n v="1"/>
    <n v="77"/>
    <n v="77"/>
    <x v="102"/>
    <x v="3"/>
  </r>
  <r>
    <x v="8"/>
    <d v="2016-05-03T00:00:00"/>
    <n v="1"/>
    <n v="322"/>
    <n v="332"/>
    <x v="103"/>
    <x v="0"/>
  </r>
  <r>
    <x v="8"/>
    <d v="2016-05-04T00:00:00"/>
    <n v="1"/>
    <n v="478"/>
    <n v="536"/>
    <x v="104"/>
    <x v="1"/>
  </r>
  <r>
    <x v="8"/>
    <d v="2016-05-05T00:00:00"/>
    <n v="1"/>
    <n v="226"/>
    <n v="248"/>
    <x v="105"/>
    <x v="5"/>
  </r>
  <r>
    <x v="8"/>
    <d v="2016-05-06T00:00:00"/>
    <n v="1"/>
    <n v="385"/>
    <n v="408"/>
    <x v="106"/>
    <x v="2"/>
  </r>
  <r>
    <x v="8"/>
    <d v="2016-05-08T00:00:00"/>
    <n v="1"/>
    <n v="364"/>
    <n v="402"/>
    <x v="107"/>
    <x v="4"/>
  </r>
  <r>
    <x v="8"/>
    <d v="2016-05-10T00:00:00"/>
    <n v="1"/>
    <n v="442"/>
    <n v="494"/>
    <x v="70"/>
    <x v="0"/>
  </r>
  <r>
    <x v="9"/>
    <d v="2016-04-14T00:00:00"/>
    <n v="1"/>
    <n v="535"/>
    <n v="557"/>
    <x v="108"/>
    <x v="5"/>
  </r>
  <r>
    <x v="9"/>
    <d v="2016-04-15T00:00:00"/>
    <n v="1"/>
    <n v="465"/>
    <n v="491"/>
    <x v="66"/>
    <x v="2"/>
  </r>
  <r>
    <x v="9"/>
    <d v="2016-04-16T00:00:00"/>
    <n v="1"/>
    <n v="506"/>
    <n v="522"/>
    <x v="48"/>
    <x v="3"/>
  </r>
  <r>
    <x v="9"/>
    <d v="2016-04-18T00:00:00"/>
    <n v="1"/>
    <n v="515"/>
    <n v="551"/>
    <x v="109"/>
    <x v="6"/>
  </r>
  <r>
    <x v="9"/>
    <d v="2016-04-19T00:00:00"/>
    <n v="2"/>
    <n v="461"/>
    <n v="498"/>
    <x v="43"/>
    <x v="0"/>
  </r>
  <r>
    <x v="9"/>
    <d v="2016-04-20T00:00:00"/>
    <n v="1"/>
    <n v="523"/>
    <n v="543"/>
    <x v="39"/>
    <x v="1"/>
  </r>
  <r>
    <x v="9"/>
    <d v="2016-04-21T00:00:00"/>
    <n v="1"/>
    <n v="59"/>
    <n v="65"/>
    <x v="110"/>
    <x v="5"/>
  </r>
  <r>
    <x v="9"/>
    <d v="2016-04-22T00:00:00"/>
    <n v="1"/>
    <n v="533"/>
    <n v="550"/>
    <x v="111"/>
    <x v="2"/>
  </r>
  <r>
    <x v="9"/>
    <d v="2016-04-23T00:00:00"/>
    <n v="1"/>
    <n v="692"/>
    <n v="722"/>
    <x v="112"/>
    <x v="3"/>
  </r>
  <r>
    <x v="9"/>
    <d v="2016-04-24T00:00:00"/>
    <n v="1"/>
    <n v="467"/>
    <n v="501"/>
    <x v="61"/>
    <x v="4"/>
  </r>
  <r>
    <x v="9"/>
    <d v="2016-04-25T00:00:00"/>
    <n v="1"/>
    <n v="488"/>
    <n v="506"/>
    <x v="113"/>
    <x v="6"/>
  </r>
  <r>
    <x v="9"/>
    <d v="2016-04-26T00:00:00"/>
    <n v="1"/>
    <n v="505"/>
    <n v="516"/>
    <x v="114"/>
    <x v="0"/>
  </r>
  <r>
    <x v="9"/>
    <d v="2016-04-27T00:00:00"/>
    <n v="1"/>
    <n v="286"/>
    <n v="307"/>
    <x v="115"/>
    <x v="1"/>
  </r>
  <r>
    <x v="9"/>
    <d v="2016-04-28T00:00:00"/>
    <n v="1"/>
    <n v="497"/>
    <n v="522"/>
    <x v="116"/>
    <x v="5"/>
  </r>
  <r>
    <x v="9"/>
    <d v="2016-04-29T00:00:00"/>
    <n v="1"/>
    <n v="523"/>
    <n v="546"/>
    <x v="39"/>
    <x v="2"/>
  </r>
  <r>
    <x v="9"/>
    <d v="2016-04-30T00:00:00"/>
    <n v="1"/>
    <n v="490"/>
    <n v="516"/>
    <x v="51"/>
    <x v="3"/>
  </r>
  <r>
    <x v="9"/>
    <d v="2016-05-01T00:00:00"/>
    <n v="1"/>
    <n v="484"/>
    <n v="500"/>
    <x v="117"/>
    <x v="4"/>
  </r>
  <r>
    <x v="9"/>
    <d v="2016-05-02T00:00:00"/>
    <n v="1"/>
    <n v="478"/>
    <n v="506"/>
    <x v="104"/>
    <x v="6"/>
  </r>
  <r>
    <x v="9"/>
    <d v="2016-05-03T00:00:00"/>
    <n v="1"/>
    <n v="474"/>
    <n v="512"/>
    <x v="118"/>
    <x v="0"/>
  </r>
  <r>
    <x v="9"/>
    <d v="2016-05-06T00:00:00"/>
    <n v="1"/>
    <n v="450"/>
    <n v="491"/>
    <x v="119"/>
    <x v="2"/>
  </r>
  <r>
    <x v="9"/>
    <d v="2016-05-07T00:00:00"/>
    <n v="1"/>
    <n v="507"/>
    <n v="530"/>
    <x v="120"/>
    <x v="3"/>
  </r>
  <r>
    <x v="9"/>
    <d v="2016-05-08T00:00:00"/>
    <n v="1"/>
    <n v="602"/>
    <n v="638"/>
    <x v="121"/>
    <x v="4"/>
  </r>
  <r>
    <x v="9"/>
    <d v="2016-05-09T00:00:00"/>
    <n v="1"/>
    <n v="535"/>
    <n v="565"/>
    <x v="108"/>
    <x v="6"/>
  </r>
  <r>
    <x v="9"/>
    <d v="2016-05-10T00:00:00"/>
    <n v="1"/>
    <n v="487"/>
    <n v="517"/>
    <x v="122"/>
    <x v="0"/>
  </r>
  <r>
    <x v="9"/>
    <d v="2016-05-11T00:00:00"/>
    <n v="1"/>
    <n v="529"/>
    <n v="558"/>
    <x v="123"/>
    <x v="1"/>
  </r>
  <r>
    <x v="9"/>
    <d v="2016-05-12T00:00:00"/>
    <n v="1"/>
    <n v="302"/>
    <n v="321"/>
    <x v="124"/>
    <x v="5"/>
  </r>
  <r>
    <x v="10"/>
    <d v="2016-04-15T00:00:00"/>
    <n v="1"/>
    <n v="499"/>
    <n v="526"/>
    <x v="125"/>
    <x v="2"/>
  </r>
  <r>
    <x v="10"/>
    <d v="2016-04-16T00:00:00"/>
    <n v="2"/>
    <n v="426"/>
    <n v="448"/>
    <x v="126"/>
    <x v="3"/>
  </r>
  <r>
    <x v="10"/>
    <d v="2016-04-17T00:00:00"/>
    <n v="2"/>
    <n v="619"/>
    <n v="641"/>
    <x v="127"/>
    <x v="4"/>
  </r>
  <r>
    <x v="10"/>
    <d v="2016-04-18T00:00:00"/>
    <n v="1"/>
    <n v="99"/>
    <n v="104"/>
    <x v="128"/>
    <x v="6"/>
  </r>
  <r>
    <x v="10"/>
    <d v="2016-04-19T00:00:00"/>
    <n v="1"/>
    <n v="329"/>
    <n v="338"/>
    <x v="129"/>
    <x v="0"/>
  </r>
  <r>
    <x v="10"/>
    <d v="2016-04-20T00:00:00"/>
    <n v="1"/>
    <n v="421"/>
    <n v="451"/>
    <x v="130"/>
    <x v="1"/>
  </r>
  <r>
    <x v="10"/>
    <d v="2016-04-21T00:00:00"/>
    <n v="1"/>
    <n v="442"/>
    <n v="458"/>
    <x v="70"/>
    <x v="5"/>
  </r>
  <r>
    <x v="10"/>
    <d v="2016-04-22T00:00:00"/>
    <n v="1"/>
    <n v="82"/>
    <n v="85"/>
    <x v="131"/>
    <x v="2"/>
  </r>
  <r>
    <x v="10"/>
    <d v="2016-04-23T00:00:00"/>
    <n v="1"/>
    <n v="478"/>
    <n v="501"/>
    <x v="104"/>
    <x v="3"/>
  </r>
  <r>
    <x v="10"/>
    <d v="2016-04-24T00:00:00"/>
    <n v="3"/>
    <n v="552"/>
    <n v="595"/>
    <x v="132"/>
    <x v="4"/>
  </r>
  <r>
    <x v="10"/>
    <d v="2016-04-26T00:00:00"/>
    <n v="1"/>
    <n v="319"/>
    <n v="346"/>
    <x v="133"/>
    <x v="0"/>
  </r>
  <r>
    <x v="10"/>
    <d v="2016-04-27T00:00:00"/>
    <n v="1"/>
    <n v="439"/>
    <n v="500"/>
    <x v="134"/>
    <x v="1"/>
  </r>
  <r>
    <x v="10"/>
    <d v="2016-04-28T00:00:00"/>
    <n v="1"/>
    <n v="428"/>
    <n v="458"/>
    <x v="135"/>
    <x v="5"/>
  </r>
  <r>
    <x v="10"/>
    <d v="2016-04-30T00:00:00"/>
    <n v="2"/>
    <n v="409"/>
    <n v="430"/>
    <x v="136"/>
    <x v="3"/>
  </r>
  <r>
    <x v="10"/>
    <d v="2016-05-01T00:00:00"/>
    <n v="1"/>
    <n v="547"/>
    <n v="597"/>
    <x v="137"/>
    <x v="4"/>
  </r>
  <r>
    <x v="10"/>
    <d v="2016-05-02T00:00:00"/>
    <n v="2"/>
    <n v="368"/>
    <n v="376"/>
    <x v="138"/>
    <x v="6"/>
  </r>
  <r>
    <x v="10"/>
    <d v="2016-05-04T00:00:00"/>
    <n v="1"/>
    <n v="390"/>
    <n v="414"/>
    <x v="139"/>
    <x v="1"/>
  </r>
  <r>
    <x v="10"/>
    <d v="2016-05-05T00:00:00"/>
    <n v="1"/>
    <n v="471"/>
    <n v="495"/>
    <x v="140"/>
    <x v="5"/>
  </r>
  <r>
    <x v="10"/>
    <d v="2016-05-07T00:00:00"/>
    <n v="1"/>
    <n v="472"/>
    <n v="496"/>
    <x v="141"/>
    <x v="3"/>
  </r>
  <r>
    <x v="10"/>
    <d v="2016-05-08T00:00:00"/>
    <n v="2"/>
    <n v="529"/>
    <n v="541"/>
    <x v="123"/>
    <x v="4"/>
  </r>
  <r>
    <x v="10"/>
    <d v="2016-05-09T00:00:00"/>
    <n v="1"/>
    <n v="62"/>
    <n v="65"/>
    <x v="142"/>
    <x v="6"/>
  </r>
  <r>
    <x v="10"/>
    <d v="2016-05-10T00:00:00"/>
    <n v="1"/>
    <n v="354"/>
    <n v="375"/>
    <x v="143"/>
    <x v="0"/>
  </r>
  <r>
    <x v="10"/>
    <d v="2016-05-11T00:00:00"/>
    <n v="1"/>
    <n v="469"/>
    <n v="494"/>
    <x v="144"/>
    <x v="1"/>
  </r>
  <r>
    <x v="11"/>
    <d v="2016-04-12T00:00:00"/>
    <n v="2"/>
    <n v="429"/>
    <n v="457"/>
    <x v="145"/>
    <x v="0"/>
  </r>
  <r>
    <x v="11"/>
    <d v="2016-04-13T00:00:00"/>
    <n v="2"/>
    <n v="370"/>
    <n v="406"/>
    <x v="146"/>
    <x v="1"/>
  </r>
  <r>
    <x v="11"/>
    <d v="2016-04-14T00:00:00"/>
    <n v="1"/>
    <n v="441"/>
    <n v="492"/>
    <x v="147"/>
    <x v="5"/>
  </r>
  <r>
    <x v="11"/>
    <d v="2016-04-15T00:00:00"/>
    <n v="2"/>
    <n v="337"/>
    <n v="379"/>
    <x v="148"/>
    <x v="2"/>
  </r>
  <r>
    <x v="11"/>
    <d v="2016-04-16T00:00:00"/>
    <n v="1"/>
    <n v="462"/>
    <n v="499"/>
    <x v="149"/>
    <x v="3"/>
  </r>
  <r>
    <x v="11"/>
    <d v="2016-04-17T00:00:00"/>
    <n v="1"/>
    <n v="98"/>
    <n v="107"/>
    <x v="150"/>
    <x v="4"/>
  </r>
  <r>
    <x v="11"/>
    <d v="2016-04-19T00:00:00"/>
    <n v="2"/>
    <n v="388"/>
    <n v="424"/>
    <x v="151"/>
    <x v="0"/>
  </r>
  <r>
    <x v="11"/>
    <d v="2016-04-20T00:00:00"/>
    <n v="1"/>
    <n v="439"/>
    <n v="462"/>
    <x v="134"/>
    <x v="1"/>
  </r>
  <r>
    <x v="11"/>
    <d v="2016-04-21T00:00:00"/>
    <n v="1"/>
    <n v="436"/>
    <n v="469"/>
    <x v="72"/>
    <x v="5"/>
  </r>
  <r>
    <x v="11"/>
    <d v="2016-04-22T00:00:00"/>
    <n v="1"/>
    <n v="388"/>
    <n v="417"/>
    <x v="151"/>
    <x v="2"/>
  </r>
  <r>
    <x v="11"/>
    <d v="2016-04-25T00:00:00"/>
    <n v="1"/>
    <n v="328"/>
    <n v="345"/>
    <x v="152"/>
    <x v="6"/>
  </r>
  <r>
    <x v="11"/>
    <d v="2016-04-26T00:00:00"/>
    <n v="2"/>
    <n v="353"/>
    <n v="391"/>
    <x v="153"/>
    <x v="0"/>
  </r>
  <r>
    <x v="11"/>
    <d v="2016-04-27T00:00:00"/>
    <n v="1"/>
    <n v="332"/>
    <n v="374"/>
    <x v="84"/>
    <x v="1"/>
  </r>
  <r>
    <x v="11"/>
    <d v="2016-04-28T00:00:00"/>
    <n v="1"/>
    <n v="419"/>
    <n v="442"/>
    <x v="154"/>
    <x v="5"/>
  </r>
  <r>
    <x v="11"/>
    <d v="2016-04-29T00:00:00"/>
    <n v="1"/>
    <n v="106"/>
    <n v="108"/>
    <x v="155"/>
    <x v="2"/>
  </r>
  <r>
    <x v="11"/>
    <d v="2016-04-30T00:00:00"/>
    <n v="1"/>
    <n v="322"/>
    <n v="353"/>
    <x v="103"/>
    <x v="3"/>
  </r>
  <r>
    <x v="11"/>
    <d v="2016-05-01T00:00:00"/>
    <n v="2"/>
    <n v="439"/>
    <n v="459"/>
    <x v="134"/>
    <x v="4"/>
  </r>
  <r>
    <x v="11"/>
    <d v="2016-05-02T00:00:00"/>
    <n v="1"/>
    <n v="502"/>
    <n v="542"/>
    <x v="156"/>
    <x v="6"/>
  </r>
  <r>
    <x v="11"/>
    <d v="2016-05-03T00:00:00"/>
    <n v="2"/>
    <n v="417"/>
    <n v="450"/>
    <x v="157"/>
    <x v="0"/>
  </r>
  <r>
    <x v="11"/>
    <d v="2016-05-04T00:00:00"/>
    <n v="2"/>
    <n v="337"/>
    <n v="363"/>
    <x v="148"/>
    <x v="1"/>
  </r>
  <r>
    <x v="11"/>
    <d v="2016-05-05T00:00:00"/>
    <n v="2"/>
    <n v="462"/>
    <n v="513"/>
    <x v="149"/>
    <x v="5"/>
  </r>
  <r>
    <x v="11"/>
    <d v="2016-05-06T00:00:00"/>
    <n v="2"/>
    <n v="374"/>
    <n v="402"/>
    <x v="69"/>
    <x v="2"/>
  </r>
  <r>
    <x v="11"/>
    <d v="2016-05-07T00:00:00"/>
    <n v="2"/>
    <n v="401"/>
    <n v="436"/>
    <x v="158"/>
    <x v="3"/>
  </r>
  <r>
    <x v="11"/>
    <d v="2016-05-08T00:00:00"/>
    <n v="1"/>
    <n v="361"/>
    <n v="391"/>
    <x v="8"/>
    <x v="4"/>
  </r>
  <r>
    <x v="11"/>
    <d v="2016-05-09T00:00:00"/>
    <n v="1"/>
    <n v="457"/>
    <n v="533"/>
    <x v="159"/>
    <x v="6"/>
  </r>
  <r>
    <x v="11"/>
    <d v="2016-05-10T00:00:00"/>
    <n v="1"/>
    <n v="405"/>
    <n v="426"/>
    <x v="68"/>
    <x v="0"/>
  </r>
  <r>
    <x v="11"/>
    <d v="2016-05-11T00:00:00"/>
    <n v="1"/>
    <n v="499"/>
    <n v="530"/>
    <x v="125"/>
    <x v="1"/>
  </r>
  <r>
    <x v="11"/>
    <d v="2016-05-12T00:00:00"/>
    <n v="1"/>
    <n v="483"/>
    <n v="501"/>
    <x v="160"/>
    <x v="5"/>
  </r>
  <r>
    <x v="12"/>
    <d v="2016-04-21T00:00:00"/>
    <n v="1"/>
    <n v="126"/>
    <n v="137"/>
    <x v="161"/>
    <x v="5"/>
  </r>
  <r>
    <x v="12"/>
    <d v="2016-04-26T00:00:00"/>
    <n v="1"/>
    <n v="103"/>
    <n v="121"/>
    <x v="162"/>
    <x v="0"/>
  </r>
  <r>
    <x v="12"/>
    <d v="2016-04-29T00:00:00"/>
    <n v="1"/>
    <n v="171"/>
    <n v="179"/>
    <x v="163"/>
    <x v="2"/>
  </r>
  <r>
    <x v="12"/>
    <d v="2016-05-01T00:00:00"/>
    <n v="1"/>
    <n v="115"/>
    <n v="129"/>
    <x v="164"/>
    <x v="4"/>
  </r>
  <r>
    <x v="12"/>
    <d v="2016-05-08T00:00:00"/>
    <n v="1"/>
    <n v="123"/>
    <n v="134"/>
    <x v="165"/>
    <x v="4"/>
  </r>
  <r>
    <x v="13"/>
    <d v="2016-04-12T00:00:00"/>
    <n v="1"/>
    <n v="425"/>
    <n v="439"/>
    <x v="166"/>
    <x v="0"/>
  </r>
  <r>
    <x v="13"/>
    <d v="2016-04-13T00:00:00"/>
    <n v="2"/>
    <n v="400"/>
    <n v="430"/>
    <x v="167"/>
    <x v="1"/>
  </r>
  <r>
    <x v="13"/>
    <d v="2016-04-14T00:00:00"/>
    <n v="1"/>
    <n v="384"/>
    <n v="415"/>
    <x v="1"/>
    <x v="5"/>
  </r>
  <r>
    <x v="13"/>
    <d v="2016-04-15T00:00:00"/>
    <n v="1"/>
    <n v="253"/>
    <n v="257"/>
    <x v="168"/>
    <x v="2"/>
  </r>
  <r>
    <x v="13"/>
    <d v="2016-04-16T00:00:00"/>
    <n v="2"/>
    <n v="382"/>
    <n v="406"/>
    <x v="169"/>
    <x v="3"/>
  </r>
  <r>
    <x v="13"/>
    <d v="2016-04-17T00:00:00"/>
    <n v="1"/>
    <n v="591"/>
    <n v="612"/>
    <x v="170"/>
    <x v="4"/>
  </r>
  <r>
    <x v="13"/>
    <d v="2016-04-18T00:00:00"/>
    <n v="1"/>
    <n v="293"/>
    <n v="312"/>
    <x v="171"/>
    <x v="6"/>
  </r>
  <r>
    <x v="13"/>
    <d v="2016-04-19T00:00:00"/>
    <n v="1"/>
    <n v="457"/>
    <n v="487"/>
    <x v="159"/>
    <x v="0"/>
  </r>
  <r>
    <x v="13"/>
    <d v="2016-04-20T00:00:00"/>
    <n v="1"/>
    <n v="454"/>
    <n v="468"/>
    <x v="172"/>
    <x v="1"/>
  </r>
  <r>
    <x v="13"/>
    <d v="2016-04-21T00:00:00"/>
    <n v="1"/>
    <n v="425"/>
    <n v="434"/>
    <x v="166"/>
    <x v="5"/>
  </r>
  <r>
    <x v="13"/>
    <d v="2016-04-23T00:00:00"/>
    <n v="1"/>
    <n v="465"/>
    <n v="475"/>
    <x v="66"/>
    <x v="3"/>
  </r>
  <r>
    <x v="13"/>
    <d v="2016-04-24T00:00:00"/>
    <n v="1"/>
    <n v="480"/>
    <n v="506"/>
    <x v="173"/>
    <x v="4"/>
  </r>
  <r>
    <x v="13"/>
    <d v="2016-04-25T00:00:00"/>
    <n v="1"/>
    <n v="370"/>
    <n v="380"/>
    <x v="146"/>
    <x v="6"/>
  </r>
  <r>
    <x v="13"/>
    <d v="2016-04-26T00:00:00"/>
    <n v="1"/>
    <n v="421"/>
    <n v="429"/>
    <x v="130"/>
    <x v="0"/>
  </r>
  <r>
    <x v="13"/>
    <d v="2016-04-27T00:00:00"/>
    <n v="1"/>
    <n v="432"/>
    <n v="449"/>
    <x v="174"/>
    <x v="1"/>
  </r>
  <r>
    <x v="13"/>
    <d v="2016-04-28T00:00:00"/>
    <n v="1"/>
    <n v="442"/>
    <n v="461"/>
    <x v="70"/>
    <x v="5"/>
  </r>
  <r>
    <x v="13"/>
    <d v="2016-04-29T00:00:00"/>
    <n v="1"/>
    <n v="433"/>
    <n v="447"/>
    <x v="71"/>
    <x v="2"/>
  </r>
  <r>
    <x v="13"/>
    <d v="2016-04-30T00:00:00"/>
    <n v="1"/>
    <n v="479"/>
    <n v="501"/>
    <x v="175"/>
    <x v="3"/>
  </r>
  <r>
    <x v="13"/>
    <d v="2016-05-03T00:00:00"/>
    <n v="1"/>
    <n v="327"/>
    <n v="373"/>
    <x v="0"/>
    <x v="0"/>
  </r>
  <r>
    <x v="13"/>
    <d v="2016-05-04T00:00:00"/>
    <n v="1"/>
    <n v="412"/>
    <n v="434"/>
    <x v="2"/>
    <x v="1"/>
  </r>
  <r>
    <x v="13"/>
    <d v="2016-05-05T00:00:00"/>
    <n v="1"/>
    <n v="414"/>
    <n v="428"/>
    <x v="176"/>
    <x v="5"/>
  </r>
  <r>
    <x v="13"/>
    <d v="2016-05-06T00:00:00"/>
    <n v="1"/>
    <n v="404"/>
    <n v="449"/>
    <x v="14"/>
    <x v="2"/>
  </r>
  <r>
    <x v="13"/>
    <d v="2016-05-07T00:00:00"/>
    <n v="1"/>
    <n v="520"/>
    <n v="543"/>
    <x v="45"/>
    <x v="3"/>
  </r>
  <r>
    <x v="13"/>
    <d v="2016-05-09T00:00:00"/>
    <n v="1"/>
    <n v="435"/>
    <n v="458"/>
    <x v="177"/>
    <x v="6"/>
  </r>
  <r>
    <x v="13"/>
    <d v="2016-05-10T00:00:00"/>
    <n v="1"/>
    <n v="416"/>
    <n v="431"/>
    <x v="178"/>
    <x v="0"/>
  </r>
  <r>
    <x v="13"/>
    <d v="2016-05-11T00:00:00"/>
    <n v="1"/>
    <n v="354"/>
    <n v="366"/>
    <x v="143"/>
    <x v="1"/>
  </r>
  <r>
    <x v="13"/>
    <d v="2016-05-12T00:00:00"/>
    <n v="1"/>
    <n v="404"/>
    <n v="442"/>
    <x v="14"/>
    <x v="5"/>
  </r>
  <r>
    <x v="14"/>
    <d v="2016-04-12T00:00:00"/>
    <n v="1"/>
    <n v="441"/>
    <n v="464"/>
    <x v="147"/>
    <x v="0"/>
  </r>
  <r>
    <x v="14"/>
    <d v="2016-04-13T00:00:00"/>
    <n v="2"/>
    <n v="455"/>
    <n v="488"/>
    <x v="179"/>
    <x v="1"/>
  </r>
  <r>
    <x v="14"/>
    <d v="2016-04-14T00:00:00"/>
    <n v="1"/>
    <n v="357"/>
    <n v="418"/>
    <x v="58"/>
    <x v="5"/>
  </r>
  <r>
    <x v="14"/>
    <d v="2016-04-15T00:00:00"/>
    <n v="1"/>
    <n v="377"/>
    <n v="409"/>
    <x v="180"/>
    <x v="2"/>
  </r>
  <r>
    <x v="14"/>
    <d v="2016-04-16T00:00:00"/>
    <n v="2"/>
    <n v="651"/>
    <n v="686"/>
    <x v="181"/>
    <x v="3"/>
  </r>
  <r>
    <x v="14"/>
    <d v="2016-04-17T00:00:00"/>
    <n v="1"/>
    <n v="350"/>
    <n v="402"/>
    <x v="182"/>
    <x v="4"/>
  </r>
  <r>
    <x v="14"/>
    <d v="2016-04-18T00:00:00"/>
    <n v="2"/>
    <n v="520"/>
    <n v="541"/>
    <x v="45"/>
    <x v="6"/>
  </r>
  <r>
    <x v="14"/>
    <d v="2016-04-19T00:00:00"/>
    <n v="1"/>
    <n v="357"/>
    <n v="410"/>
    <x v="58"/>
    <x v="0"/>
  </r>
  <r>
    <x v="14"/>
    <d v="2016-04-20T00:00:00"/>
    <n v="1"/>
    <n v="658"/>
    <n v="678"/>
    <x v="183"/>
    <x v="1"/>
  </r>
  <r>
    <x v="14"/>
    <d v="2016-04-21T00:00:00"/>
    <n v="1"/>
    <n v="399"/>
    <n v="431"/>
    <x v="184"/>
    <x v="5"/>
  </r>
  <r>
    <x v="14"/>
    <d v="2016-04-22T00:00:00"/>
    <n v="1"/>
    <n v="322"/>
    <n v="353"/>
    <x v="103"/>
    <x v="2"/>
  </r>
  <r>
    <x v="14"/>
    <d v="2016-04-23T00:00:00"/>
    <n v="2"/>
    <n v="631"/>
    <n v="725"/>
    <x v="185"/>
    <x v="3"/>
  </r>
  <r>
    <x v="14"/>
    <d v="2016-04-24T00:00:00"/>
    <n v="2"/>
    <n v="553"/>
    <n v="640"/>
    <x v="186"/>
    <x v="4"/>
  </r>
  <r>
    <x v="14"/>
    <d v="2016-04-25T00:00:00"/>
    <n v="1"/>
    <n v="433"/>
    <n v="468"/>
    <x v="71"/>
    <x v="6"/>
  </r>
  <r>
    <x v="14"/>
    <d v="2016-04-26T00:00:00"/>
    <n v="1"/>
    <n v="412"/>
    <n v="453"/>
    <x v="2"/>
    <x v="0"/>
  </r>
  <r>
    <x v="14"/>
    <d v="2016-04-27T00:00:00"/>
    <n v="1"/>
    <n v="347"/>
    <n v="391"/>
    <x v="187"/>
    <x v="1"/>
  </r>
  <r>
    <x v="14"/>
    <d v="2016-04-28T00:00:00"/>
    <n v="1"/>
    <n v="421"/>
    <n v="457"/>
    <x v="130"/>
    <x v="5"/>
  </r>
  <r>
    <x v="14"/>
    <d v="2016-04-29T00:00:00"/>
    <n v="1"/>
    <n v="450"/>
    <n v="495"/>
    <x v="119"/>
    <x v="2"/>
  </r>
  <r>
    <x v="14"/>
    <d v="2016-04-30T00:00:00"/>
    <n v="2"/>
    <n v="775"/>
    <n v="843"/>
    <x v="188"/>
    <x v="3"/>
  </r>
  <r>
    <x v="14"/>
    <d v="2016-05-01T00:00:00"/>
    <n v="2"/>
    <n v="622"/>
    <n v="686"/>
    <x v="189"/>
    <x v="4"/>
  </r>
  <r>
    <x v="14"/>
    <d v="2016-05-02T00:00:00"/>
    <n v="1"/>
    <n v="409"/>
    <n v="471"/>
    <x v="136"/>
    <x v="6"/>
  </r>
  <r>
    <x v="14"/>
    <d v="2016-05-03T00:00:00"/>
    <n v="1"/>
    <n v="380"/>
    <n v="429"/>
    <x v="190"/>
    <x v="0"/>
  </r>
  <r>
    <x v="14"/>
    <d v="2016-05-04T00:00:00"/>
    <n v="1"/>
    <n v="447"/>
    <n v="470"/>
    <x v="191"/>
    <x v="1"/>
  </r>
  <r>
    <x v="14"/>
    <d v="2016-05-05T00:00:00"/>
    <n v="1"/>
    <n v="419"/>
    <n v="464"/>
    <x v="154"/>
    <x v="5"/>
  </r>
  <r>
    <x v="14"/>
    <d v="2016-05-06T00:00:00"/>
    <n v="1"/>
    <n v="400"/>
    <n v="434"/>
    <x v="167"/>
    <x v="2"/>
  </r>
  <r>
    <x v="14"/>
    <d v="2016-05-07T00:00:00"/>
    <n v="1"/>
    <n v="442"/>
    <n v="470"/>
    <x v="70"/>
    <x v="3"/>
  </r>
  <r>
    <x v="14"/>
    <d v="2016-05-08T00:00:00"/>
    <n v="1"/>
    <n v="568"/>
    <n v="608"/>
    <x v="192"/>
    <x v="4"/>
  </r>
  <r>
    <x v="14"/>
    <d v="2016-05-09T00:00:00"/>
    <n v="1"/>
    <n v="453"/>
    <n v="494"/>
    <x v="193"/>
    <x v="6"/>
  </r>
  <r>
    <x v="14"/>
    <d v="2016-05-10T00:00:00"/>
    <n v="1"/>
    <n v="418"/>
    <n v="443"/>
    <x v="194"/>
    <x v="0"/>
  </r>
  <r>
    <x v="14"/>
    <d v="2016-05-11T00:00:00"/>
    <n v="1"/>
    <n v="463"/>
    <n v="486"/>
    <x v="195"/>
    <x v="1"/>
  </r>
  <r>
    <x v="14"/>
    <d v="2016-05-12T00:00:00"/>
    <n v="1"/>
    <n v="438"/>
    <n v="475"/>
    <x v="196"/>
    <x v="5"/>
  </r>
  <r>
    <x v="15"/>
    <d v="2016-04-12T00:00:00"/>
    <n v="1"/>
    <n v="419"/>
    <n v="438"/>
    <x v="154"/>
    <x v="0"/>
  </r>
  <r>
    <x v="15"/>
    <d v="2016-04-13T00:00:00"/>
    <n v="1"/>
    <n v="432"/>
    <n v="458"/>
    <x v="174"/>
    <x v="1"/>
  </r>
  <r>
    <x v="15"/>
    <d v="2016-04-14T00:00:00"/>
    <n v="1"/>
    <n v="477"/>
    <n v="497"/>
    <x v="44"/>
    <x v="5"/>
  </r>
  <r>
    <x v="15"/>
    <d v="2016-04-15T00:00:00"/>
    <n v="1"/>
    <n v="392"/>
    <n v="413"/>
    <x v="197"/>
    <x v="2"/>
  </r>
  <r>
    <x v="15"/>
    <d v="2016-04-16T00:00:00"/>
    <n v="1"/>
    <n v="406"/>
    <n v="445"/>
    <x v="198"/>
    <x v="3"/>
  </r>
  <r>
    <x v="15"/>
    <d v="2016-04-17T00:00:00"/>
    <n v="1"/>
    <n v="549"/>
    <n v="583"/>
    <x v="199"/>
    <x v="4"/>
  </r>
  <r>
    <x v="15"/>
    <d v="2016-04-18T00:00:00"/>
    <n v="1"/>
    <n v="527"/>
    <n v="553"/>
    <x v="53"/>
    <x v="6"/>
  </r>
  <r>
    <x v="15"/>
    <d v="2016-04-19T00:00:00"/>
    <n v="1"/>
    <n v="449"/>
    <n v="465"/>
    <x v="200"/>
    <x v="0"/>
  </r>
  <r>
    <x v="15"/>
    <d v="2016-04-20T00:00:00"/>
    <n v="1"/>
    <n v="447"/>
    <n v="480"/>
    <x v="191"/>
    <x v="1"/>
  </r>
  <r>
    <x v="15"/>
    <d v="2016-04-21T00:00:00"/>
    <n v="1"/>
    <n v="414"/>
    <n v="437"/>
    <x v="176"/>
    <x v="5"/>
  </r>
  <r>
    <x v="15"/>
    <d v="2016-04-22T00:00:00"/>
    <n v="1"/>
    <n v="338"/>
    <n v="366"/>
    <x v="21"/>
    <x v="2"/>
  </r>
  <r>
    <x v="15"/>
    <d v="2016-04-23T00:00:00"/>
    <n v="1"/>
    <n v="384"/>
    <n v="402"/>
    <x v="1"/>
    <x v="3"/>
  </r>
  <r>
    <x v="15"/>
    <d v="2016-04-24T00:00:00"/>
    <n v="1"/>
    <n v="543"/>
    <n v="615"/>
    <x v="201"/>
    <x v="4"/>
  </r>
  <r>
    <x v="15"/>
    <d v="2016-04-25T00:00:00"/>
    <n v="1"/>
    <n v="421"/>
    <n v="461"/>
    <x v="130"/>
    <x v="6"/>
  </r>
  <r>
    <x v="15"/>
    <d v="2016-04-26T00:00:00"/>
    <n v="1"/>
    <n v="354"/>
    <n v="377"/>
    <x v="143"/>
    <x v="0"/>
  </r>
  <r>
    <x v="15"/>
    <d v="2016-04-27T00:00:00"/>
    <n v="1"/>
    <n v="424"/>
    <n v="452"/>
    <x v="79"/>
    <x v="1"/>
  </r>
  <r>
    <x v="15"/>
    <d v="2016-04-28T00:00:00"/>
    <n v="1"/>
    <n v="361"/>
    <n v="372"/>
    <x v="8"/>
    <x v="5"/>
  </r>
  <r>
    <x v="15"/>
    <d v="2016-04-29T00:00:00"/>
    <n v="1"/>
    <n v="459"/>
    <n v="485"/>
    <x v="202"/>
    <x v="2"/>
  </r>
  <r>
    <x v="15"/>
    <d v="2016-04-30T00:00:00"/>
    <n v="1"/>
    <n v="412"/>
    <n v="433"/>
    <x v="2"/>
    <x v="3"/>
  </r>
  <r>
    <x v="15"/>
    <d v="2016-05-01T00:00:00"/>
    <n v="1"/>
    <n v="379"/>
    <n v="398"/>
    <x v="203"/>
    <x v="4"/>
  </r>
  <r>
    <x v="15"/>
    <d v="2016-05-02T00:00:00"/>
    <n v="2"/>
    <n v="525"/>
    <n v="553"/>
    <x v="204"/>
    <x v="6"/>
  </r>
  <r>
    <x v="15"/>
    <d v="2016-05-03T00:00:00"/>
    <n v="1"/>
    <n v="508"/>
    <n v="543"/>
    <x v="49"/>
    <x v="0"/>
  </r>
  <r>
    <x v="15"/>
    <d v="2016-05-04T00:00:00"/>
    <n v="1"/>
    <n v="603"/>
    <n v="634"/>
    <x v="205"/>
    <x v="1"/>
  </r>
  <r>
    <x v="15"/>
    <d v="2016-05-05T00:00:00"/>
    <n v="1"/>
    <n v="74"/>
    <n v="78"/>
    <x v="206"/>
    <x v="5"/>
  </r>
  <r>
    <x v="15"/>
    <d v="2016-05-10T00:00:00"/>
    <n v="1"/>
    <n v="504"/>
    <n v="562"/>
    <x v="207"/>
    <x v="0"/>
  </r>
  <r>
    <x v="15"/>
    <d v="2016-05-11T00:00:00"/>
    <n v="1"/>
    <n v="431"/>
    <n v="476"/>
    <x v="208"/>
    <x v="1"/>
  </r>
  <r>
    <x v="16"/>
    <d v="2016-04-16T00:00:00"/>
    <n v="1"/>
    <n v="380"/>
    <n v="398"/>
    <x v="190"/>
    <x v="3"/>
  </r>
  <r>
    <x v="16"/>
    <d v="2016-04-17T00:00:00"/>
    <n v="2"/>
    <n v="336"/>
    <n v="350"/>
    <x v="209"/>
    <x v="4"/>
  </r>
  <r>
    <x v="16"/>
    <d v="2016-04-18T00:00:00"/>
    <n v="2"/>
    <n v="493"/>
    <n v="510"/>
    <x v="210"/>
    <x v="6"/>
  </r>
  <r>
    <x v="16"/>
    <d v="2016-04-19T00:00:00"/>
    <n v="1"/>
    <n v="465"/>
    <n v="492"/>
    <x v="66"/>
    <x v="0"/>
  </r>
  <r>
    <x v="16"/>
    <d v="2016-04-20T00:00:00"/>
    <n v="1"/>
    <n v="474"/>
    <n v="502"/>
    <x v="118"/>
    <x v="1"/>
  </r>
  <r>
    <x v="16"/>
    <d v="2016-04-21T00:00:00"/>
    <n v="1"/>
    <n v="508"/>
    <n v="550"/>
    <x v="49"/>
    <x v="5"/>
  </r>
  <r>
    <x v="16"/>
    <d v="2016-04-22T00:00:00"/>
    <n v="1"/>
    <n v="480"/>
    <n v="546"/>
    <x v="173"/>
    <x v="2"/>
  </r>
  <r>
    <x v="16"/>
    <d v="2016-04-23T00:00:00"/>
    <n v="1"/>
    <n v="492"/>
    <n v="539"/>
    <x v="211"/>
    <x v="3"/>
  </r>
  <r>
    <x v="16"/>
    <d v="2016-04-24T00:00:00"/>
    <n v="1"/>
    <n v="353"/>
    <n v="367"/>
    <x v="153"/>
    <x v="4"/>
  </r>
  <r>
    <x v="16"/>
    <d v="2016-04-27T00:00:00"/>
    <n v="1"/>
    <n v="542"/>
    <n v="557"/>
    <x v="212"/>
    <x v="1"/>
  </r>
  <r>
    <x v="16"/>
    <d v="2016-04-28T00:00:00"/>
    <n v="1"/>
    <n v="393"/>
    <n v="416"/>
    <x v="213"/>
    <x v="5"/>
  </r>
  <r>
    <x v="16"/>
    <d v="2016-04-29T00:00:00"/>
    <n v="1"/>
    <n v="600"/>
    <n v="636"/>
    <x v="214"/>
    <x v="2"/>
  </r>
  <r>
    <x v="16"/>
    <d v="2016-05-01T00:00:00"/>
    <n v="1"/>
    <n v="507"/>
    <n v="575"/>
    <x v="120"/>
    <x v="4"/>
  </r>
  <r>
    <x v="16"/>
    <d v="2016-05-05T00:00:00"/>
    <n v="1"/>
    <n v="392"/>
    <n v="415"/>
    <x v="197"/>
    <x v="5"/>
  </r>
  <r>
    <x v="16"/>
    <d v="2016-05-06T00:00:00"/>
    <n v="2"/>
    <n v="658"/>
    <n v="698"/>
    <x v="183"/>
    <x v="2"/>
  </r>
  <r>
    <x v="16"/>
    <d v="2016-05-07T00:00:00"/>
    <n v="2"/>
    <n v="498"/>
    <n v="507"/>
    <x v="42"/>
    <x v="3"/>
  </r>
  <r>
    <x v="16"/>
    <d v="2016-05-08T00:00:00"/>
    <n v="1"/>
    <n v="555"/>
    <n v="603"/>
    <x v="47"/>
    <x v="4"/>
  </r>
  <r>
    <x v="16"/>
    <d v="2016-05-09T00:00:00"/>
    <n v="1"/>
    <n v="492"/>
    <n v="522"/>
    <x v="211"/>
    <x v="6"/>
  </r>
  <r>
    <x v="17"/>
    <d v="2016-04-13T00:00:00"/>
    <n v="1"/>
    <n v="235"/>
    <n v="260"/>
    <x v="86"/>
    <x v="1"/>
  </r>
  <r>
    <x v="17"/>
    <d v="2016-04-14T00:00:00"/>
    <n v="1"/>
    <n v="423"/>
    <n v="441"/>
    <x v="215"/>
    <x v="5"/>
  </r>
  <r>
    <x v="17"/>
    <d v="2016-04-15T00:00:00"/>
    <n v="1"/>
    <n v="391"/>
    <n v="406"/>
    <x v="216"/>
    <x v="2"/>
  </r>
  <r>
    <x v="18"/>
    <d v="2016-04-12T00:00:00"/>
    <n v="1"/>
    <n v="366"/>
    <n v="387"/>
    <x v="12"/>
    <x v="0"/>
  </r>
  <r>
    <x v="18"/>
    <d v="2016-04-13T00:00:00"/>
    <n v="3"/>
    <n v="630"/>
    <n v="679"/>
    <x v="217"/>
    <x v="1"/>
  </r>
  <r>
    <x v="18"/>
    <d v="2016-04-14T00:00:00"/>
    <n v="2"/>
    <n v="508"/>
    <n v="535"/>
    <x v="49"/>
    <x v="5"/>
  </r>
  <r>
    <x v="18"/>
    <d v="2016-04-15T00:00:00"/>
    <n v="1"/>
    <n v="370"/>
    <n v="386"/>
    <x v="146"/>
    <x v="2"/>
  </r>
  <r>
    <x v="18"/>
    <d v="2016-04-16T00:00:00"/>
    <n v="1"/>
    <n v="357"/>
    <n v="366"/>
    <x v="58"/>
    <x v="3"/>
  </r>
  <r>
    <x v="18"/>
    <d v="2016-04-17T00:00:00"/>
    <n v="1"/>
    <n v="427"/>
    <n v="446"/>
    <x v="218"/>
    <x v="4"/>
  </r>
  <r>
    <x v="18"/>
    <d v="2016-04-18T00:00:00"/>
    <n v="1"/>
    <n v="442"/>
    <n v="458"/>
    <x v="70"/>
    <x v="6"/>
  </r>
  <r>
    <x v="18"/>
    <d v="2016-04-19T00:00:00"/>
    <n v="1"/>
    <n v="476"/>
    <n v="535"/>
    <x v="219"/>
    <x v="0"/>
  </r>
  <r>
    <x v="18"/>
    <d v="2016-04-20T00:00:00"/>
    <n v="1"/>
    <n v="418"/>
    <n v="424"/>
    <x v="194"/>
    <x v="1"/>
  </r>
  <r>
    <x v="18"/>
    <d v="2016-04-21T00:00:00"/>
    <n v="1"/>
    <n v="451"/>
    <n v="457"/>
    <x v="220"/>
    <x v="5"/>
  </r>
  <r>
    <x v="18"/>
    <d v="2016-04-22T00:00:00"/>
    <n v="1"/>
    <n v="425"/>
    <n v="435"/>
    <x v="166"/>
    <x v="2"/>
  </r>
  <r>
    <x v="18"/>
    <d v="2016-04-23T00:00:00"/>
    <n v="1"/>
    <n v="528"/>
    <n v="546"/>
    <x v="221"/>
    <x v="3"/>
  </r>
  <r>
    <x v="18"/>
    <d v="2016-04-24T00:00:00"/>
    <n v="1"/>
    <n v="511"/>
    <n v="514"/>
    <x v="54"/>
    <x v="4"/>
  </r>
  <r>
    <x v="18"/>
    <d v="2016-04-25T00:00:00"/>
    <n v="1"/>
    <n v="400"/>
    <n v="415"/>
    <x v="167"/>
    <x v="6"/>
  </r>
  <r>
    <x v="18"/>
    <d v="2016-04-26T00:00:00"/>
    <n v="1"/>
    <n v="441"/>
    <n v="446"/>
    <x v="147"/>
    <x v="0"/>
  </r>
  <r>
    <x v="18"/>
    <d v="2016-04-27T00:00:00"/>
    <n v="1"/>
    <n v="455"/>
    <n v="467"/>
    <x v="179"/>
    <x v="1"/>
  </r>
  <r>
    <x v="18"/>
    <d v="2016-04-28T00:00:00"/>
    <n v="1"/>
    <n v="440"/>
    <n v="453"/>
    <x v="222"/>
    <x v="5"/>
  </r>
  <r>
    <x v="18"/>
    <d v="2016-04-29T00:00:00"/>
    <n v="1"/>
    <n v="433"/>
    <n v="447"/>
    <x v="71"/>
    <x v="2"/>
  </r>
  <r>
    <x v="18"/>
    <d v="2016-04-30T00:00:00"/>
    <n v="1"/>
    <n v="422"/>
    <n v="424"/>
    <x v="223"/>
    <x v="3"/>
  </r>
  <r>
    <x v="18"/>
    <d v="2016-05-01T00:00:00"/>
    <n v="1"/>
    <n v="411"/>
    <n v="426"/>
    <x v="75"/>
    <x v="4"/>
  </r>
  <r>
    <x v="18"/>
    <d v="2016-05-02T00:00:00"/>
    <n v="1"/>
    <n v="466"/>
    <n v="482"/>
    <x v="224"/>
    <x v="6"/>
  </r>
  <r>
    <x v="18"/>
    <d v="2016-05-03T00:00:00"/>
    <n v="1"/>
    <n v="394"/>
    <n v="418"/>
    <x v="225"/>
    <x v="0"/>
  </r>
  <r>
    <x v="18"/>
    <d v="2016-05-04T00:00:00"/>
    <n v="1"/>
    <n v="442"/>
    <n v="455"/>
    <x v="70"/>
    <x v="1"/>
  </r>
  <r>
    <x v="18"/>
    <d v="2016-05-05T00:00:00"/>
    <n v="1"/>
    <n v="467"/>
    <n v="491"/>
    <x v="61"/>
    <x v="5"/>
  </r>
  <r>
    <x v="18"/>
    <d v="2016-05-06T00:00:00"/>
    <n v="1"/>
    <n v="443"/>
    <n v="462"/>
    <x v="226"/>
    <x v="2"/>
  </r>
  <r>
    <x v="18"/>
    <d v="2016-05-07T00:00:00"/>
    <n v="1"/>
    <n v="298"/>
    <n v="334"/>
    <x v="227"/>
    <x v="3"/>
  </r>
  <r>
    <x v="18"/>
    <d v="2016-05-08T00:00:00"/>
    <n v="1"/>
    <n v="541"/>
    <n v="569"/>
    <x v="57"/>
    <x v="4"/>
  </r>
  <r>
    <x v="18"/>
    <d v="2016-05-09T00:00:00"/>
    <n v="1"/>
    <n v="489"/>
    <n v="497"/>
    <x v="228"/>
    <x v="6"/>
  </r>
  <r>
    <x v="18"/>
    <d v="2016-05-10T00:00:00"/>
    <n v="1"/>
    <n v="469"/>
    <n v="481"/>
    <x v="144"/>
    <x v="0"/>
  </r>
  <r>
    <x v="18"/>
    <d v="2016-05-11T00:00:00"/>
    <n v="1"/>
    <n v="452"/>
    <n v="480"/>
    <x v="63"/>
    <x v="1"/>
  </r>
  <r>
    <x v="18"/>
    <d v="2016-05-12T00:00:00"/>
    <n v="1"/>
    <n v="516"/>
    <n v="535"/>
    <x v="229"/>
    <x v="5"/>
  </r>
  <r>
    <x v="19"/>
    <d v="2016-04-16T00:00:00"/>
    <n v="1"/>
    <n v="79"/>
    <n v="82"/>
    <x v="230"/>
    <x v="3"/>
  </r>
  <r>
    <x v="19"/>
    <d v="2016-05-01T00:00:00"/>
    <n v="1"/>
    <n v="58"/>
    <n v="61"/>
    <x v="231"/>
    <x v="4"/>
  </r>
  <r>
    <x v="20"/>
    <d v="2016-04-12T00:00:00"/>
    <n v="1"/>
    <n v="514"/>
    <n v="525"/>
    <x v="232"/>
    <x v="0"/>
  </r>
  <r>
    <x v="20"/>
    <d v="2016-04-13T00:00:00"/>
    <n v="1"/>
    <n v="451"/>
    <n v="465"/>
    <x v="220"/>
    <x v="1"/>
  </r>
  <r>
    <x v="20"/>
    <d v="2016-04-14T00:00:00"/>
    <n v="1"/>
    <n v="472"/>
    <n v="476"/>
    <x v="141"/>
    <x v="5"/>
  </r>
  <r>
    <x v="20"/>
    <d v="2016-04-15T00:00:00"/>
    <n v="1"/>
    <n v="377"/>
    <n v="386"/>
    <x v="180"/>
    <x v="2"/>
  </r>
  <r>
    <x v="20"/>
    <d v="2016-04-19T00:00:00"/>
    <n v="1"/>
    <n v="472"/>
    <n v="483"/>
    <x v="141"/>
    <x v="0"/>
  </r>
  <r>
    <x v="20"/>
    <d v="2016-04-20T00:00:00"/>
    <n v="1"/>
    <n v="492"/>
    <n v="502"/>
    <x v="211"/>
    <x v="1"/>
  </r>
  <r>
    <x v="20"/>
    <d v="2016-04-21T00:00:00"/>
    <n v="1"/>
    <n v="390"/>
    <n v="411"/>
    <x v="139"/>
    <x v="5"/>
  </r>
  <r>
    <x v="20"/>
    <d v="2016-04-22T00:00:00"/>
    <n v="1"/>
    <n v="428"/>
    <n v="448"/>
    <x v="135"/>
    <x v="2"/>
  </r>
  <r>
    <x v="20"/>
    <d v="2016-04-24T00:00:00"/>
    <n v="1"/>
    <n v="681"/>
    <n v="704"/>
    <x v="233"/>
    <x v="4"/>
  </r>
  <r>
    <x v="20"/>
    <d v="2016-04-25T00:00:00"/>
    <n v="1"/>
    <n v="446"/>
    <n v="447"/>
    <x v="234"/>
    <x v="6"/>
  </r>
  <r>
    <x v="20"/>
    <d v="2016-04-26T00:00:00"/>
    <n v="1"/>
    <n v="485"/>
    <n v="500"/>
    <x v="235"/>
    <x v="0"/>
  </r>
  <r>
    <x v="20"/>
    <d v="2016-04-27T00:00:00"/>
    <n v="1"/>
    <n v="469"/>
    <n v="479"/>
    <x v="144"/>
    <x v="1"/>
  </r>
  <r>
    <x v="20"/>
    <d v="2016-04-28T00:00:00"/>
    <n v="1"/>
    <n v="354"/>
    <n v="367"/>
    <x v="143"/>
    <x v="5"/>
  </r>
  <r>
    <x v="20"/>
    <d v="2016-04-30T00:00:00"/>
    <n v="1"/>
    <n v="485"/>
    <n v="489"/>
    <x v="235"/>
    <x v="3"/>
  </r>
  <r>
    <x v="20"/>
    <d v="2016-05-01T00:00:00"/>
    <n v="1"/>
    <n v="388"/>
    <n v="407"/>
    <x v="151"/>
    <x v="4"/>
  </r>
  <r>
    <x v="20"/>
    <d v="2016-05-02T00:00:00"/>
    <n v="1"/>
    <n v="440"/>
    <n v="459"/>
    <x v="222"/>
    <x v="6"/>
  </r>
  <r>
    <x v="20"/>
    <d v="2016-05-03T00:00:00"/>
    <n v="1"/>
    <n v="456"/>
    <n v="461"/>
    <x v="59"/>
    <x v="0"/>
  </r>
  <r>
    <x v="20"/>
    <d v="2016-05-04T00:00:00"/>
    <n v="1"/>
    <n v="420"/>
    <n v="436"/>
    <x v="236"/>
    <x v="1"/>
  </r>
  <r>
    <x v="20"/>
    <d v="2016-05-06T00:00:00"/>
    <n v="1"/>
    <n v="322"/>
    <n v="333"/>
    <x v="103"/>
    <x v="2"/>
  </r>
  <r>
    <x v="20"/>
    <d v="2016-05-07T00:00:00"/>
    <n v="1"/>
    <n v="530"/>
    <n v="548"/>
    <x v="237"/>
    <x v="3"/>
  </r>
  <r>
    <x v="20"/>
    <d v="2016-05-08T00:00:00"/>
    <n v="1"/>
    <n v="481"/>
    <n v="510"/>
    <x v="238"/>
    <x v="4"/>
  </r>
  <r>
    <x v="20"/>
    <d v="2016-05-09T00:00:00"/>
    <n v="1"/>
    <n v="427"/>
    <n v="438"/>
    <x v="218"/>
    <x v="6"/>
  </r>
  <r>
    <x v="20"/>
    <d v="2016-05-11T00:00:00"/>
    <n v="1"/>
    <n v="451"/>
    <n v="463"/>
    <x v="220"/>
    <x v="1"/>
  </r>
  <r>
    <x v="20"/>
    <d v="2016-05-12T00:00:00"/>
    <n v="1"/>
    <n v="444"/>
    <n v="457"/>
    <x v="239"/>
    <x v="5"/>
  </r>
  <r>
    <x v="21"/>
    <d v="2016-04-20T00:00:00"/>
    <n v="1"/>
    <n v="486"/>
    <n v="493"/>
    <x v="240"/>
    <x v="1"/>
  </r>
  <r>
    <x v="21"/>
    <d v="2016-04-23T00:00:00"/>
    <n v="1"/>
    <n v="331"/>
    <n v="337"/>
    <x v="19"/>
    <x v="3"/>
  </r>
  <r>
    <x v="21"/>
    <d v="2016-05-07T00:00:00"/>
    <n v="1"/>
    <n v="74"/>
    <n v="75"/>
    <x v="206"/>
    <x v="3"/>
  </r>
  <r>
    <x v="22"/>
    <d v="2016-04-12T00:00:00"/>
    <n v="1"/>
    <n v="338"/>
    <n v="356"/>
    <x v="21"/>
    <x v="0"/>
  </r>
  <r>
    <x v="22"/>
    <d v="2016-04-13T00:00:00"/>
    <n v="2"/>
    <n v="447"/>
    <n v="487"/>
    <x v="191"/>
    <x v="1"/>
  </r>
  <r>
    <x v="22"/>
    <d v="2016-04-14T00:00:00"/>
    <n v="1"/>
    <n v="424"/>
    <n v="455"/>
    <x v="79"/>
    <x v="5"/>
  </r>
  <r>
    <x v="22"/>
    <d v="2016-04-15T00:00:00"/>
    <n v="1"/>
    <n v="513"/>
    <n v="533"/>
    <x v="50"/>
    <x v="2"/>
  </r>
  <r>
    <x v="22"/>
    <d v="2016-04-16T00:00:00"/>
    <n v="2"/>
    <n v="611"/>
    <n v="689"/>
    <x v="241"/>
    <x v="3"/>
  </r>
  <r>
    <x v="22"/>
    <d v="2016-04-17T00:00:00"/>
    <n v="2"/>
    <n v="525"/>
    <n v="591"/>
    <x v="204"/>
    <x v="4"/>
  </r>
  <r>
    <x v="22"/>
    <d v="2016-04-18T00:00:00"/>
    <n v="1"/>
    <n v="398"/>
    <n v="451"/>
    <x v="32"/>
    <x v="6"/>
  </r>
  <r>
    <x v="22"/>
    <d v="2016-04-19T00:00:00"/>
    <n v="1"/>
    <n v="387"/>
    <n v="421"/>
    <x v="242"/>
    <x v="0"/>
  </r>
  <r>
    <x v="22"/>
    <d v="2016-04-20T00:00:00"/>
    <n v="1"/>
    <n v="381"/>
    <n v="409"/>
    <x v="81"/>
    <x v="1"/>
  </r>
  <r>
    <x v="22"/>
    <d v="2016-04-21T00:00:00"/>
    <n v="1"/>
    <n v="396"/>
    <n v="417"/>
    <x v="243"/>
    <x v="5"/>
  </r>
  <r>
    <x v="22"/>
    <d v="2016-04-22T00:00:00"/>
    <n v="1"/>
    <n v="441"/>
    <n v="469"/>
    <x v="147"/>
    <x v="2"/>
  </r>
  <r>
    <x v="22"/>
    <d v="2016-04-23T00:00:00"/>
    <n v="1"/>
    <n v="565"/>
    <n v="591"/>
    <x v="244"/>
    <x v="3"/>
  </r>
  <r>
    <x v="22"/>
    <d v="2016-04-24T00:00:00"/>
    <n v="1"/>
    <n v="458"/>
    <n v="492"/>
    <x v="245"/>
    <x v="4"/>
  </r>
  <r>
    <x v="22"/>
    <d v="2016-04-25T00:00:00"/>
    <n v="1"/>
    <n v="388"/>
    <n v="402"/>
    <x v="151"/>
    <x v="6"/>
  </r>
  <r>
    <x v="22"/>
    <d v="2016-04-26T00:00:00"/>
    <n v="1"/>
    <n v="550"/>
    <n v="584"/>
    <x v="246"/>
    <x v="0"/>
  </r>
  <r>
    <x v="22"/>
    <d v="2016-04-27T00:00:00"/>
    <n v="1"/>
    <n v="531"/>
    <n v="600"/>
    <x v="37"/>
    <x v="1"/>
  </r>
  <r>
    <x v="22"/>
    <d v="2016-04-28T00:00:00"/>
    <n v="1"/>
    <n v="506"/>
    <n v="556"/>
    <x v="48"/>
    <x v="5"/>
  </r>
  <r>
    <x v="22"/>
    <d v="2016-04-29T00:00:00"/>
    <n v="1"/>
    <n v="527"/>
    <n v="562"/>
    <x v="53"/>
    <x v="2"/>
  </r>
  <r>
    <x v="22"/>
    <d v="2016-04-30T00:00:00"/>
    <n v="1"/>
    <n v="468"/>
    <n v="555"/>
    <x v="56"/>
    <x v="3"/>
  </r>
  <r>
    <x v="22"/>
    <d v="2016-05-01T00:00:00"/>
    <n v="1"/>
    <n v="475"/>
    <n v="539"/>
    <x v="33"/>
    <x v="4"/>
  </r>
  <r>
    <x v="22"/>
    <d v="2016-05-02T00:00:00"/>
    <n v="1"/>
    <n v="351"/>
    <n v="385"/>
    <x v="247"/>
    <x v="6"/>
  </r>
  <r>
    <x v="22"/>
    <d v="2016-05-03T00:00:00"/>
    <n v="1"/>
    <n v="405"/>
    <n v="429"/>
    <x v="68"/>
    <x v="0"/>
  </r>
  <r>
    <x v="22"/>
    <d v="2016-05-04T00:00:00"/>
    <n v="1"/>
    <n v="441"/>
    <n v="477"/>
    <x v="147"/>
    <x v="1"/>
  </r>
  <r>
    <x v="22"/>
    <d v="2016-05-05T00:00:00"/>
    <n v="1"/>
    <n v="381"/>
    <n v="417"/>
    <x v="81"/>
    <x v="5"/>
  </r>
  <r>
    <x v="22"/>
    <d v="2016-05-06T00:00:00"/>
    <n v="1"/>
    <n v="323"/>
    <n v="355"/>
    <x v="98"/>
    <x v="2"/>
  </r>
  <r>
    <x v="22"/>
    <d v="2016-05-07T00:00:00"/>
    <n v="2"/>
    <n v="459"/>
    <n v="513"/>
    <x v="202"/>
    <x v="3"/>
  </r>
  <r>
    <x v="22"/>
    <d v="2016-05-08T00:00:00"/>
    <n v="1"/>
    <n v="545"/>
    <n v="606"/>
    <x v="38"/>
    <x v="4"/>
  </r>
  <r>
    <x v="22"/>
    <d v="2016-05-09T00:00:00"/>
    <n v="1"/>
    <n v="359"/>
    <n v="399"/>
    <x v="248"/>
    <x v="6"/>
  </r>
  <r>
    <x v="22"/>
    <d v="2016-05-10T00:00:00"/>
    <n v="1"/>
    <n v="342"/>
    <n v="391"/>
    <x v="249"/>
    <x v="0"/>
  </r>
  <r>
    <x v="22"/>
    <d v="2016-05-11T00:00:00"/>
    <n v="1"/>
    <n v="368"/>
    <n v="387"/>
    <x v="138"/>
    <x v="1"/>
  </r>
  <r>
    <x v="22"/>
    <d v="2016-05-12T00:00:00"/>
    <n v="1"/>
    <n v="496"/>
    <n v="546"/>
    <x v="250"/>
    <x v="5"/>
  </r>
  <r>
    <x v="23"/>
    <d v="2016-04-12T00:00:00"/>
    <n v="1"/>
    <n v="458"/>
    <n v="493"/>
    <x v="245"/>
    <x v="0"/>
  </r>
  <r>
    <x v="23"/>
    <d v="2016-04-13T00:00:00"/>
    <n v="1"/>
    <n v="531"/>
    <n v="552"/>
    <x v="37"/>
    <x v="1"/>
  </r>
  <r>
    <x v="23"/>
    <d v="2016-04-14T00:00:00"/>
    <n v="1"/>
    <n v="486"/>
    <n v="503"/>
    <x v="240"/>
    <x v="5"/>
  </r>
  <r>
    <x v="23"/>
    <d v="2016-04-15T00:00:00"/>
    <n v="1"/>
    <n v="363"/>
    <n v="377"/>
    <x v="251"/>
    <x v="2"/>
  </r>
  <r>
    <x v="23"/>
    <d v="2016-04-20T00:00:00"/>
    <n v="1"/>
    <n v="528"/>
    <n v="547"/>
    <x v="221"/>
    <x v="1"/>
  </r>
  <r>
    <x v="23"/>
    <d v="2016-04-22T00:00:00"/>
    <n v="1"/>
    <n v="391"/>
    <n v="407"/>
    <x v="216"/>
    <x v="2"/>
  </r>
  <r>
    <x v="23"/>
    <d v="2016-04-23T00:00:00"/>
    <n v="1"/>
    <n v="339"/>
    <n v="360"/>
    <x v="252"/>
    <x v="3"/>
  </r>
  <r>
    <x v="23"/>
    <d v="2016-04-27T00:00:00"/>
    <n v="1"/>
    <n v="423"/>
    <n v="428"/>
    <x v="215"/>
    <x v="1"/>
  </r>
  <r>
    <x v="23"/>
    <d v="2016-04-28T00:00:00"/>
    <n v="1"/>
    <n v="402"/>
    <n v="416"/>
    <x v="253"/>
    <x v="5"/>
  </r>
  <r>
    <x v="23"/>
    <d v="2016-04-29T00:00:00"/>
    <n v="1"/>
    <n v="398"/>
    <n v="406"/>
    <x v="32"/>
    <x v="2"/>
  </r>
  <r>
    <x v="23"/>
    <d v="2016-04-30T00:00:00"/>
    <n v="1"/>
    <n v="343"/>
    <n v="360"/>
    <x v="254"/>
    <x v="3"/>
  </r>
  <r>
    <x v="23"/>
    <d v="2016-05-01T00:00:00"/>
    <n v="1"/>
    <n v="503"/>
    <n v="527"/>
    <x v="36"/>
    <x v="4"/>
  </r>
  <r>
    <x v="23"/>
    <d v="2016-05-02T00:00:00"/>
    <n v="1"/>
    <n v="415"/>
    <n v="423"/>
    <x v="255"/>
    <x v="6"/>
  </r>
  <r>
    <x v="23"/>
    <d v="2016-05-03T00:00:00"/>
    <n v="1"/>
    <n v="516"/>
    <n v="545"/>
    <x v="229"/>
    <x v="0"/>
  </r>
  <r>
    <x v="23"/>
    <d v="2016-05-04T00:00:00"/>
    <n v="1"/>
    <n v="439"/>
    <n v="463"/>
    <x v="134"/>
    <x v="1"/>
  </r>
  <r>
    <x v="24"/>
    <m/>
    <m/>
    <m/>
    <m/>
    <x v="256"/>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n v="1503960366"/>
    <x v="0"/>
    <n v="1"/>
    <n v="327"/>
    <n v="346"/>
    <n v="5.45"/>
    <x v="0"/>
    <n v="0.94508670520231219"/>
  </r>
  <r>
    <n v="1503960366"/>
    <x v="1"/>
    <n v="2"/>
    <n v="384"/>
    <n v="407"/>
    <n v="6.4"/>
    <x v="1"/>
    <n v="0.94348894348894352"/>
  </r>
  <r>
    <n v="1503960366"/>
    <x v="2"/>
    <n v="1"/>
    <n v="412"/>
    <n v="442"/>
    <n v="6.8666666666666663"/>
    <x v="2"/>
    <n v="0.9321266968325792"/>
  </r>
  <r>
    <n v="1503960366"/>
    <x v="3"/>
    <n v="2"/>
    <n v="340"/>
    <n v="367"/>
    <n v="5.666666666666667"/>
    <x v="3"/>
    <n v="0.92643051771117169"/>
  </r>
  <r>
    <n v="1503960366"/>
    <x v="4"/>
    <n v="1"/>
    <n v="700"/>
    <n v="712"/>
    <n v="11.666666666666666"/>
    <x v="4"/>
    <n v="0.9831460674157303"/>
  </r>
  <r>
    <n v="1503960366"/>
    <x v="5"/>
    <n v="1"/>
    <n v="304"/>
    <n v="320"/>
    <n v="5.0666666666666664"/>
    <x v="0"/>
    <n v="0.95"/>
  </r>
  <r>
    <n v="1503960366"/>
    <x v="6"/>
    <n v="1"/>
    <n v="360"/>
    <n v="377"/>
    <n v="6"/>
    <x v="1"/>
    <n v="0.95490716180371349"/>
  </r>
  <r>
    <n v="1503960366"/>
    <x v="7"/>
    <n v="1"/>
    <n v="325"/>
    <n v="364"/>
    <n v="5.416666666666667"/>
    <x v="5"/>
    <n v="0.8928571428571429"/>
  </r>
  <r>
    <n v="1503960366"/>
    <x v="8"/>
    <n v="1"/>
    <n v="361"/>
    <n v="384"/>
    <n v="6.0166666666666666"/>
    <x v="3"/>
    <n v="0.94010416666666663"/>
  </r>
  <r>
    <n v="1503960366"/>
    <x v="9"/>
    <n v="1"/>
    <n v="430"/>
    <n v="449"/>
    <n v="7.166666666666667"/>
    <x v="4"/>
    <n v="0.95768374164810688"/>
  </r>
  <r>
    <n v="1503960366"/>
    <x v="10"/>
    <n v="1"/>
    <n v="277"/>
    <n v="323"/>
    <n v="4.6166666666666663"/>
    <x v="6"/>
    <n v="0.85758513931888547"/>
  </r>
  <r>
    <n v="1503960366"/>
    <x v="11"/>
    <n v="1"/>
    <n v="245"/>
    <n v="274"/>
    <n v="4.083333333333333"/>
    <x v="0"/>
    <n v="0.8941605839416058"/>
  </r>
  <r>
    <n v="1503960366"/>
    <x v="12"/>
    <n v="1"/>
    <n v="366"/>
    <n v="393"/>
    <n v="6.1"/>
    <x v="5"/>
    <n v="0.93129770992366412"/>
  </r>
  <r>
    <n v="1503960366"/>
    <x v="13"/>
    <n v="1"/>
    <n v="341"/>
    <n v="354"/>
    <n v="5.6833333333333336"/>
    <x v="2"/>
    <n v="0.96327683615819204"/>
  </r>
  <r>
    <n v="1503960366"/>
    <x v="14"/>
    <n v="1"/>
    <n v="404"/>
    <n v="425"/>
    <n v="6.7333333333333334"/>
    <x v="3"/>
    <n v="0.95058823529411762"/>
  </r>
  <r>
    <n v="1503960366"/>
    <x v="15"/>
    <n v="1"/>
    <n v="369"/>
    <n v="396"/>
    <n v="6.15"/>
    <x v="4"/>
    <n v="0.93181818181818177"/>
  </r>
  <r>
    <n v="1503960366"/>
    <x v="16"/>
    <n v="1"/>
    <n v="277"/>
    <n v="309"/>
    <n v="4.6166666666666663"/>
    <x v="6"/>
    <n v="0.8964401294498382"/>
  </r>
  <r>
    <n v="1503960366"/>
    <x v="17"/>
    <n v="1"/>
    <n v="273"/>
    <n v="296"/>
    <n v="4.55"/>
    <x v="0"/>
    <n v="0.92229729729729726"/>
  </r>
  <r>
    <n v="1503960366"/>
    <x v="18"/>
    <n v="1"/>
    <n v="247"/>
    <n v="264"/>
    <n v="4.1166666666666663"/>
    <x v="5"/>
    <n v="0.93560606060606055"/>
  </r>
  <r>
    <n v="1503960366"/>
    <x v="19"/>
    <n v="1"/>
    <n v="334"/>
    <n v="367"/>
    <n v="5.5666666666666664"/>
    <x v="2"/>
    <n v="0.91008174386920981"/>
  </r>
  <r>
    <n v="1503960366"/>
    <x v="20"/>
    <n v="1"/>
    <n v="331"/>
    <n v="349"/>
    <n v="5.5166666666666666"/>
    <x v="3"/>
    <n v="0.9484240687679083"/>
  </r>
  <r>
    <n v="1503960366"/>
    <x v="21"/>
    <n v="1"/>
    <n v="594"/>
    <n v="611"/>
    <n v="9.9"/>
    <x v="4"/>
    <n v="0.97217675941080195"/>
  </r>
  <r>
    <n v="1503960366"/>
    <x v="22"/>
    <n v="1"/>
    <n v="338"/>
    <n v="342"/>
    <n v="5.6333333333333337"/>
    <x v="6"/>
    <n v="0.98830409356725146"/>
  </r>
  <r>
    <n v="1503960366"/>
    <x v="23"/>
    <n v="1"/>
    <n v="383"/>
    <n v="403"/>
    <n v="6.3833333333333337"/>
    <x v="0"/>
    <n v="0.95037220843672454"/>
  </r>
  <r>
    <n v="1503960366"/>
    <x v="24"/>
    <n v="1"/>
    <n v="285"/>
    <n v="306"/>
    <n v="4.75"/>
    <x v="1"/>
    <n v="0.93137254901960786"/>
  </r>
  <r>
    <n v="1644430081"/>
    <x v="13"/>
    <n v="1"/>
    <n v="119"/>
    <n v="127"/>
    <n v="1.9833333333333334"/>
    <x v="2"/>
    <n v="0.93700787401574803"/>
  </r>
  <r>
    <n v="1644430081"/>
    <x v="14"/>
    <n v="1"/>
    <n v="124"/>
    <n v="142"/>
    <n v="2.0666666666666669"/>
    <x v="3"/>
    <n v="0.87323943661971826"/>
  </r>
  <r>
    <n v="1644430081"/>
    <x v="16"/>
    <n v="1"/>
    <n v="796"/>
    <n v="961"/>
    <n v="13.266666666666667"/>
    <x v="6"/>
    <n v="0.82830385015608743"/>
  </r>
  <r>
    <n v="1644430081"/>
    <x v="21"/>
    <n v="1"/>
    <n v="137"/>
    <n v="154"/>
    <n v="2.2833333333333332"/>
    <x v="4"/>
    <n v="0.88961038961038963"/>
  </r>
  <r>
    <n v="1844505072"/>
    <x v="2"/>
    <n v="1"/>
    <n v="644"/>
    <n v="961"/>
    <n v="10.733333333333333"/>
    <x v="2"/>
    <n v="0.67013527575442244"/>
  </r>
  <r>
    <n v="1844505072"/>
    <x v="14"/>
    <n v="1"/>
    <n v="722"/>
    <n v="961"/>
    <n v="12.033333333333333"/>
    <x v="3"/>
    <n v="0.7513007284079084"/>
  </r>
  <r>
    <n v="1844505072"/>
    <x v="15"/>
    <n v="1"/>
    <n v="590"/>
    <n v="961"/>
    <n v="9.8333333333333339"/>
    <x v="4"/>
    <n v="0.6139438085327783"/>
  </r>
  <r>
    <n v="1927972279"/>
    <x v="0"/>
    <n v="3"/>
    <n v="750"/>
    <n v="775"/>
    <n v="12.5"/>
    <x v="0"/>
    <n v="0.967741935483871"/>
  </r>
  <r>
    <n v="1927972279"/>
    <x v="1"/>
    <n v="1"/>
    <n v="398"/>
    <n v="422"/>
    <n v="6.6333333333333337"/>
    <x v="1"/>
    <n v="0.94312796208530802"/>
  </r>
  <r>
    <n v="1927972279"/>
    <x v="2"/>
    <n v="2"/>
    <n v="475"/>
    <n v="499"/>
    <n v="7.916666666666667"/>
    <x v="2"/>
    <n v="0.95190380761523041"/>
  </r>
  <r>
    <n v="1927972279"/>
    <x v="11"/>
    <n v="1"/>
    <n v="296"/>
    <n v="315"/>
    <n v="4.9333333333333336"/>
    <x v="0"/>
    <n v="0.93968253968253967"/>
  </r>
  <r>
    <n v="1927972279"/>
    <x v="12"/>
    <n v="1"/>
    <n v="166"/>
    <n v="178"/>
    <n v="2.7666666666666666"/>
    <x v="5"/>
    <n v="0.93258426966292129"/>
  </r>
  <r>
    <n v="2026352035"/>
    <x v="0"/>
    <n v="1"/>
    <n v="503"/>
    <n v="546"/>
    <n v="8.3833333333333329"/>
    <x v="0"/>
    <n v="0.92124542124542119"/>
  </r>
  <r>
    <n v="2026352035"/>
    <x v="1"/>
    <n v="1"/>
    <n v="531"/>
    <n v="565"/>
    <n v="8.85"/>
    <x v="1"/>
    <n v="0.9398230088495575"/>
  </r>
  <r>
    <n v="2026352035"/>
    <x v="25"/>
    <n v="1"/>
    <n v="545"/>
    <n v="568"/>
    <n v="9.0833333333333339"/>
    <x v="5"/>
    <n v="0.95950704225352113"/>
  </r>
  <r>
    <n v="2026352035"/>
    <x v="2"/>
    <n v="1"/>
    <n v="523"/>
    <n v="573"/>
    <n v="8.7166666666666668"/>
    <x v="2"/>
    <n v="0.91273996509598598"/>
  </r>
  <r>
    <n v="2026352035"/>
    <x v="3"/>
    <n v="1"/>
    <n v="524"/>
    <n v="567"/>
    <n v="8.7333333333333325"/>
    <x v="3"/>
    <n v="0.92416225749559078"/>
  </r>
  <r>
    <n v="2026352035"/>
    <x v="4"/>
    <n v="1"/>
    <n v="437"/>
    <n v="498"/>
    <n v="7.2833333333333332"/>
    <x v="4"/>
    <n v="0.8775100401606426"/>
  </r>
  <r>
    <n v="2026352035"/>
    <x v="5"/>
    <n v="1"/>
    <n v="498"/>
    <n v="540"/>
    <n v="8.3000000000000007"/>
    <x v="0"/>
    <n v="0.92222222222222228"/>
  </r>
  <r>
    <n v="2026352035"/>
    <x v="6"/>
    <n v="1"/>
    <n v="461"/>
    <n v="510"/>
    <n v="7.6833333333333336"/>
    <x v="1"/>
    <n v="0.90392156862745099"/>
  </r>
  <r>
    <n v="2026352035"/>
    <x v="7"/>
    <n v="1"/>
    <n v="477"/>
    <n v="514"/>
    <n v="7.95"/>
    <x v="5"/>
    <n v="0.92801556420233466"/>
  </r>
  <r>
    <n v="2026352035"/>
    <x v="26"/>
    <n v="1"/>
    <n v="520"/>
    <n v="545"/>
    <n v="8.6666666666666661"/>
    <x v="2"/>
    <n v="0.95412844036697253"/>
  </r>
  <r>
    <n v="2026352035"/>
    <x v="8"/>
    <n v="1"/>
    <n v="522"/>
    <n v="554"/>
    <n v="8.6999999999999993"/>
    <x v="3"/>
    <n v="0.9422382671480144"/>
  </r>
  <r>
    <n v="2026352035"/>
    <x v="9"/>
    <n v="1"/>
    <n v="555"/>
    <n v="591"/>
    <n v="9.25"/>
    <x v="4"/>
    <n v="0.93908629441624369"/>
  </r>
  <r>
    <n v="2026352035"/>
    <x v="10"/>
    <n v="1"/>
    <n v="506"/>
    <n v="531"/>
    <n v="8.4333333333333336"/>
    <x v="6"/>
    <n v="0.95291902071563084"/>
  </r>
  <r>
    <n v="2026352035"/>
    <x v="27"/>
    <n v="1"/>
    <n v="508"/>
    <n v="545"/>
    <n v="8.4666666666666668"/>
    <x v="1"/>
    <n v="0.93211009174311932"/>
  </r>
  <r>
    <n v="2026352035"/>
    <x v="12"/>
    <n v="1"/>
    <n v="513"/>
    <n v="545"/>
    <n v="8.5500000000000007"/>
    <x v="5"/>
    <n v="0.94128440366972477"/>
  </r>
  <r>
    <n v="2026352035"/>
    <x v="13"/>
    <n v="1"/>
    <n v="490"/>
    <n v="510"/>
    <n v="8.1666666666666661"/>
    <x v="2"/>
    <n v="0.96078431372549022"/>
  </r>
  <r>
    <n v="2026352035"/>
    <x v="14"/>
    <n v="1"/>
    <n v="573"/>
    <n v="607"/>
    <n v="9.5500000000000007"/>
    <x v="3"/>
    <n v="0.94398682042833604"/>
  </r>
  <r>
    <n v="2026352035"/>
    <x v="15"/>
    <n v="1"/>
    <n v="527"/>
    <n v="546"/>
    <n v="8.7833333333333332"/>
    <x v="4"/>
    <n v="0.96520146520146521"/>
  </r>
  <r>
    <n v="2026352035"/>
    <x v="16"/>
    <n v="1"/>
    <n v="511"/>
    <n v="543"/>
    <n v="8.5166666666666675"/>
    <x v="6"/>
    <n v="0.94106813996316763"/>
  </r>
  <r>
    <n v="2026352035"/>
    <x v="28"/>
    <n v="1"/>
    <n v="538"/>
    <n v="560"/>
    <n v="8.9666666666666668"/>
    <x v="1"/>
    <n v="0.96071428571428574"/>
  </r>
  <r>
    <n v="2026352035"/>
    <x v="18"/>
    <n v="1"/>
    <n v="468"/>
    <n v="485"/>
    <n v="7.8"/>
    <x v="5"/>
    <n v="0.96494845360824744"/>
  </r>
  <r>
    <n v="2026352035"/>
    <x v="19"/>
    <n v="1"/>
    <n v="524"/>
    <n v="548"/>
    <n v="8.7333333333333325"/>
    <x v="2"/>
    <n v="0.95620437956204385"/>
  </r>
  <r>
    <n v="2026352035"/>
    <x v="20"/>
    <n v="1"/>
    <n v="511"/>
    <n v="521"/>
    <n v="8.5166666666666675"/>
    <x v="3"/>
    <n v="0.98080614203454897"/>
  </r>
  <r>
    <n v="2026352035"/>
    <x v="21"/>
    <n v="1"/>
    <n v="541"/>
    <n v="568"/>
    <n v="9.0166666666666675"/>
    <x v="4"/>
    <n v="0.95246478873239437"/>
  </r>
  <r>
    <n v="2026352035"/>
    <x v="22"/>
    <n v="1"/>
    <n v="531"/>
    <n v="556"/>
    <n v="8.85"/>
    <x v="6"/>
    <n v="0.95503597122302153"/>
  </r>
  <r>
    <n v="2026352035"/>
    <x v="23"/>
    <n v="1"/>
    <n v="357"/>
    <n v="380"/>
    <n v="5.95"/>
    <x v="0"/>
    <n v="0.93947368421052635"/>
  </r>
  <r>
    <n v="2026352035"/>
    <x v="24"/>
    <n v="1"/>
    <n v="523"/>
    <n v="553"/>
    <n v="8.7166666666666668"/>
    <x v="1"/>
    <n v="0.94575045207956598"/>
  </r>
  <r>
    <n v="2026352035"/>
    <x v="29"/>
    <n v="1"/>
    <n v="456"/>
    <n v="485"/>
    <n v="7.6"/>
    <x v="5"/>
    <n v="0.9402061855670103"/>
  </r>
  <r>
    <n v="2320127002"/>
    <x v="8"/>
    <n v="1"/>
    <n v="61"/>
    <n v="69"/>
    <n v="1.0166666666666666"/>
    <x v="3"/>
    <n v="0.88405797101449279"/>
  </r>
  <r>
    <n v="2347167796"/>
    <x v="1"/>
    <n v="1"/>
    <n v="467"/>
    <n v="531"/>
    <n v="7.7833333333333332"/>
    <x v="1"/>
    <n v="0.87947269303201503"/>
  </r>
  <r>
    <n v="2347167796"/>
    <x v="25"/>
    <n v="1"/>
    <n v="445"/>
    <n v="489"/>
    <n v="7.416666666666667"/>
    <x v="5"/>
    <n v="0.91002044989775055"/>
  </r>
  <r>
    <n v="2347167796"/>
    <x v="2"/>
    <n v="1"/>
    <n v="452"/>
    <n v="504"/>
    <n v="7.5333333333333332"/>
    <x v="2"/>
    <n v="0.89682539682539686"/>
  </r>
  <r>
    <n v="2347167796"/>
    <x v="4"/>
    <n v="1"/>
    <n v="556"/>
    <n v="602"/>
    <n v="9.2666666666666675"/>
    <x v="4"/>
    <n v="0.92358803986710969"/>
  </r>
  <r>
    <n v="2347167796"/>
    <x v="30"/>
    <n v="1"/>
    <n v="500"/>
    <n v="557"/>
    <n v="8.3333333333333339"/>
    <x v="6"/>
    <n v="0.89766606822262118"/>
  </r>
  <r>
    <n v="2347167796"/>
    <x v="5"/>
    <n v="1"/>
    <n v="465"/>
    <n v="514"/>
    <n v="7.75"/>
    <x v="0"/>
    <n v="0.90466926070038911"/>
  </r>
  <r>
    <n v="2347167796"/>
    <x v="7"/>
    <n v="1"/>
    <n v="460"/>
    <n v="484"/>
    <n v="7.666666666666667"/>
    <x v="5"/>
    <n v="0.95041322314049592"/>
  </r>
  <r>
    <n v="2347167796"/>
    <x v="26"/>
    <n v="1"/>
    <n v="405"/>
    <n v="461"/>
    <n v="6.75"/>
    <x v="2"/>
    <n v="0.87852494577006512"/>
  </r>
  <r>
    <n v="2347167796"/>
    <x v="8"/>
    <n v="1"/>
    <n v="374"/>
    <n v="386"/>
    <n v="6.2333333333333334"/>
    <x v="3"/>
    <n v="0.9689119170984456"/>
  </r>
  <r>
    <n v="2347167796"/>
    <x v="9"/>
    <n v="1"/>
    <n v="442"/>
    <n v="459"/>
    <n v="7.3666666666666663"/>
    <x v="4"/>
    <n v="0.96296296296296291"/>
  </r>
  <r>
    <n v="2347167796"/>
    <x v="10"/>
    <n v="1"/>
    <n v="433"/>
    <n v="471"/>
    <n v="7.2166666666666668"/>
    <x v="6"/>
    <n v="0.91932059447983017"/>
  </r>
  <r>
    <n v="2347167796"/>
    <x v="11"/>
    <n v="1"/>
    <n v="436"/>
    <n v="490"/>
    <n v="7.2666666666666666"/>
    <x v="0"/>
    <n v="0.88979591836734695"/>
  </r>
  <r>
    <n v="2347167796"/>
    <x v="27"/>
    <n v="1"/>
    <n v="448"/>
    <n v="499"/>
    <n v="7.4666666666666668"/>
    <x v="1"/>
    <n v="0.89779559118236474"/>
  </r>
  <r>
    <n v="2347167796"/>
    <x v="12"/>
    <n v="1"/>
    <n v="408"/>
    <n v="450"/>
    <n v="6.8"/>
    <x v="5"/>
    <n v="0.90666666666666662"/>
  </r>
  <r>
    <n v="2347167796"/>
    <x v="13"/>
    <n v="1"/>
    <n v="411"/>
    <n v="473"/>
    <n v="6.85"/>
    <x v="2"/>
    <n v="0.86892177589852004"/>
  </r>
  <r>
    <n v="3977333714"/>
    <x v="0"/>
    <n v="1"/>
    <n v="274"/>
    <n v="469"/>
    <n v="4.5666666666666664"/>
    <x v="0"/>
    <n v="0.58422174840085284"/>
  </r>
  <r>
    <n v="3977333714"/>
    <x v="1"/>
    <n v="2"/>
    <n v="295"/>
    <n v="456"/>
    <n v="4.916666666666667"/>
    <x v="1"/>
    <n v="0.64692982456140347"/>
  </r>
  <r>
    <n v="3977333714"/>
    <x v="25"/>
    <n v="1"/>
    <n v="291"/>
    <n v="397"/>
    <n v="4.8499999999999996"/>
    <x v="5"/>
    <n v="0.73299748110831231"/>
  </r>
  <r>
    <n v="3977333714"/>
    <x v="2"/>
    <n v="1"/>
    <n v="424"/>
    <n v="556"/>
    <n v="7.0666666666666664"/>
    <x v="2"/>
    <n v="0.76258992805755399"/>
  </r>
  <r>
    <n v="3977333714"/>
    <x v="3"/>
    <n v="1"/>
    <n v="283"/>
    <n v="510"/>
    <n v="4.7166666666666668"/>
    <x v="3"/>
    <n v="0.55490196078431375"/>
  </r>
  <r>
    <n v="3977333714"/>
    <x v="4"/>
    <n v="1"/>
    <n v="381"/>
    <n v="566"/>
    <n v="6.35"/>
    <x v="4"/>
    <n v="0.67314487632508835"/>
  </r>
  <r>
    <n v="3977333714"/>
    <x v="30"/>
    <n v="2"/>
    <n v="412"/>
    <n v="522"/>
    <n v="6.8666666666666663"/>
    <x v="6"/>
    <n v="0.78927203065134099"/>
  </r>
  <r>
    <n v="3977333714"/>
    <x v="5"/>
    <n v="1"/>
    <n v="219"/>
    <n v="395"/>
    <n v="3.65"/>
    <x v="0"/>
    <n v="0.5544303797468354"/>
  </r>
  <r>
    <n v="3977333714"/>
    <x v="6"/>
    <n v="2"/>
    <n v="152"/>
    <n v="305"/>
    <n v="2.5333333333333332"/>
    <x v="1"/>
    <n v="0.49836065573770494"/>
  </r>
  <r>
    <n v="3977333714"/>
    <x v="7"/>
    <n v="1"/>
    <n v="332"/>
    <n v="512"/>
    <n v="5.5333333333333332"/>
    <x v="5"/>
    <n v="0.6484375"/>
  </r>
  <r>
    <n v="3977333714"/>
    <x v="26"/>
    <n v="1"/>
    <n v="355"/>
    <n v="476"/>
    <n v="5.916666666666667"/>
    <x v="2"/>
    <n v="0.74579831932773111"/>
  </r>
  <r>
    <n v="3977333714"/>
    <x v="8"/>
    <n v="1"/>
    <n v="235"/>
    <n v="372"/>
    <n v="3.9166666666666665"/>
    <x v="3"/>
    <n v="0.63172043010752688"/>
  </r>
  <r>
    <n v="3977333714"/>
    <x v="9"/>
    <n v="1"/>
    <n v="310"/>
    <n v="526"/>
    <n v="5.166666666666667"/>
    <x v="4"/>
    <n v="0.58935361216730042"/>
  </r>
  <r>
    <n v="3977333714"/>
    <x v="10"/>
    <n v="1"/>
    <n v="262"/>
    <n v="467"/>
    <n v="4.3666666666666663"/>
    <x v="6"/>
    <n v="0.56102783725910066"/>
  </r>
  <r>
    <n v="3977333714"/>
    <x v="11"/>
    <n v="1"/>
    <n v="250"/>
    <n v="371"/>
    <n v="4.166666666666667"/>
    <x v="0"/>
    <n v="0.67385444743935308"/>
  </r>
  <r>
    <n v="3977333714"/>
    <x v="27"/>
    <n v="1"/>
    <n v="349"/>
    <n v="540"/>
    <n v="5.8166666666666664"/>
    <x v="1"/>
    <n v="0.64629629629629626"/>
  </r>
  <r>
    <n v="3977333714"/>
    <x v="12"/>
    <n v="1"/>
    <n v="261"/>
    <n v="423"/>
    <n v="4.3499999999999996"/>
    <x v="5"/>
    <n v="0.61702127659574468"/>
  </r>
  <r>
    <n v="3977333714"/>
    <x v="13"/>
    <n v="1"/>
    <n v="333"/>
    <n v="478"/>
    <n v="5.55"/>
    <x v="2"/>
    <n v="0.69665271966527198"/>
  </r>
  <r>
    <n v="3977333714"/>
    <x v="14"/>
    <n v="1"/>
    <n v="237"/>
    <n v="382"/>
    <n v="3.95"/>
    <x v="3"/>
    <n v="0.62041884816753923"/>
  </r>
  <r>
    <n v="3977333714"/>
    <x v="15"/>
    <n v="1"/>
    <n v="383"/>
    <n v="626"/>
    <n v="6.3833333333333337"/>
    <x v="4"/>
    <n v="0.61182108626198084"/>
  </r>
  <r>
    <n v="3977333714"/>
    <x v="16"/>
    <n v="1"/>
    <n v="230"/>
    <n v="384"/>
    <n v="3.8333333333333335"/>
    <x v="6"/>
    <n v="0.59895833333333337"/>
  </r>
  <r>
    <n v="3977333714"/>
    <x v="17"/>
    <n v="1"/>
    <n v="292"/>
    <n v="500"/>
    <n v="4.8666666666666663"/>
    <x v="0"/>
    <n v="0.58399999999999996"/>
  </r>
  <r>
    <n v="3977333714"/>
    <x v="28"/>
    <n v="1"/>
    <n v="213"/>
    <n v="336"/>
    <n v="3.55"/>
    <x v="1"/>
    <n v="0.6339285714285714"/>
  </r>
  <r>
    <n v="3977333714"/>
    <x v="18"/>
    <n v="1"/>
    <n v="318"/>
    <n v="480"/>
    <n v="5.3"/>
    <x v="5"/>
    <n v="0.66249999999999998"/>
  </r>
  <r>
    <n v="3977333714"/>
    <x v="19"/>
    <n v="1"/>
    <n v="323"/>
    <n v="512"/>
    <n v="5.3833333333333337"/>
    <x v="2"/>
    <n v="0.630859375"/>
  </r>
  <r>
    <n v="3977333714"/>
    <x v="20"/>
    <n v="1"/>
    <n v="237"/>
    <n v="443"/>
    <n v="3.95"/>
    <x v="3"/>
    <n v="0.53498871331828446"/>
  </r>
  <r>
    <n v="3977333714"/>
    <x v="21"/>
    <n v="2"/>
    <n v="259"/>
    <n v="456"/>
    <n v="4.3166666666666664"/>
    <x v="4"/>
    <n v="0.56798245614035092"/>
  </r>
  <r>
    <n v="3977333714"/>
    <x v="23"/>
    <n v="1"/>
    <n v="312"/>
    <n v="452"/>
    <n v="5.2"/>
    <x v="0"/>
    <n v="0.69026548672566368"/>
  </r>
  <r>
    <n v="4020332650"/>
    <x v="0"/>
    <n v="1"/>
    <n v="501"/>
    <n v="541"/>
    <n v="8.35"/>
    <x v="0"/>
    <n v="0.92606284658040661"/>
  </r>
  <r>
    <n v="4020332650"/>
    <x v="3"/>
    <n v="1"/>
    <n v="77"/>
    <n v="77"/>
    <n v="1.2833333333333334"/>
    <x v="3"/>
    <n v="1"/>
  </r>
  <r>
    <n v="4020332650"/>
    <x v="17"/>
    <n v="1"/>
    <n v="322"/>
    <n v="332"/>
    <n v="5.3666666666666663"/>
    <x v="0"/>
    <n v="0.96987951807228912"/>
  </r>
  <r>
    <n v="4020332650"/>
    <x v="28"/>
    <n v="1"/>
    <n v="478"/>
    <n v="536"/>
    <n v="7.9666666666666668"/>
    <x v="1"/>
    <n v="0.89179104477611937"/>
  </r>
  <r>
    <n v="4020332650"/>
    <x v="18"/>
    <n v="1"/>
    <n v="226"/>
    <n v="248"/>
    <n v="3.7666666666666666"/>
    <x v="5"/>
    <n v="0.91129032258064513"/>
  </r>
  <r>
    <n v="4020332650"/>
    <x v="19"/>
    <n v="1"/>
    <n v="385"/>
    <n v="408"/>
    <n v="6.416666666666667"/>
    <x v="2"/>
    <n v="0.94362745098039214"/>
  </r>
  <r>
    <n v="4020332650"/>
    <x v="21"/>
    <n v="1"/>
    <n v="364"/>
    <n v="402"/>
    <n v="6.0666666666666664"/>
    <x v="4"/>
    <n v="0.90547263681592038"/>
  </r>
  <r>
    <n v="4020332650"/>
    <x v="23"/>
    <n v="1"/>
    <n v="442"/>
    <n v="494"/>
    <n v="7.3666666666666663"/>
    <x v="0"/>
    <n v="0.89473684210526316"/>
  </r>
  <r>
    <n v="4319703577"/>
    <x v="25"/>
    <n v="1"/>
    <n v="535"/>
    <n v="557"/>
    <n v="8.9166666666666661"/>
    <x v="5"/>
    <n v="0.96050269299820468"/>
  </r>
  <r>
    <n v="4319703577"/>
    <x v="2"/>
    <n v="1"/>
    <n v="465"/>
    <n v="491"/>
    <n v="7.75"/>
    <x v="2"/>
    <n v="0.94704684317718946"/>
  </r>
  <r>
    <n v="4319703577"/>
    <x v="3"/>
    <n v="1"/>
    <n v="506"/>
    <n v="522"/>
    <n v="8.4333333333333336"/>
    <x v="3"/>
    <n v="0.96934865900383138"/>
  </r>
  <r>
    <n v="4319703577"/>
    <x v="30"/>
    <n v="1"/>
    <n v="515"/>
    <n v="551"/>
    <n v="8.5833333333333339"/>
    <x v="6"/>
    <n v="0.93466424682395643"/>
  </r>
  <r>
    <n v="4319703577"/>
    <x v="5"/>
    <n v="2"/>
    <n v="461"/>
    <n v="498"/>
    <n v="7.6833333333333336"/>
    <x v="0"/>
    <n v="0.92570281124497988"/>
  </r>
  <r>
    <n v="4319703577"/>
    <x v="6"/>
    <n v="1"/>
    <n v="523"/>
    <n v="543"/>
    <n v="8.7166666666666668"/>
    <x v="1"/>
    <n v="0.96316758747697973"/>
  </r>
  <r>
    <n v="4319703577"/>
    <x v="7"/>
    <n v="1"/>
    <n v="59"/>
    <n v="65"/>
    <n v="0.98333333333333328"/>
    <x v="5"/>
    <n v="0.90769230769230769"/>
  </r>
  <r>
    <n v="4319703577"/>
    <x v="26"/>
    <n v="1"/>
    <n v="533"/>
    <n v="550"/>
    <n v="8.8833333333333329"/>
    <x v="2"/>
    <n v="0.96909090909090911"/>
  </r>
  <r>
    <n v="4319703577"/>
    <x v="8"/>
    <n v="1"/>
    <n v="692"/>
    <n v="722"/>
    <n v="11.533333333333333"/>
    <x v="3"/>
    <n v="0.95844875346260383"/>
  </r>
  <r>
    <n v="4319703577"/>
    <x v="9"/>
    <n v="1"/>
    <n v="467"/>
    <n v="501"/>
    <n v="7.7833333333333332"/>
    <x v="4"/>
    <n v="0.93213572854291415"/>
  </r>
  <r>
    <n v="4319703577"/>
    <x v="10"/>
    <n v="1"/>
    <n v="488"/>
    <n v="506"/>
    <n v="8.1333333333333329"/>
    <x v="6"/>
    <n v="0.96442687747035571"/>
  </r>
  <r>
    <n v="4319703577"/>
    <x v="11"/>
    <n v="1"/>
    <n v="505"/>
    <n v="516"/>
    <n v="8.4166666666666661"/>
    <x v="0"/>
    <n v="0.97868217054263562"/>
  </r>
  <r>
    <n v="4319703577"/>
    <x v="27"/>
    <n v="1"/>
    <n v="286"/>
    <n v="307"/>
    <n v="4.7666666666666666"/>
    <x v="1"/>
    <n v="0.9315960912052117"/>
  </r>
  <r>
    <n v="4319703577"/>
    <x v="12"/>
    <n v="1"/>
    <n v="497"/>
    <n v="522"/>
    <n v="8.2833333333333332"/>
    <x v="5"/>
    <n v="0.95210727969348663"/>
  </r>
  <r>
    <n v="4319703577"/>
    <x v="13"/>
    <n v="1"/>
    <n v="523"/>
    <n v="546"/>
    <n v="8.7166666666666668"/>
    <x v="2"/>
    <n v="0.95787545787545791"/>
  </r>
  <r>
    <n v="4319703577"/>
    <x v="14"/>
    <n v="1"/>
    <n v="490"/>
    <n v="516"/>
    <n v="8.1666666666666661"/>
    <x v="3"/>
    <n v="0.94961240310077522"/>
  </r>
  <r>
    <n v="4319703577"/>
    <x v="15"/>
    <n v="1"/>
    <n v="484"/>
    <n v="500"/>
    <n v="8.0666666666666664"/>
    <x v="4"/>
    <n v="0.96799999999999997"/>
  </r>
  <r>
    <n v="4319703577"/>
    <x v="16"/>
    <n v="1"/>
    <n v="478"/>
    <n v="506"/>
    <n v="7.9666666666666668"/>
    <x v="6"/>
    <n v="0.94466403162055335"/>
  </r>
  <r>
    <n v="4319703577"/>
    <x v="17"/>
    <n v="1"/>
    <n v="474"/>
    <n v="512"/>
    <n v="7.9"/>
    <x v="0"/>
    <n v="0.92578125"/>
  </r>
  <r>
    <n v="4319703577"/>
    <x v="19"/>
    <n v="1"/>
    <n v="450"/>
    <n v="491"/>
    <n v="7.5"/>
    <x v="2"/>
    <n v="0.91649694501018331"/>
  </r>
  <r>
    <n v="4319703577"/>
    <x v="20"/>
    <n v="1"/>
    <n v="507"/>
    <n v="530"/>
    <n v="8.4499999999999993"/>
    <x v="3"/>
    <n v="0.95660377358490567"/>
  </r>
  <r>
    <n v="4319703577"/>
    <x v="21"/>
    <n v="1"/>
    <n v="602"/>
    <n v="638"/>
    <n v="10.033333333333333"/>
    <x v="4"/>
    <n v="0.94357366771159878"/>
  </r>
  <r>
    <n v="4319703577"/>
    <x v="22"/>
    <n v="1"/>
    <n v="535"/>
    <n v="565"/>
    <n v="8.9166666666666661"/>
    <x v="6"/>
    <n v="0.94690265486725667"/>
  </r>
  <r>
    <n v="4319703577"/>
    <x v="23"/>
    <n v="1"/>
    <n v="487"/>
    <n v="517"/>
    <n v="8.1166666666666671"/>
    <x v="0"/>
    <n v="0.94197292069632499"/>
  </r>
  <r>
    <n v="4319703577"/>
    <x v="24"/>
    <n v="1"/>
    <n v="529"/>
    <n v="558"/>
    <n v="8.8166666666666664"/>
    <x v="1"/>
    <n v="0.94802867383512546"/>
  </r>
  <r>
    <n v="4319703577"/>
    <x v="29"/>
    <n v="1"/>
    <n v="302"/>
    <n v="321"/>
    <n v="5.0333333333333332"/>
    <x v="5"/>
    <n v="0.94080996884735202"/>
  </r>
  <r>
    <n v="4388161847"/>
    <x v="2"/>
    <n v="1"/>
    <n v="499"/>
    <n v="526"/>
    <n v="8.3166666666666664"/>
    <x v="2"/>
    <n v="0.9486692015209125"/>
  </r>
  <r>
    <n v="4388161847"/>
    <x v="3"/>
    <n v="2"/>
    <n v="426"/>
    <n v="448"/>
    <n v="7.1"/>
    <x v="3"/>
    <n v="0.9508928571428571"/>
  </r>
  <r>
    <n v="4388161847"/>
    <x v="4"/>
    <n v="2"/>
    <n v="619"/>
    <n v="641"/>
    <n v="10.316666666666666"/>
    <x v="4"/>
    <n v="0.96567862714508579"/>
  </r>
  <r>
    <n v="4388161847"/>
    <x v="30"/>
    <n v="1"/>
    <n v="99"/>
    <n v="104"/>
    <n v="1.65"/>
    <x v="6"/>
    <n v="0.95192307692307687"/>
  </r>
  <r>
    <n v="4388161847"/>
    <x v="5"/>
    <n v="1"/>
    <n v="329"/>
    <n v="338"/>
    <n v="5.4833333333333334"/>
    <x v="0"/>
    <n v="0.97337278106508873"/>
  </r>
  <r>
    <n v="4388161847"/>
    <x v="6"/>
    <n v="1"/>
    <n v="421"/>
    <n v="451"/>
    <n v="7.0166666666666666"/>
    <x v="1"/>
    <n v="0.93348115299334811"/>
  </r>
  <r>
    <n v="4388161847"/>
    <x v="7"/>
    <n v="1"/>
    <n v="442"/>
    <n v="458"/>
    <n v="7.3666666666666663"/>
    <x v="5"/>
    <n v="0.96506550218340614"/>
  </r>
  <r>
    <n v="4388161847"/>
    <x v="26"/>
    <n v="1"/>
    <n v="82"/>
    <n v="85"/>
    <n v="1.3666666666666667"/>
    <x v="2"/>
    <n v="0.96470588235294119"/>
  </r>
  <r>
    <n v="4388161847"/>
    <x v="8"/>
    <n v="1"/>
    <n v="478"/>
    <n v="501"/>
    <n v="7.9666666666666668"/>
    <x v="3"/>
    <n v="0.95409181636726548"/>
  </r>
  <r>
    <n v="4388161847"/>
    <x v="9"/>
    <n v="3"/>
    <n v="552"/>
    <n v="595"/>
    <n v="9.1999999999999993"/>
    <x v="4"/>
    <n v="0.92773109243697482"/>
  </r>
  <r>
    <n v="4388161847"/>
    <x v="11"/>
    <n v="1"/>
    <n v="319"/>
    <n v="346"/>
    <n v="5.3166666666666664"/>
    <x v="0"/>
    <n v="0.9219653179190751"/>
  </r>
  <r>
    <n v="4388161847"/>
    <x v="27"/>
    <n v="1"/>
    <n v="439"/>
    <n v="500"/>
    <n v="7.3166666666666664"/>
    <x v="1"/>
    <n v="0.878"/>
  </r>
  <r>
    <n v="4388161847"/>
    <x v="12"/>
    <n v="1"/>
    <n v="428"/>
    <n v="458"/>
    <n v="7.1333333333333337"/>
    <x v="5"/>
    <n v="0.93449781659388642"/>
  </r>
  <r>
    <n v="4388161847"/>
    <x v="14"/>
    <n v="2"/>
    <n v="409"/>
    <n v="430"/>
    <n v="6.8166666666666664"/>
    <x v="3"/>
    <n v="0.9511627906976744"/>
  </r>
  <r>
    <n v="4388161847"/>
    <x v="15"/>
    <n v="1"/>
    <n v="547"/>
    <n v="597"/>
    <n v="9.1166666666666671"/>
    <x v="4"/>
    <n v="0.91624790619765495"/>
  </r>
  <r>
    <n v="4388161847"/>
    <x v="16"/>
    <n v="2"/>
    <n v="368"/>
    <n v="376"/>
    <n v="6.1333333333333337"/>
    <x v="6"/>
    <n v="0.97872340425531912"/>
  </r>
  <r>
    <n v="4388161847"/>
    <x v="28"/>
    <n v="1"/>
    <n v="390"/>
    <n v="414"/>
    <n v="6.5"/>
    <x v="1"/>
    <n v="0.94202898550724634"/>
  </r>
  <r>
    <n v="4388161847"/>
    <x v="18"/>
    <n v="1"/>
    <n v="471"/>
    <n v="495"/>
    <n v="7.85"/>
    <x v="5"/>
    <n v="0.95151515151515154"/>
  </r>
  <r>
    <n v="4388161847"/>
    <x v="20"/>
    <n v="1"/>
    <n v="472"/>
    <n v="496"/>
    <n v="7.8666666666666663"/>
    <x v="3"/>
    <n v="0.95161290322580649"/>
  </r>
  <r>
    <n v="4388161847"/>
    <x v="21"/>
    <n v="2"/>
    <n v="529"/>
    <n v="541"/>
    <n v="8.8166666666666664"/>
    <x v="4"/>
    <n v="0.97781885397412205"/>
  </r>
  <r>
    <n v="4388161847"/>
    <x v="22"/>
    <n v="1"/>
    <n v="62"/>
    <n v="65"/>
    <n v="1.0333333333333334"/>
    <x v="6"/>
    <n v="0.9538461538461539"/>
  </r>
  <r>
    <n v="4388161847"/>
    <x v="23"/>
    <n v="1"/>
    <n v="354"/>
    <n v="375"/>
    <n v="5.9"/>
    <x v="0"/>
    <n v="0.94399999999999995"/>
  </r>
  <r>
    <n v="4388161847"/>
    <x v="24"/>
    <n v="1"/>
    <n v="469"/>
    <n v="494"/>
    <n v="7.8166666666666664"/>
    <x v="1"/>
    <n v="0.94939271255060731"/>
  </r>
  <r>
    <n v="4445114986"/>
    <x v="0"/>
    <n v="2"/>
    <n v="429"/>
    <n v="457"/>
    <n v="7.15"/>
    <x v="0"/>
    <n v="0.93873085339168494"/>
  </r>
  <r>
    <n v="4445114986"/>
    <x v="1"/>
    <n v="2"/>
    <n v="370"/>
    <n v="406"/>
    <n v="6.166666666666667"/>
    <x v="1"/>
    <n v="0.91133004926108374"/>
  </r>
  <r>
    <n v="4445114986"/>
    <x v="25"/>
    <n v="1"/>
    <n v="441"/>
    <n v="492"/>
    <n v="7.35"/>
    <x v="5"/>
    <n v="0.89634146341463417"/>
  </r>
  <r>
    <n v="4445114986"/>
    <x v="2"/>
    <n v="2"/>
    <n v="337"/>
    <n v="379"/>
    <n v="5.6166666666666663"/>
    <x v="2"/>
    <n v="0.8891820580474934"/>
  </r>
  <r>
    <n v="4445114986"/>
    <x v="3"/>
    <n v="1"/>
    <n v="462"/>
    <n v="499"/>
    <n v="7.7"/>
    <x v="3"/>
    <n v="0.92585170340681366"/>
  </r>
  <r>
    <n v="4445114986"/>
    <x v="4"/>
    <n v="1"/>
    <n v="98"/>
    <n v="107"/>
    <n v="1.6333333333333333"/>
    <x v="4"/>
    <n v="0.91588785046728971"/>
  </r>
  <r>
    <n v="4445114986"/>
    <x v="5"/>
    <n v="2"/>
    <n v="388"/>
    <n v="424"/>
    <n v="6.4666666666666668"/>
    <x v="0"/>
    <n v="0.91509433962264153"/>
  </r>
  <r>
    <n v="4445114986"/>
    <x v="6"/>
    <n v="1"/>
    <n v="439"/>
    <n v="462"/>
    <n v="7.3166666666666664"/>
    <x v="1"/>
    <n v="0.95021645021645018"/>
  </r>
  <r>
    <n v="4445114986"/>
    <x v="7"/>
    <n v="1"/>
    <n v="436"/>
    <n v="469"/>
    <n v="7.2666666666666666"/>
    <x v="5"/>
    <n v="0.92963752665245203"/>
  </r>
  <r>
    <n v="4445114986"/>
    <x v="26"/>
    <n v="1"/>
    <n v="388"/>
    <n v="417"/>
    <n v="6.4666666666666668"/>
    <x v="2"/>
    <n v="0.9304556354916067"/>
  </r>
  <r>
    <n v="4445114986"/>
    <x v="10"/>
    <n v="1"/>
    <n v="328"/>
    <n v="345"/>
    <n v="5.4666666666666668"/>
    <x v="6"/>
    <n v="0.95072463768115945"/>
  </r>
  <r>
    <n v="4445114986"/>
    <x v="11"/>
    <n v="2"/>
    <n v="353"/>
    <n v="391"/>
    <n v="5.8833333333333337"/>
    <x v="0"/>
    <n v="0.90281329923273657"/>
  </r>
  <r>
    <n v="4445114986"/>
    <x v="27"/>
    <n v="1"/>
    <n v="332"/>
    <n v="374"/>
    <n v="5.5333333333333332"/>
    <x v="1"/>
    <n v="0.88770053475935828"/>
  </r>
  <r>
    <n v="4445114986"/>
    <x v="12"/>
    <n v="1"/>
    <n v="419"/>
    <n v="442"/>
    <n v="6.9833333333333334"/>
    <x v="5"/>
    <n v="0.94796380090497734"/>
  </r>
  <r>
    <n v="4445114986"/>
    <x v="13"/>
    <n v="1"/>
    <n v="106"/>
    <n v="108"/>
    <n v="1.7666666666666666"/>
    <x v="2"/>
    <n v="0.98148148148148151"/>
  </r>
  <r>
    <n v="4445114986"/>
    <x v="14"/>
    <n v="1"/>
    <n v="322"/>
    <n v="353"/>
    <n v="5.3666666666666663"/>
    <x v="3"/>
    <n v="0.91218130311614731"/>
  </r>
  <r>
    <n v="4445114986"/>
    <x v="15"/>
    <n v="2"/>
    <n v="439"/>
    <n v="459"/>
    <n v="7.3166666666666664"/>
    <x v="4"/>
    <n v="0.95642701525054463"/>
  </r>
  <r>
    <n v="4445114986"/>
    <x v="16"/>
    <n v="1"/>
    <n v="502"/>
    <n v="542"/>
    <n v="8.3666666666666671"/>
    <x v="6"/>
    <n v="0.92619926199261993"/>
  </r>
  <r>
    <n v="4445114986"/>
    <x v="17"/>
    <n v="2"/>
    <n v="417"/>
    <n v="450"/>
    <n v="6.95"/>
    <x v="0"/>
    <n v="0.92666666666666664"/>
  </r>
  <r>
    <n v="4445114986"/>
    <x v="28"/>
    <n v="2"/>
    <n v="337"/>
    <n v="363"/>
    <n v="5.6166666666666663"/>
    <x v="1"/>
    <n v="0.92837465564738297"/>
  </r>
  <r>
    <n v="4445114986"/>
    <x v="18"/>
    <n v="2"/>
    <n v="462"/>
    <n v="513"/>
    <n v="7.7"/>
    <x v="5"/>
    <n v="0.90058479532163738"/>
  </r>
  <r>
    <n v="4445114986"/>
    <x v="19"/>
    <n v="2"/>
    <n v="374"/>
    <n v="402"/>
    <n v="6.2333333333333334"/>
    <x v="2"/>
    <n v="0.93034825870646765"/>
  </r>
  <r>
    <n v="4445114986"/>
    <x v="20"/>
    <n v="2"/>
    <n v="401"/>
    <n v="436"/>
    <n v="6.6833333333333336"/>
    <x v="3"/>
    <n v="0.91972477064220182"/>
  </r>
  <r>
    <n v="4445114986"/>
    <x v="21"/>
    <n v="1"/>
    <n v="361"/>
    <n v="391"/>
    <n v="6.0166666666666666"/>
    <x v="4"/>
    <n v="0.92327365728900257"/>
  </r>
  <r>
    <n v="4445114986"/>
    <x v="22"/>
    <n v="1"/>
    <n v="457"/>
    <n v="533"/>
    <n v="7.6166666666666663"/>
    <x v="6"/>
    <n v="0.85741088180112568"/>
  </r>
  <r>
    <n v="4445114986"/>
    <x v="23"/>
    <n v="1"/>
    <n v="405"/>
    <n v="426"/>
    <n v="6.75"/>
    <x v="0"/>
    <n v="0.95070422535211263"/>
  </r>
  <r>
    <n v="4445114986"/>
    <x v="24"/>
    <n v="1"/>
    <n v="499"/>
    <n v="530"/>
    <n v="8.3166666666666664"/>
    <x v="1"/>
    <n v="0.94150943396226416"/>
  </r>
  <r>
    <n v="4445114986"/>
    <x v="29"/>
    <n v="1"/>
    <n v="483"/>
    <n v="501"/>
    <n v="8.0500000000000007"/>
    <x v="5"/>
    <n v="0.9640718562874252"/>
  </r>
  <r>
    <n v="4558609924"/>
    <x v="7"/>
    <n v="1"/>
    <n v="126"/>
    <n v="137"/>
    <n v="2.1"/>
    <x v="5"/>
    <n v="0.91970802919708028"/>
  </r>
  <r>
    <n v="4558609924"/>
    <x v="11"/>
    <n v="1"/>
    <n v="103"/>
    <n v="121"/>
    <n v="1.7166666666666666"/>
    <x v="0"/>
    <n v="0.85123966942148765"/>
  </r>
  <r>
    <n v="4558609924"/>
    <x v="13"/>
    <n v="1"/>
    <n v="171"/>
    <n v="179"/>
    <n v="2.85"/>
    <x v="2"/>
    <n v="0.95530726256983245"/>
  </r>
  <r>
    <n v="4558609924"/>
    <x v="15"/>
    <n v="1"/>
    <n v="115"/>
    <n v="129"/>
    <n v="1.9166666666666667"/>
    <x v="4"/>
    <n v="0.89147286821705429"/>
  </r>
  <r>
    <n v="4558609924"/>
    <x v="21"/>
    <n v="1"/>
    <n v="123"/>
    <n v="134"/>
    <n v="2.0499999999999998"/>
    <x v="4"/>
    <n v="0.91791044776119401"/>
  </r>
  <r>
    <n v="4702921684"/>
    <x v="0"/>
    <n v="1"/>
    <n v="425"/>
    <n v="439"/>
    <n v="7.083333333333333"/>
    <x v="0"/>
    <n v="0.96810933940774491"/>
  </r>
  <r>
    <n v="4702921684"/>
    <x v="1"/>
    <n v="2"/>
    <n v="400"/>
    <n v="430"/>
    <n v="6.666666666666667"/>
    <x v="1"/>
    <n v="0.93023255813953487"/>
  </r>
  <r>
    <n v="4702921684"/>
    <x v="25"/>
    <n v="1"/>
    <n v="384"/>
    <n v="415"/>
    <n v="6.4"/>
    <x v="5"/>
    <n v="0.92530120481927713"/>
  </r>
  <r>
    <n v="4702921684"/>
    <x v="2"/>
    <n v="1"/>
    <n v="253"/>
    <n v="257"/>
    <n v="4.2166666666666668"/>
    <x v="2"/>
    <n v="0.98443579766536971"/>
  </r>
  <r>
    <n v="4702921684"/>
    <x v="3"/>
    <n v="2"/>
    <n v="382"/>
    <n v="406"/>
    <n v="6.3666666666666663"/>
    <x v="3"/>
    <n v="0.94088669950738912"/>
  </r>
  <r>
    <n v="4702921684"/>
    <x v="4"/>
    <n v="1"/>
    <n v="591"/>
    <n v="612"/>
    <n v="9.85"/>
    <x v="4"/>
    <n v="0.96568627450980393"/>
  </r>
  <r>
    <n v="4702921684"/>
    <x v="30"/>
    <n v="1"/>
    <n v="293"/>
    <n v="312"/>
    <n v="4.8833333333333337"/>
    <x v="6"/>
    <n v="0.9391025641025641"/>
  </r>
  <r>
    <n v="4702921684"/>
    <x v="5"/>
    <n v="1"/>
    <n v="457"/>
    <n v="487"/>
    <n v="7.6166666666666663"/>
    <x v="0"/>
    <n v="0.9383983572895277"/>
  </r>
  <r>
    <n v="4702921684"/>
    <x v="6"/>
    <n v="1"/>
    <n v="454"/>
    <n v="468"/>
    <n v="7.5666666666666664"/>
    <x v="1"/>
    <n v="0.97008547008547008"/>
  </r>
  <r>
    <n v="4702921684"/>
    <x v="7"/>
    <n v="1"/>
    <n v="425"/>
    <n v="434"/>
    <n v="7.083333333333333"/>
    <x v="5"/>
    <n v="0.97926267281105994"/>
  </r>
  <r>
    <n v="4702921684"/>
    <x v="8"/>
    <n v="1"/>
    <n v="465"/>
    <n v="475"/>
    <n v="7.75"/>
    <x v="3"/>
    <n v="0.97894736842105268"/>
  </r>
  <r>
    <n v="4702921684"/>
    <x v="9"/>
    <n v="1"/>
    <n v="480"/>
    <n v="506"/>
    <n v="8"/>
    <x v="4"/>
    <n v="0.9486166007905138"/>
  </r>
  <r>
    <n v="4702921684"/>
    <x v="10"/>
    <n v="1"/>
    <n v="370"/>
    <n v="380"/>
    <n v="6.166666666666667"/>
    <x v="6"/>
    <n v="0.97368421052631582"/>
  </r>
  <r>
    <n v="4702921684"/>
    <x v="11"/>
    <n v="1"/>
    <n v="421"/>
    <n v="429"/>
    <n v="7.0166666666666666"/>
    <x v="0"/>
    <n v="0.98135198135198132"/>
  </r>
  <r>
    <n v="4702921684"/>
    <x v="27"/>
    <n v="1"/>
    <n v="432"/>
    <n v="449"/>
    <n v="7.2"/>
    <x v="1"/>
    <n v="0.96213808463251671"/>
  </r>
  <r>
    <n v="4702921684"/>
    <x v="12"/>
    <n v="1"/>
    <n v="442"/>
    <n v="461"/>
    <n v="7.3666666666666663"/>
    <x v="5"/>
    <n v="0.95878524945770061"/>
  </r>
  <r>
    <n v="4702921684"/>
    <x v="13"/>
    <n v="1"/>
    <n v="433"/>
    <n v="447"/>
    <n v="7.2166666666666668"/>
    <x v="2"/>
    <n v="0.96868008948545858"/>
  </r>
  <r>
    <n v="4702921684"/>
    <x v="14"/>
    <n v="1"/>
    <n v="479"/>
    <n v="501"/>
    <n v="7.9833333333333334"/>
    <x v="3"/>
    <n v="0.95608782435129736"/>
  </r>
  <r>
    <n v="4702921684"/>
    <x v="17"/>
    <n v="1"/>
    <n v="327"/>
    <n v="373"/>
    <n v="5.45"/>
    <x v="0"/>
    <n v="0.87667560321715821"/>
  </r>
  <r>
    <n v="4702921684"/>
    <x v="28"/>
    <n v="1"/>
    <n v="412"/>
    <n v="434"/>
    <n v="6.8666666666666663"/>
    <x v="1"/>
    <n v="0.94930875576036866"/>
  </r>
  <r>
    <n v="4702921684"/>
    <x v="18"/>
    <n v="1"/>
    <n v="414"/>
    <n v="428"/>
    <n v="6.9"/>
    <x v="5"/>
    <n v="0.96728971962616828"/>
  </r>
  <r>
    <n v="4702921684"/>
    <x v="19"/>
    <n v="1"/>
    <n v="404"/>
    <n v="449"/>
    <n v="6.7333333333333334"/>
    <x v="2"/>
    <n v="0.89977728285077951"/>
  </r>
  <r>
    <n v="4702921684"/>
    <x v="20"/>
    <n v="1"/>
    <n v="520"/>
    <n v="543"/>
    <n v="8.6666666666666661"/>
    <x v="3"/>
    <n v="0.9576427255985267"/>
  </r>
  <r>
    <n v="4702921684"/>
    <x v="22"/>
    <n v="1"/>
    <n v="435"/>
    <n v="458"/>
    <n v="7.25"/>
    <x v="6"/>
    <n v="0.94978165938864634"/>
  </r>
  <r>
    <n v="4702921684"/>
    <x v="23"/>
    <n v="1"/>
    <n v="416"/>
    <n v="431"/>
    <n v="6.9333333333333336"/>
    <x v="0"/>
    <n v="0.96519721577726214"/>
  </r>
  <r>
    <n v="4702921684"/>
    <x v="24"/>
    <n v="1"/>
    <n v="354"/>
    <n v="366"/>
    <n v="5.9"/>
    <x v="1"/>
    <n v="0.96721311475409832"/>
  </r>
  <r>
    <n v="4702921684"/>
    <x v="29"/>
    <n v="1"/>
    <n v="404"/>
    <n v="442"/>
    <n v="6.7333333333333334"/>
    <x v="5"/>
    <n v="0.91402714932126694"/>
  </r>
  <r>
    <n v="5553957443"/>
    <x v="0"/>
    <n v="1"/>
    <n v="441"/>
    <n v="464"/>
    <n v="7.35"/>
    <x v="0"/>
    <n v="0.95043103448275867"/>
  </r>
  <r>
    <n v="5553957443"/>
    <x v="1"/>
    <n v="2"/>
    <n v="455"/>
    <n v="488"/>
    <n v="7.583333333333333"/>
    <x v="1"/>
    <n v="0.93237704918032782"/>
  </r>
  <r>
    <n v="5553957443"/>
    <x v="25"/>
    <n v="1"/>
    <n v="357"/>
    <n v="418"/>
    <n v="5.95"/>
    <x v="5"/>
    <n v="0.85406698564593297"/>
  </r>
  <r>
    <n v="5553957443"/>
    <x v="2"/>
    <n v="1"/>
    <n v="377"/>
    <n v="409"/>
    <n v="6.2833333333333332"/>
    <x v="2"/>
    <n v="0.92176039119804398"/>
  </r>
  <r>
    <n v="5553957443"/>
    <x v="3"/>
    <n v="2"/>
    <n v="651"/>
    <n v="686"/>
    <n v="10.85"/>
    <x v="3"/>
    <n v="0.94897959183673475"/>
  </r>
  <r>
    <n v="5553957443"/>
    <x v="4"/>
    <n v="1"/>
    <n v="350"/>
    <n v="402"/>
    <n v="5.833333333333333"/>
    <x v="4"/>
    <n v="0.87064676616915426"/>
  </r>
  <r>
    <n v="5553957443"/>
    <x v="30"/>
    <n v="2"/>
    <n v="520"/>
    <n v="541"/>
    <n v="8.6666666666666661"/>
    <x v="6"/>
    <n v="0.96118299445471345"/>
  </r>
  <r>
    <n v="5553957443"/>
    <x v="5"/>
    <n v="1"/>
    <n v="357"/>
    <n v="410"/>
    <n v="5.95"/>
    <x v="0"/>
    <n v="0.87073170731707317"/>
  </r>
  <r>
    <n v="5553957443"/>
    <x v="6"/>
    <n v="1"/>
    <n v="658"/>
    <n v="678"/>
    <n v="10.966666666666667"/>
    <x v="1"/>
    <n v="0.97050147492625372"/>
  </r>
  <r>
    <n v="5553957443"/>
    <x v="7"/>
    <n v="1"/>
    <n v="399"/>
    <n v="431"/>
    <n v="6.65"/>
    <x v="5"/>
    <n v="0.92575406032482599"/>
  </r>
  <r>
    <n v="5553957443"/>
    <x v="26"/>
    <n v="1"/>
    <n v="322"/>
    <n v="353"/>
    <n v="5.3666666666666663"/>
    <x v="2"/>
    <n v="0.91218130311614731"/>
  </r>
  <r>
    <n v="5553957443"/>
    <x v="8"/>
    <n v="2"/>
    <n v="631"/>
    <n v="725"/>
    <n v="10.516666666666667"/>
    <x v="3"/>
    <n v="0.8703448275862069"/>
  </r>
  <r>
    <n v="5553957443"/>
    <x v="9"/>
    <n v="2"/>
    <n v="553"/>
    <n v="640"/>
    <n v="9.2166666666666668"/>
    <x v="4"/>
    <n v="0.86406249999999996"/>
  </r>
  <r>
    <n v="5553957443"/>
    <x v="10"/>
    <n v="1"/>
    <n v="433"/>
    <n v="468"/>
    <n v="7.2166666666666668"/>
    <x v="6"/>
    <n v="0.92521367521367526"/>
  </r>
  <r>
    <n v="5553957443"/>
    <x v="11"/>
    <n v="1"/>
    <n v="412"/>
    <n v="453"/>
    <n v="6.8666666666666663"/>
    <x v="0"/>
    <n v="0.90949227373068431"/>
  </r>
  <r>
    <n v="5553957443"/>
    <x v="27"/>
    <n v="1"/>
    <n v="347"/>
    <n v="391"/>
    <n v="5.7833333333333332"/>
    <x v="1"/>
    <n v="0.88746803069053704"/>
  </r>
  <r>
    <n v="5553957443"/>
    <x v="12"/>
    <n v="1"/>
    <n v="421"/>
    <n v="457"/>
    <n v="7.0166666666666666"/>
    <x v="5"/>
    <n v="0.92122538293216627"/>
  </r>
  <r>
    <n v="5553957443"/>
    <x v="13"/>
    <n v="1"/>
    <n v="450"/>
    <n v="495"/>
    <n v="7.5"/>
    <x v="2"/>
    <n v="0.90909090909090906"/>
  </r>
  <r>
    <n v="5553957443"/>
    <x v="14"/>
    <n v="2"/>
    <n v="775"/>
    <n v="843"/>
    <n v="12.916666666666666"/>
    <x v="3"/>
    <n v="0.91933570581257418"/>
  </r>
  <r>
    <n v="5553957443"/>
    <x v="15"/>
    <n v="2"/>
    <n v="622"/>
    <n v="686"/>
    <n v="10.366666666666667"/>
    <x v="4"/>
    <n v="0.90670553935860054"/>
  </r>
  <r>
    <n v="5553957443"/>
    <x v="16"/>
    <n v="1"/>
    <n v="409"/>
    <n v="471"/>
    <n v="6.8166666666666664"/>
    <x v="6"/>
    <n v="0.86836518046709132"/>
  </r>
  <r>
    <n v="5553957443"/>
    <x v="17"/>
    <n v="1"/>
    <n v="380"/>
    <n v="429"/>
    <n v="6.333333333333333"/>
    <x v="0"/>
    <n v="0.88578088578088576"/>
  </r>
  <r>
    <n v="5553957443"/>
    <x v="28"/>
    <n v="1"/>
    <n v="447"/>
    <n v="470"/>
    <n v="7.45"/>
    <x v="1"/>
    <n v="0.95106382978723403"/>
  </r>
  <r>
    <n v="5553957443"/>
    <x v="18"/>
    <n v="1"/>
    <n v="419"/>
    <n v="464"/>
    <n v="6.9833333333333334"/>
    <x v="5"/>
    <n v="0.90301724137931039"/>
  </r>
  <r>
    <n v="5553957443"/>
    <x v="19"/>
    <n v="1"/>
    <n v="400"/>
    <n v="434"/>
    <n v="6.666666666666667"/>
    <x v="2"/>
    <n v="0.92165898617511521"/>
  </r>
  <r>
    <n v="5553957443"/>
    <x v="20"/>
    <n v="1"/>
    <n v="442"/>
    <n v="470"/>
    <n v="7.3666666666666663"/>
    <x v="3"/>
    <n v="0.94042553191489364"/>
  </r>
  <r>
    <n v="5553957443"/>
    <x v="21"/>
    <n v="1"/>
    <n v="568"/>
    <n v="608"/>
    <n v="9.4666666666666668"/>
    <x v="4"/>
    <n v="0.93421052631578949"/>
  </r>
  <r>
    <n v="5553957443"/>
    <x v="22"/>
    <n v="1"/>
    <n v="453"/>
    <n v="494"/>
    <n v="7.55"/>
    <x v="6"/>
    <n v="0.917004048582996"/>
  </r>
  <r>
    <n v="5553957443"/>
    <x v="23"/>
    <n v="1"/>
    <n v="418"/>
    <n v="443"/>
    <n v="6.9666666666666668"/>
    <x v="0"/>
    <n v="0.94356659142212185"/>
  </r>
  <r>
    <n v="5553957443"/>
    <x v="24"/>
    <n v="1"/>
    <n v="463"/>
    <n v="486"/>
    <n v="7.7166666666666668"/>
    <x v="1"/>
    <n v="0.95267489711934161"/>
  </r>
  <r>
    <n v="5553957443"/>
    <x v="29"/>
    <n v="1"/>
    <n v="438"/>
    <n v="475"/>
    <n v="7.3"/>
    <x v="5"/>
    <n v="0.92210526315789476"/>
  </r>
  <r>
    <n v="5577150313"/>
    <x v="0"/>
    <n v="1"/>
    <n v="419"/>
    <n v="438"/>
    <n v="6.9833333333333334"/>
    <x v="0"/>
    <n v="0.95662100456621002"/>
  </r>
  <r>
    <n v="5577150313"/>
    <x v="1"/>
    <n v="1"/>
    <n v="432"/>
    <n v="458"/>
    <n v="7.2"/>
    <x v="1"/>
    <n v="0.94323144104803491"/>
  </r>
  <r>
    <n v="5577150313"/>
    <x v="25"/>
    <n v="1"/>
    <n v="477"/>
    <n v="497"/>
    <n v="7.95"/>
    <x v="5"/>
    <n v="0.95975855130784704"/>
  </r>
  <r>
    <n v="5577150313"/>
    <x v="2"/>
    <n v="1"/>
    <n v="392"/>
    <n v="413"/>
    <n v="6.5333333333333332"/>
    <x v="2"/>
    <n v="0.94915254237288138"/>
  </r>
  <r>
    <n v="5577150313"/>
    <x v="3"/>
    <n v="1"/>
    <n v="406"/>
    <n v="445"/>
    <n v="6.7666666666666666"/>
    <x v="3"/>
    <n v="0.91235955056179774"/>
  </r>
  <r>
    <n v="5577150313"/>
    <x v="4"/>
    <n v="1"/>
    <n v="549"/>
    <n v="583"/>
    <n v="9.15"/>
    <x v="4"/>
    <n v="0.94168096054888506"/>
  </r>
  <r>
    <n v="5577150313"/>
    <x v="30"/>
    <n v="1"/>
    <n v="527"/>
    <n v="553"/>
    <n v="8.7833333333333332"/>
    <x v="6"/>
    <n v="0.9529837251356239"/>
  </r>
  <r>
    <n v="5577150313"/>
    <x v="5"/>
    <n v="1"/>
    <n v="449"/>
    <n v="465"/>
    <n v="7.4833333333333334"/>
    <x v="0"/>
    <n v="0.96559139784946235"/>
  </r>
  <r>
    <n v="5577150313"/>
    <x v="6"/>
    <n v="1"/>
    <n v="447"/>
    <n v="480"/>
    <n v="7.45"/>
    <x v="1"/>
    <n v="0.93125000000000002"/>
  </r>
  <r>
    <n v="5577150313"/>
    <x v="7"/>
    <n v="1"/>
    <n v="414"/>
    <n v="437"/>
    <n v="6.9"/>
    <x v="5"/>
    <n v="0.94736842105263153"/>
  </r>
  <r>
    <n v="5577150313"/>
    <x v="26"/>
    <n v="1"/>
    <n v="338"/>
    <n v="366"/>
    <n v="5.6333333333333337"/>
    <x v="2"/>
    <n v="0.92349726775956287"/>
  </r>
  <r>
    <n v="5577150313"/>
    <x v="8"/>
    <n v="1"/>
    <n v="384"/>
    <n v="402"/>
    <n v="6.4"/>
    <x v="3"/>
    <n v="0.95522388059701491"/>
  </r>
  <r>
    <n v="5577150313"/>
    <x v="9"/>
    <n v="1"/>
    <n v="543"/>
    <n v="615"/>
    <n v="9.0500000000000007"/>
    <x v="4"/>
    <n v="0.88292682926829269"/>
  </r>
  <r>
    <n v="5577150313"/>
    <x v="10"/>
    <n v="1"/>
    <n v="421"/>
    <n v="461"/>
    <n v="7.0166666666666666"/>
    <x v="6"/>
    <n v="0.91323210412147504"/>
  </r>
  <r>
    <n v="5577150313"/>
    <x v="11"/>
    <n v="1"/>
    <n v="354"/>
    <n v="377"/>
    <n v="5.9"/>
    <x v="0"/>
    <n v="0.93899204244031831"/>
  </r>
  <r>
    <n v="5577150313"/>
    <x v="27"/>
    <n v="1"/>
    <n v="424"/>
    <n v="452"/>
    <n v="7.0666666666666664"/>
    <x v="1"/>
    <n v="0.93805309734513276"/>
  </r>
  <r>
    <n v="5577150313"/>
    <x v="12"/>
    <n v="1"/>
    <n v="361"/>
    <n v="372"/>
    <n v="6.0166666666666666"/>
    <x v="5"/>
    <n v="0.97043010752688175"/>
  </r>
  <r>
    <n v="5577150313"/>
    <x v="13"/>
    <n v="1"/>
    <n v="459"/>
    <n v="485"/>
    <n v="7.65"/>
    <x v="2"/>
    <n v="0.94639175257731956"/>
  </r>
  <r>
    <n v="5577150313"/>
    <x v="14"/>
    <n v="1"/>
    <n v="412"/>
    <n v="433"/>
    <n v="6.8666666666666663"/>
    <x v="3"/>
    <n v="0.9515011547344111"/>
  </r>
  <r>
    <n v="5577150313"/>
    <x v="15"/>
    <n v="1"/>
    <n v="379"/>
    <n v="398"/>
    <n v="6.3166666666666664"/>
    <x v="4"/>
    <n v="0.95226130653266328"/>
  </r>
  <r>
    <n v="5577150313"/>
    <x v="16"/>
    <n v="2"/>
    <n v="525"/>
    <n v="553"/>
    <n v="8.75"/>
    <x v="6"/>
    <n v="0.94936708860759489"/>
  </r>
  <r>
    <n v="5577150313"/>
    <x v="17"/>
    <n v="1"/>
    <n v="508"/>
    <n v="543"/>
    <n v="8.4666666666666668"/>
    <x v="0"/>
    <n v="0.9355432780847146"/>
  </r>
  <r>
    <n v="5577150313"/>
    <x v="28"/>
    <n v="1"/>
    <n v="603"/>
    <n v="634"/>
    <n v="10.050000000000001"/>
    <x v="1"/>
    <n v="0.95110410094637221"/>
  </r>
  <r>
    <n v="5577150313"/>
    <x v="18"/>
    <n v="1"/>
    <n v="74"/>
    <n v="78"/>
    <n v="1.2333333333333334"/>
    <x v="5"/>
    <n v="0.94871794871794868"/>
  </r>
  <r>
    <n v="5577150313"/>
    <x v="23"/>
    <n v="1"/>
    <n v="504"/>
    <n v="562"/>
    <n v="8.4"/>
    <x v="0"/>
    <n v="0.89679715302491103"/>
  </r>
  <r>
    <n v="5577150313"/>
    <x v="24"/>
    <n v="1"/>
    <n v="431"/>
    <n v="476"/>
    <n v="7.1833333333333336"/>
    <x v="1"/>
    <n v="0.90546218487394958"/>
  </r>
  <r>
    <n v="6117666160"/>
    <x v="3"/>
    <n v="1"/>
    <n v="380"/>
    <n v="398"/>
    <n v="6.333333333333333"/>
    <x v="3"/>
    <n v="0.95477386934673369"/>
  </r>
  <r>
    <n v="6117666160"/>
    <x v="4"/>
    <n v="2"/>
    <n v="336"/>
    <n v="350"/>
    <n v="5.6"/>
    <x v="4"/>
    <n v="0.96"/>
  </r>
  <r>
    <n v="6117666160"/>
    <x v="30"/>
    <n v="2"/>
    <n v="493"/>
    <n v="510"/>
    <n v="8.2166666666666668"/>
    <x v="6"/>
    <n v="0.96666666666666667"/>
  </r>
  <r>
    <n v="6117666160"/>
    <x v="5"/>
    <n v="1"/>
    <n v="465"/>
    <n v="492"/>
    <n v="7.75"/>
    <x v="0"/>
    <n v="0.94512195121951215"/>
  </r>
  <r>
    <n v="6117666160"/>
    <x v="6"/>
    <n v="1"/>
    <n v="474"/>
    <n v="502"/>
    <n v="7.9"/>
    <x v="1"/>
    <n v="0.94422310756972117"/>
  </r>
  <r>
    <n v="6117666160"/>
    <x v="7"/>
    <n v="1"/>
    <n v="508"/>
    <n v="550"/>
    <n v="8.4666666666666668"/>
    <x v="5"/>
    <n v="0.92363636363636359"/>
  </r>
  <r>
    <n v="6117666160"/>
    <x v="26"/>
    <n v="1"/>
    <n v="480"/>
    <n v="546"/>
    <n v="8"/>
    <x v="2"/>
    <n v="0.87912087912087911"/>
  </r>
  <r>
    <n v="6117666160"/>
    <x v="8"/>
    <n v="1"/>
    <n v="492"/>
    <n v="539"/>
    <n v="8.1999999999999993"/>
    <x v="3"/>
    <n v="0.91280148423005569"/>
  </r>
  <r>
    <n v="6117666160"/>
    <x v="9"/>
    <n v="1"/>
    <n v="353"/>
    <n v="367"/>
    <n v="5.8833333333333337"/>
    <x v="4"/>
    <n v="0.96185286103542234"/>
  </r>
  <r>
    <n v="6117666160"/>
    <x v="27"/>
    <n v="1"/>
    <n v="542"/>
    <n v="557"/>
    <n v="9.0333333333333332"/>
    <x v="1"/>
    <n v="0.97307001795332138"/>
  </r>
  <r>
    <n v="6117666160"/>
    <x v="12"/>
    <n v="1"/>
    <n v="393"/>
    <n v="416"/>
    <n v="6.55"/>
    <x v="5"/>
    <n v="0.94471153846153844"/>
  </r>
  <r>
    <n v="6117666160"/>
    <x v="13"/>
    <n v="1"/>
    <n v="600"/>
    <n v="636"/>
    <n v="10"/>
    <x v="2"/>
    <n v="0.94339622641509435"/>
  </r>
  <r>
    <n v="6117666160"/>
    <x v="15"/>
    <n v="1"/>
    <n v="507"/>
    <n v="575"/>
    <n v="8.4499999999999993"/>
    <x v="4"/>
    <n v="0.88173913043478258"/>
  </r>
  <r>
    <n v="6117666160"/>
    <x v="18"/>
    <n v="1"/>
    <n v="392"/>
    <n v="415"/>
    <n v="6.5333333333333332"/>
    <x v="5"/>
    <n v="0.944578313253012"/>
  </r>
  <r>
    <n v="6117666160"/>
    <x v="19"/>
    <n v="2"/>
    <n v="658"/>
    <n v="698"/>
    <n v="10.966666666666667"/>
    <x v="2"/>
    <n v="0.94269340974212035"/>
  </r>
  <r>
    <n v="6117666160"/>
    <x v="20"/>
    <n v="2"/>
    <n v="498"/>
    <n v="507"/>
    <n v="8.3000000000000007"/>
    <x v="3"/>
    <n v="0.98224852071005919"/>
  </r>
  <r>
    <n v="6117666160"/>
    <x v="21"/>
    <n v="1"/>
    <n v="555"/>
    <n v="603"/>
    <n v="9.25"/>
    <x v="4"/>
    <n v="0.92039800995024879"/>
  </r>
  <r>
    <n v="6117666160"/>
    <x v="22"/>
    <n v="1"/>
    <n v="492"/>
    <n v="522"/>
    <n v="8.1999999999999993"/>
    <x v="6"/>
    <n v="0.94252873563218387"/>
  </r>
  <r>
    <n v="6775888955"/>
    <x v="1"/>
    <n v="1"/>
    <n v="235"/>
    <n v="260"/>
    <n v="3.9166666666666665"/>
    <x v="1"/>
    <n v="0.90384615384615385"/>
  </r>
  <r>
    <n v="6775888955"/>
    <x v="25"/>
    <n v="1"/>
    <n v="423"/>
    <n v="441"/>
    <n v="7.05"/>
    <x v="5"/>
    <n v="0.95918367346938771"/>
  </r>
  <r>
    <n v="6775888955"/>
    <x v="2"/>
    <n v="1"/>
    <n v="391"/>
    <n v="406"/>
    <n v="6.5166666666666666"/>
    <x v="2"/>
    <n v="0.96305418719211822"/>
  </r>
  <r>
    <n v="6962181067"/>
    <x v="0"/>
    <n v="1"/>
    <n v="366"/>
    <n v="387"/>
    <n v="6.1"/>
    <x v="0"/>
    <n v="0.94573643410852715"/>
  </r>
  <r>
    <n v="6962181067"/>
    <x v="1"/>
    <n v="3"/>
    <n v="630"/>
    <n v="679"/>
    <n v="10.5"/>
    <x v="1"/>
    <n v="0.92783505154639179"/>
  </r>
  <r>
    <n v="6962181067"/>
    <x v="25"/>
    <n v="2"/>
    <n v="508"/>
    <n v="535"/>
    <n v="8.4666666666666668"/>
    <x v="5"/>
    <n v="0.94953271028037378"/>
  </r>
  <r>
    <n v="6962181067"/>
    <x v="2"/>
    <n v="1"/>
    <n v="370"/>
    <n v="386"/>
    <n v="6.166666666666667"/>
    <x v="2"/>
    <n v="0.95854922279792742"/>
  </r>
  <r>
    <n v="6962181067"/>
    <x v="3"/>
    <n v="1"/>
    <n v="357"/>
    <n v="366"/>
    <n v="5.95"/>
    <x v="3"/>
    <n v="0.97540983606557374"/>
  </r>
  <r>
    <n v="6962181067"/>
    <x v="4"/>
    <n v="1"/>
    <n v="427"/>
    <n v="446"/>
    <n v="7.1166666666666663"/>
    <x v="4"/>
    <n v="0.95739910313901344"/>
  </r>
  <r>
    <n v="6962181067"/>
    <x v="30"/>
    <n v="1"/>
    <n v="442"/>
    <n v="458"/>
    <n v="7.3666666666666663"/>
    <x v="6"/>
    <n v="0.96506550218340614"/>
  </r>
  <r>
    <n v="6962181067"/>
    <x v="5"/>
    <n v="1"/>
    <n v="476"/>
    <n v="535"/>
    <n v="7.9333333333333336"/>
    <x v="0"/>
    <n v="0.88971962616822431"/>
  </r>
  <r>
    <n v="6962181067"/>
    <x v="6"/>
    <n v="1"/>
    <n v="418"/>
    <n v="424"/>
    <n v="6.9666666666666668"/>
    <x v="1"/>
    <n v="0.98584905660377353"/>
  </r>
  <r>
    <n v="6962181067"/>
    <x v="7"/>
    <n v="1"/>
    <n v="451"/>
    <n v="457"/>
    <n v="7.5166666666666666"/>
    <x v="5"/>
    <n v="0.98687089715536103"/>
  </r>
  <r>
    <n v="6962181067"/>
    <x v="26"/>
    <n v="1"/>
    <n v="425"/>
    <n v="435"/>
    <n v="7.083333333333333"/>
    <x v="2"/>
    <n v="0.97701149425287359"/>
  </r>
  <r>
    <n v="6962181067"/>
    <x v="8"/>
    <n v="1"/>
    <n v="528"/>
    <n v="546"/>
    <n v="8.8000000000000007"/>
    <x v="3"/>
    <n v="0.96703296703296704"/>
  </r>
  <r>
    <n v="6962181067"/>
    <x v="9"/>
    <n v="1"/>
    <n v="511"/>
    <n v="514"/>
    <n v="8.5166666666666675"/>
    <x v="4"/>
    <n v="0.99416342412451364"/>
  </r>
  <r>
    <n v="6962181067"/>
    <x v="10"/>
    <n v="1"/>
    <n v="400"/>
    <n v="415"/>
    <n v="6.666666666666667"/>
    <x v="6"/>
    <n v="0.96385542168674698"/>
  </r>
  <r>
    <n v="6962181067"/>
    <x v="11"/>
    <n v="1"/>
    <n v="441"/>
    <n v="446"/>
    <n v="7.35"/>
    <x v="0"/>
    <n v="0.9887892376681614"/>
  </r>
  <r>
    <n v="6962181067"/>
    <x v="27"/>
    <n v="1"/>
    <n v="455"/>
    <n v="467"/>
    <n v="7.583333333333333"/>
    <x v="1"/>
    <n v="0.97430406852248397"/>
  </r>
  <r>
    <n v="6962181067"/>
    <x v="12"/>
    <n v="1"/>
    <n v="440"/>
    <n v="453"/>
    <n v="7.333333333333333"/>
    <x v="5"/>
    <n v="0.9713024282560706"/>
  </r>
  <r>
    <n v="6962181067"/>
    <x v="13"/>
    <n v="1"/>
    <n v="433"/>
    <n v="447"/>
    <n v="7.2166666666666668"/>
    <x v="2"/>
    <n v="0.96868008948545858"/>
  </r>
  <r>
    <n v="6962181067"/>
    <x v="14"/>
    <n v="1"/>
    <n v="422"/>
    <n v="424"/>
    <n v="7.0333333333333332"/>
    <x v="3"/>
    <n v="0.99528301886792447"/>
  </r>
  <r>
    <n v="6962181067"/>
    <x v="15"/>
    <n v="1"/>
    <n v="411"/>
    <n v="426"/>
    <n v="6.85"/>
    <x v="4"/>
    <n v="0.96478873239436624"/>
  </r>
  <r>
    <n v="6962181067"/>
    <x v="16"/>
    <n v="1"/>
    <n v="466"/>
    <n v="482"/>
    <n v="7.7666666666666666"/>
    <x v="6"/>
    <n v="0.96680497925311204"/>
  </r>
  <r>
    <n v="6962181067"/>
    <x v="17"/>
    <n v="1"/>
    <n v="394"/>
    <n v="418"/>
    <n v="6.5666666666666664"/>
    <x v="0"/>
    <n v="0.9425837320574163"/>
  </r>
  <r>
    <n v="6962181067"/>
    <x v="28"/>
    <n v="1"/>
    <n v="442"/>
    <n v="455"/>
    <n v="7.3666666666666663"/>
    <x v="1"/>
    <n v="0.97142857142857142"/>
  </r>
  <r>
    <n v="6962181067"/>
    <x v="18"/>
    <n v="1"/>
    <n v="467"/>
    <n v="491"/>
    <n v="7.7833333333333332"/>
    <x v="5"/>
    <n v="0.95112016293279023"/>
  </r>
  <r>
    <n v="6962181067"/>
    <x v="19"/>
    <n v="1"/>
    <n v="443"/>
    <n v="462"/>
    <n v="7.3833333333333337"/>
    <x v="2"/>
    <n v="0.95887445887445888"/>
  </r>
  <r>
    <n v="6962181067"/>
    <x v="20"/>
    <n v="1"/>
    <n v="298"/>
    <n v="334"/>
    <n v="4.9666666666666668"/>
    <x v="3"/>
    <n v="0.89221556886227549"/>
  </r>
  <r>
    <n v="6962181067"/>
    <x v="21"/>
    <n v="1"/>
    <n v="541"/>
    <n v="569"/>
    <n v="9.0166666666666675"/>
    <x v="4"/>
    <n v="0.95079086115992972"/>
  </r>
  <r>
    <n v="6962181067"/>
    <x v="22"/>
    <n v="1"/>
    <n v="489"/>
    <n v="497"/>
    <n v="8.15"/>
    <x v="6"/>
    <n v="0.98390342052313884"/>
  </r>
  <r>
    <n v="6962181067"/>
    <x v="23"/>
    <n v="1"/>
    <n v="469"/>
    <n v="481"/>
    <n v="7.8166666666666664"/>
    <x v="0"/>
    <n v="0.97505197505197505"/>
  </r>
  <r>
    <n v="6962181067"/>
    <x v="24"/>
    <n v="1"/>
    <n v="452"/>
    <n v="480"/>
    <n v="7.5333333333333332"/>
    <x v="1"/>
    <n v="0.94166666666666665"/>
  </r>
  <r>
    <n v="6962181067"/>
    <x v="29"/>
    <n v="1"/>
    <n v="516"/>
    <n v="535"/>
    <n v="8.6"/>
    <x v="5"/>
    <n v="0.96448598130841123"/>
  </r>
  <r>
    <n v="7007744171"/>
    <x v="3"/>
    <n v="1"/>
    <n v="79"/>
    <n v="82"/>
    <n v="1.3166666666666667"/>
    <x v="3"/>
    <n v="0.96341463414634143"/>
  </r>
  <r>
    <n v="7007744171"/>
    <x v="15"/>
    <n v="1"/>
    <n v="58"/>
    <n v="61"/>
    <n v="0.96666666666666667"/>
    <x v="4"/>
    <n v="0.95081967213114749"/>
  </r>
  <r>
    <n v="7086361926"/>
    <x v="0"/>
    <n v="1"/>
    <n v="514"/>
    <n v="525"/>
    <n v="8.5666666666666664"/>
    <x v="0"/>
    <n v="0.97904761904761906"/>
  </r>
  <r>
    <n v="7086361926"/>
    <x v="1"/>
    <n v="1"/>
    <n v="451"/>
    <n v="465"/>
    <n v="7.5166666666666666"/>
    <x v="1"/>
    <n v="0.96989247311827953"/>
  </r>
  <r>
    <n v="7086361926"/>
    <x v="25"/>
    <n v="1"/>
    <n v="472"/>
    <n v="476"/>
    <n v="7.8666666666666663"/>
    <x v="5"/>
    <n v="0.99159663865546221"/>
  </r>
  <r>
    <n v="7086361926"/>
    <x v="2"/>
    <n v="1"/>
    <n v="377"/>
    <n v="386"/>
    <n v="6.2833333333333332"/>
    <x v="2"/>
    <n v="0.97668393782383423"/>
  </r>
  <r>
    <n v="7086361926"/>
    <x v="5"/>
    <n v="1"/>
    <n v="472"/>
    <n v="483"/>
    <n v="7.8666666666666663"/>
    <x v="0"/>
    <n v="0.97722567287784678"/>
  </r>
  <r>
    <n v="7086361926"/>
    <x v="6"/>
    <n v="1"/>
    <n v="492"/>
    <n v="502"/>
    <n v="8.1999999999999993"/>
    <x v="1"/>
    <n v="0.98007968127490042"/>
  </r>
  <r>
    <n v="7086361926"/>
    <x v="7"/>
    <n v="1"/>
    <n v="390"/>
    <n v="411"/>
    <n v="6.5"/>
    <x v="5"/>
    <n v="0.94890510948905105"/>
  </r>
  <r>
    <n v="7086361926"/>
    <x v="26"/>
    <n v="1"/>
    <n v="428"/>
    <n v="448"/>
    <n v="7.1333333333333337"/>
    <x v="2"/>
    <n v="0.9553571428571429"/>
  </r>
  <r>
    <n v="7086361926"/>
    <x v="9"/>
    <n v="1"/>
    <n v="681"/>
    <n v="704"/>
    <n v="11.35"/>
    <x v="4"/>
    <n v="0.96732954545454541"/>
  </r>
  <r>
    <n v="7086361926"/>
    <x v="10"/>
    <n v="1"/>
    <n v="446"/>
    <n v="447"/>
    <n v="7.4333333333333336"/>
    <x v="6"/>
    <n v="0.99776286353467558"/>
  </r>
  <r>
    <n v="7086361926"/>
    <x v="11"/>
    <n v="1"/>
    <n v="485"/>
    <n v="500"/>
    <n v="8.0833333333333339"/>
    <x v="0"/>
    <n v="0.97"/>
  </r>
  <r>
    <n v="7086361926"/>
    <x v="27"/>
    <n v="1"/>
    <n v="469"/>
    <n v="479"/>
    <n v="7.8166666666666664"/>
    <x v="1"/>
    <n v="0.97912317327766174"/>
  </r>
  <r>
    <n v="7086361926"/>
    <x v="12"/>
    <n v="1"/>
    <n v="354"/>
    <n v="367"/>
    <n v="5.9"/>
    <x v="5"/>
    <n v="0.96457765667574935"/>
  </r>
  <r>
    <n v="7086361926"/>
    <x v="14"/>
    <n v="1"/>
    <n v="485"/>
    <n v="489"/>
    <n v="8.0833333333333339"/>
    <x v="3"/>
    <n v="0.99182004089979547"/>
  </r>
  <r>
    <n v="7086361926"/>
    <x v="15"/>
    <n v="1"/>
    <n v="388"/>
    <n v="407"/>
    <n v="6.4666666666666668"/>
    <x v="4"/>
    <n v="0.95331695331695332"/>
  </r>
  <r>
    <n v="7086361926"/>
    <x v="16"/>
    <n v="1"/>
    <n v="440"/>
    <n v="459"/>
    <n v="7.333333333333333"/>
    <x v="6"/>
    <n v="0.95860566448801743"/>
  </r>
  <r>
    <n v="7086361926"/>
    <x v="17"/>
    <n v="1"/>
    <n v="456"/>
    <n v="461"/>
    <n v="7.6"/>
    <x v="0"/>
    <n v="0.98915401301518435"/>
  </r>
  <r>
    <n v="7086361926"/>
    <x v="28"/>
    <n v="1"/>
    <n v="420"/>
    <n v="436"/>
    <n v="7"/>
    <x v="1"/>
    <n v="0.96330275229357798"/>
  </r>
  <r>
    <n v="7086361926"/>
    <x v="19"/>
    <n v="1"/>
    <n v="322"/>
    <n v="333"/>
    <n v="5.3666666666666663"/>
    <x v="2"/>
    <n v="0.96696696696696693"/>
  </r>
  <r>
    <n v="7086361926"/>
    <x v="20"/>
    <n v="1"/>
    <n v="530"/>
    <n v="548"/>
    <n v="8.8333333333333339"/>
    <x v="3"/>
    <n v="0.96715328467153283"/>
  </r>
  <r>
    <n v="7086361926"/>
    <x v="21"/>
    <n v="1"/>
    <n v="481"/>
    <n v="510"/>
    <n v="8.0166666666666675"/>
    <x v="4"/>
    <n v="0.94313725490196076"/>
  </r>
  <r>
    <n v="7086361926"/>
    <x v="22"/>
    <n v="1"/>
    <n v="427"/>
    <n v="438"/>
    <n v="7.1166666666666663"/>
    <x v="6"/>
    <n v="0.97488584474885842"/>
  </r>
  <r>
    <n v="7086361926"/>
    <x v="24"/>
    <n v="1"/>
    <n v="451"/>
    <n v="463"/>
    <n v="7.5166666666666666"/>
    <x v="1"/>
    <n v="0.97408207343412523"/>
  </r>
  <r>
    <n v="7086361926"/>
    <x v="29"/>
    <n v="1"/>
    <n v="444"/>
    <n v="457"/>
    <n v="7.4"/>
    <x v="5"/>
    <n v="0.97155361050328226"/>
  </r>
  <r>
    <n v="8053475328"/>
    <x v="6"/>
    <n v="1"/>
    <n v="486"/>
    <n v="493"/>
    <n v="8.1"/>
    <x v="1"/>
    <n v="0.98580121703853951"/>
  </r>
  <r>
    <n v="8053475328"/>
    <x v="8"/>
    <n v="1"/>
    <n v="331"/>
    <n v="337"/>
    <n v="5.5166666666666666"/>
    <x v="3"/>
    <n v="0.98219584569732943"/>
  </r>
  <r>
    <n v="8053475328"/>
    <x v="20"/>
    <n v="1"/>
    <n v="74"/>
    <n v="75"/>
    <n v="1.2333333333333334"/>
    <x v="3"/>
    <n v="0.98666666666666669"/>
  </r>
  <r>
    <n v="8378563200"/>
    <x v="0"/>
    <n v="1"/>
    <n v="338"/>
    <n v="356"/>
    <n v="5.6333333333333337"/>
    <x v="0"/>
    <n v="0.949438202247191"/>
  </r>
  <r>
    <n v="8378563200"/>
    <x v="1"/>
    <n v="2"/>
    <n v="447"/>
    <n v="487"/>
    <n v="7.45"/>
    <x v="1"/>
    <n v="0.91786447638603696"/>
  </r>
  <r>
    <n v="8378563200"/>
    <x v="25"/>
    <n v="1"/>
    <n v="424"/>
    <n v="455"/>
    <n v="7.0666666666666664"/>
    <x v="5"/>
    <n v="0.93186813186813189"/>
  </r>
  <r>
    <n v="8378563200"/>
    <x v="2"/>
    <n v="1"/>
    <n v="513"/>
    <n v="533"/>
    <n v="8.5500000000000007"/>
    <x v="2"/>
    <n v="0.96247654784240155"/>
  </r>
  <r>
    <n v="8378563200"/>
    <x v="3"/>
    <n v="2"/>
    <n v="611"/>
    <n v="689"/>
    <n v="10.183333333333334"/>
    <x v="3"/>
    <n v="0.8867924528301887"/>
  </r>
  <r>
    <n v="8378563200"/>
    <x v="4"/>
    <n v="2"/>
    <n v="525"/>
    <n v="591"/>
    <n v="8.75"/>
    <x v="4"/>
    <n v="0.8883248730964467"/>
  </r>
  <r>
    <n v="8378563200"/>
    <x v="30"/>
    <n v="1"/>
    <n v="398"/>
    <n v="451"/>
    <n v="6.6333333333333337"/>
    <x v="6"/>
    <n v="0.8824833702882483"/>
  </r>
  <r>
    <n v="8378563200"/>
    <x v="5"/>
    <n v="1"/>
    <n v="387"/>
    <n v="421"/>
    <n v="6.45"/>
    <x v="0"/>
    <n v="0.91923990498812347"/>
  </r>
  <r>
    <n v="8378563200"/>
    <x v="6"/>
    <n v="1"/>
    <n v="381"/>
    <n v="409"/>
    <n v="6.35"/>
    <x v="1"/>
    <n v="0.93154034229828853"/>
  </r>
  <r>
    <n v="8378563200"/>
    <x v="7"/>
    <n v="1"/>
    <n v="396"/>
    <n v="417"/>
    <n v="6.6"/>
    <x v="5"/>
    <n v="0.94964028776978415"/>
  </r>
  <r>
    <n v="8378563200"/>
    <x v="26"/>
    <n v="1"/>
    <n v="441"/>
    <n v="469"/>
    <n v="7.35"/>
    <x v="2"/>
    <n v="0.94029850746268662"/>
  </r>
  <r>
    <n v="8378563200"/>
    <x v="8"/>
    <n v="1"/>
    <n v="565"/>
    <n v="591"/>
    <n v="9.4166666666666661"/>
    <x v="3"/>
    <n v="0.95600676818950936"/>
  </r>
  <r>
    <n v="8378563200"/>
    <x v="9"/>
    <n v="1"/>
    <n v="458"/>
    <n v="492"/>
    <n v="7.6333333333333337"/>
    <x v="4"/>
    <n v="0.93089430894308944"/>
  </r>
  <r>
    <n v="8378563200"/>
    <x v="10"/>
    <n v="1"/>
    <n v="388"/>
    <n v="402"/>
    <n v="6.4666666666666668"/>
    <x v="6"/>
    <n v="0.96517412935323388"/>
  </r>
  <r>
    <n v="8378563200"/>
    <x v="11"/>
    <n v="1"/>
    <n v="550"/>
    <n v="584"/>
    <n v="9.1666666666666661"/>
    <x v="0"/>
    <n v="0.94178082191780821"/>
  </r>
  <r>
    <n v="8378563200"/>
    <x v="27"/>
    <n v="1"/>
    <n v="531"/>
    <n v="600"/>
    <n v="8.85"/>
    <x v="1"/>
    <n v="0.88500000000000001"/>
  </r>
  <r>
    <n v="8378563200"/>
    <x v="12"/>
    <n v="1"/>
    <n v="506"/>
    <n v="556"/>
    <n v="8.4333333333333336"/>
    <x v="5"/>
    <n v="0.91007194244604317"/>
  </r>
  <r>
    <n v="8378563200"/>
    <x v="13"/>
    <n v="1"/>
    <n v="527"/>
    <n v="562"/>
    <n v="8.7833333333333332"/>
    <x v="2"/>
    <n v="0.93772241992882566"/>
  </r>
  <r>
    <n v="8378563200"/>
    <x v="14"/>
    <n v="1"/>
    <n v="468"/>
    <n v="555"/>
    <n v="7.8"/>
    <x v="3"/>
    <n v="0.84324324324324329"/>
  </r>
  <r>
    <n v="8378563200"/>
    <x v="15"/>
    <n v="1"/>
    <n v="475"/>
    <n v="539"/>
    <n v="7.916666666666667"/>
    <x v="4"/>
    <n v="0.88126159554730987"/>
  </r>
  <r>
    <n v="8378563200"/>
    <x v="16"/>
    <n v="1"/>
    <n v="351"/>
    <n v="385"/>
    <n v="5.85"/>
    <x v="6"/>
    <n v="0.91168831168831166"/>
  </r>
  <r>
    <n v="8378563200"/>
    <x v="17"/>
    <n v="1"/>
    <n v="405"/>
    <n v="429"/>
    <n v="6.75"/>
    <x v="0"/>
    <n v="0.94405594405594406"/>
  </r>
  <r>
    <n v="8378563200"/>
    <x v="28"/>
    <n v="1"/>
    <n v="441"/>
    <n v="477"/>
    <n v="7.35"/>
    <x v="1"/>
    <n v="0.92452830188679247"/>
  </r>
  <r>
    <n v="8378563200"/>
    <x v="18"/>
    <n v="1"/>
    <n v="381"/>
    <n v="417"/>
    <n v="6.35"/>
    <x v="5"/>
    <n v="0.91366906474820142"/>
  </r>
  <r>
    <n v="8378563200"/>
    <x v="19"/>
    <n v="1"/>
    <n v="323"/>
    <n v="355"/>
    <n v="5.3833333333333337"/>
    <x v="2"/>
    <n v="0.90985915492957747"/>
  </r>
  <r>
    <n v="8378563200"/>
    <x v="20"/>
    <n v="2"/>
    <n v="459"/>
    <n v="513"/>
    <n v="7.65"/>
    <x v="3"/>
    <n v="0.89473684210526316"/>
  </r>
  <r>
    <n v="8378563200"/>
    <x v="21"/>
    <n v="1"/>
    <n v="545"/>
    <n v="606"/>
    <n v="9.0833333333333339"/>
    <x v="4"/>
    <n v="0.89933993399339929"/>
  </r>
  <r>
    <n v="8378563200"/>
    <x v="22"/>
    <n v="1"/>
    <n v="359"/>
    <n v="399"/>
    <n v="5.9833333333333334"/>
    <x v="6"/>
    <n v="0.89974937343358397"/>
  </r>
  <r>
    <n v="8378563200"/>
    <x v="23"/>
    <n v="1"/>
    <n v="342"/>
    <n v="391"/>
    <n v="5.7"/>
    <x v="0"/>
    <n v="0.8746803069053708"/>
  </r>
  <r>
    <n v="8378563200"/>
    <x v="24"/>
    <n v="1"/>
    <n v="368"/>
    <n v="387"/>
    <n v="6.1333333333333337"/>
    <x v="1"/>
    <n v="0.95090439276485783"/>
  </r>
  <r>
    <n v="8378563200"/>
    <x v="29"/>
    <n v="1"/>
    <n v="496"/>
    <n v="546"/>
    <n v="8.2666666666666675"/>
    <x v="5"/>
    <n v="0.90842490842490842"/>
  </r>
  <r>
    <n v="8792009665"/>
    <x v="0"/>
    <n v="1"/>
    <n v="458"/>
    <n v="493"/>
    <n v="7.6333333333333337"/>
    <x v="0"/>
    <n v="0.92900608519269778"/>
  </r>
  <r>
    <n v="8792009665"/>
    <x v="1"/>
    <n v="1"/>
    <n v="531"/>
    <n v="552"/>
    <n v="8.85"/>
    <x v="1"/>
    <n v="0.96195652173913049"/>
  </r>
  <r>
    <n v="8792009665"/>
    <x v="25"/>
    <n v="1"/>
    <n v="486"/>
    <n v="503"/>
    <n v="8.1"/>
    <x v="5"/>
    <n v="0.96620278330019882"/>
  </r>
  <r>
    <n v="8792009665"/>
    <x v="2"/>
    <n v="1"/>
    <n v="363"/>
    <n v="377"/>
    <n v="6.05"/>
    <x v="2"/>
    <n v="0.96286472148541113"/>
  </r>
  <r>
    <n v="8792009665"/>
    <x v="6"/>
    <n v="1"/>
    <n v="528"/>
    <n v="547"/>
    <n v="8.8000000000000007"/>
    <x v="1"/>
    <n v="0.96526508226691043"/>
  </r>
  <r>
    <n v="8792009665"/>
    <x v="26"/>
    <n v="1"/>
    <n v="391"/>
    <n v="407"/>
    <n v="6.5166666666666666"/>
    <x v="2"/>
    <n v="0.9606879606879607"/>
  </r>
  <r>
    <n v="8792009665"/>
    <x v="8"/>
    <n v="1"/>
    <n v="339"/>
    <n v="360"/>
    <n v="5.65"/>
    <x v="3"/>
    <n v="0.94166666666666665"/>
  </r>
  <r>
    <n v="8792009665"/>
    <x v="27"/>
    <n v="1"/>
    <n v="423"/>
    <n v="428"/>
    <n v="7.05"/>
    <x v="1"/>
    <n v="0.98831775700934577"/>
  </r>
  <r>
    <n v="8792009665"/>
    <x v="12"/>
    <n v="1"/>
    <n v="402"/>
    <n v="416"/>
    <n v="6.7"/>
    <x v="5"/>
    <n v="0.96634615384615385"/>
  </r>
  <r>
    <n v="8792009665"/>
    <x v="13"/>
    <n v="1"/>
    <n v="398"/>
    <n v="406"/>
    <n v="6.6333333333333337"/>
    <x v="2"/>
    <n v="0.98029556650246308"/>
  </r>
  <r>
    <n v="8792009665"/>
    <x v="14"/>
    <n v="1"/>
    <n v="343"/>
    <n v="360"/>
    <n v="5.7166666666666668"/>
    <x v="3"/>
    <n v="0.95277777777777772"/>
  </r>
  <r>
    <n v="8792009665"/>
    <x v="15"/>
    <n v="1"/>
    <n v="503"/>
    <n v="527"/>
    <n v="8.3833333333333329"/>
    <x v="4"/>
    <n v="0.95445920303605314"/>
  </r>
  <r>
    <n v="8792009665"/>
    <x v="16"/>
    <n v="1"/>
    <n v="415"/>
    <n v="423"/>
    <n v="6.916666666666667"/>
    <x v="6"/>
    <n v="0.98108747044917255"/>
  </r>
  <r>
    <n v="8792009665"/>
    <x v="17"/>
    <n v="1"/>
    <n v="516"/>
    <n v="545"/>
    <n v="8.6"/>
    <x v="0"/>
    <n v="0.94678899082568813"/>
  </r>
  <r>
    <n v="8792009665"/>
    <x v="28"/>
    <n v="1"/>
    <n v="439"/>
    <n v="463"/>
    <n v="7.3166666666666664"/>
    <x v="1"/>
    <n v="0.94816414686825057"/>
  </r>
  <r>
    <m/>
    <x v="31"/>
    <m/>
    <m/>
    <m/>
    <m/>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017613-798D-487C-8997-A6CBB2D92DC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1" firstHeaderRow="1" firstDataRow="1" firstDataCol="1"/>
  <pivotFields count="19">
    <pivotField showAll="0"/>
    <pivotField showAll="0">
      <items count="33">
        <item x="7"/>
        <item x="16"/>
        <item x="9"/>
        <item x="20"/>
        <item x="26"/>
        <item x="28"/>
        <item x="11"/>
        <item x="23"/>
        <item x="6"/>
        <item x="27"/>
        <item x="19"/>
        <item x="18"/>
        <item x="21"/>
        <item x="24"/>
        <item x="30"/>
        <item x="12"/>
        <item x="13"/>
        <item x="14"/>
        <item x="17"/>
        <item x="25"/>
        <item x="5"/>
        <item x="2"/>
        <item x="22"/>
        <item x="10"/>
        <item x="4"/>
        <item x="15"/>
        <item x="8"/>
        <item x="1"/>
        <item x="3"/>
        <item x="29"/>
        <item x="0"/>
        <item x="3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5"/>
        <item x="0"/>
        <item x="3"/>
        <item x="1"/>
        <item x="6"/>
        <item x="4"/>
        <item x="2"/>
        <item x="7"/>
        <item t="default"/>
      </items>
    </pivotField>
    <pivotField showAll="0"/>
    <pivotField showAll="0"/>
    <pivotField showAll="0"/>
  </pivotFields>
  <rowFields count="1">
    <field x="15"/>
  </rowFields>
  <rowItems count="8">
    <i>
      <x/>
    </i>
    <i>
      <x v="1"/>
    </i>
    <i>
      <x v="2"/>
    </i>
    <i>
      <x v="3"/>
    </i>
    <i>
      <x v="4"/>
    </i>
    <i>
      <x v="5"/>
    </i>
    <i>
      <x v="6"/>
    </i>
    <i t="grand">
      <x/>
    </i>
  </rowItems>
  <colItems count="1">
    <i/>
  </colItems>
  <dataFields count="1">
    <dataField name="Average of total_steps" fld="2" subtotal="average" baseField="15"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9" name="activity_data">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13AEC-DB80-47F1-BCD3-A771C5EEBF5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pivotFields count="19">
    <pivotField showAll="0"/>
    <pivotField showAll="0">
      <items count="33">
        <item x="7"/>
        <item x="16"/>
        <item x="9"/>
        <item x="20"/>
        <item x="26"/>
        <item x="28"/>
        <item x="11"/>
        <item x="23"/>
        <item x="6"/>
        <item x="27"/>
        <item x="19"/>
        <item x="18"/>
        <item x="21"/>
        <item x="24"/>
        <item x="30"/>
        <item x="12"/>
        <item x="13"/>
        <item x="14"/>
        <item x="17"/>
        <item x="25"/>
        <item x="5"/>
        <item x="2"/>
        <item x="22"/>
        <item x="10"/>
        <item x="4"/>
        <item x="15"/>
        <item x="8"/>
        <item x="1"/>
        <item x="3"/>
        <item x="29"/>
        <item x="0"/>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9">
        <item x="5"/>
        <item x="0"/>
        <item x="3"/>
        <item x="1"/>
        <item x="6"/>
        <item x="4"/>
        <item x="2"/>
        <item x="7"/>
        <item t="default"/>
      </items>
    </pivotField>
    <pivotField showAll="0"/>
    <pivotField showAll="0"/>
    <pivotField showAll="0"/>
  </pivotFields>
  <rowFields count="1">
    <field x="15"/>
  </rowFields>
  <rowItems count="8">
    <i>
      <x/>
    </i>
    <i>
      <x v="1"/>
    </i>
    <i>
      <x v="2"/>
    </i>
    <i>
      <x v="3"/>
    </i>
    <i>
      <x v="4"/>
    </i>
    <i>
      <x v="5"/>
    </i>
    <i>
      <x v="6"/>
    </i>
    <i t="grand">
      <x/>
    </i>
  </rowItems>
  <colItems count="1">
    <i/>
  </colItems>
  <dataFields count="1">
    <dataField name="Average of calories" fld="14" subtotal="average" baseField="15"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6" name="activity_data">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EC59F7-9F87-4A8C-B074-FF2C298FC24F}"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7">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showAll="0"/>
    <pivotField showAll="0">
      <items count="258">
        <item x="231"/>
        <item x="110"/>
        <item x="60"/>
        <item x="142"/>
        <item x="206"/>
        <item x="102"/>
        <item x="230"/>
        <item x="131"/>
        <item x="150"/>
        <item x="128"/>
        <item x="162"/>
        <item x="155"/>
        <item x="164"/>
        <item x="24"/>
        <item x="165"/>
        <item x="25"/>
        <item x="161"/>
        <item x="27"/>
        <item x="83"/>
        <item x="35"/>
        <item x="163"/>
        <item x="96"/>
        <item x="82"/>
        <item x="105"/>
        <item x="94"/>
        <item x="86"/>
        <item x="93"/>
        <item x="11"/>
        <item x="17"/>
        <item x="89"/>
        <item x="168"/>
        <item x="99"/>
        <item x="91"/>
        <item x="88"/>
        <item x="16"/>
        <item x="76"/>
        <item x="10"/>
        <item x="80"/>
        <item x="23"/>
        <item x="115"/>
        <item x="78"/>
        <item x="95"/>
        <item x="171"/>
        <item x="77"/>
        <item x="34"/>
        <item x="227"/>
        <item x="124"/>
        <item x="5"/>
        <item x="87"/>
        <item x="100"/>
        <item x="97"/>
        <item x="133"/>
        <item x="103"/>
        <item x="98"/>
        <item x="7"/>
        <item x="0"/>
        <item x="152"/>
        <item x="129"/>
        <item x="19"/>
        <item x="84"/>
        <item x="92"/>
        <item x="18"/>
        <item x="209"/>
        <item x="148"/>
        <item x="21"/>
        <item x="252"/>
        <item x="3"/>
        <item x="13"/>
        <item x="249"/>
        <item x="254"/>
        <item x="187"/>
        <item x="90"/>
        <item x="182"/>
        <item x="247"/>
        <item x="153"/>
        <item x="143"/>
        <item x="85"/>
        <item x="58"/>
        <item x="248"/>
        <item x="6"/>
        <item x="8"/>
        <item x="251"/>
        <item x="107"/>
        <item x="12"/>
        <item x="138"/>
        <item x="15"/>
        <item x="146"/>
        <item x="69"/>
        <item x="180"/>
        <item x="203"/>
        <item x="190"/>
        <item x="81"/>
        <item x="169"/>
        <item x="22"/>
        <item x="1"/>
        <item x="106"/>
        <item x="242"/>
        <item x="151"/>
        <item x="139"/>
        <item x="216"/>
        <item x="197"/>
        <item x="213"/>
        <item x="225"/>
        <item x="243"/>
        <item x="32"/>
        <item x="184"/>
        <item x="167"/>
        <item x="158"/>
        <item x="253"/>
        <item x="14"/>
        <item x="68"/>
        <item x="198"/>
        <item x="74"/>
        <item x="136"/>
        <item x="75"/>
        <item x="2"/>
        <item x="176"/>
        <item x="255"/>
        <item x="178"/>
        <item x="157"/>
        <item x="194"/>
        <item x="154"/>
        <item x="236"/>
        <item x="130"/>
        <item x="223"/>
        <item x="215"/>
        <item x="79"/>
        <item x="166"/>
        <item x="126"/>
        <item x="218"/>
        <item x="135"/>
        <item x="145"/>
        <item x="9"/>
        <item x="208"/>
        <item x="174"/>
        <item x="71"/>
        <item x="177"/>
        <item x="72"/>
        <item x="41"/>
        <item x="196"/>
        <item x="134"/>
        <item x="222"/>
        <item x="147"/>
        <item x="70"/>
        <item x="226"/>
        <item x="239"/>
        <item x="62"/>
        <item x="234"/>
        <item x="191"/>
        <item x="73"/>
        <item x="200"/>
        <item x="119"/>
        <item x="220"/>
        <item x="63"/>
        <item x="193"/>
        <item x="172"/>
        <item x="179"/>
        <item x="59"/>
        <item x="159"/>
        <item x="245"/>
        <item x="202"/>
        <item x="67"/>
        <item x="43"/>
        <item x="149"/>
        <item x="195"/>
        <item x="66"/>
        <item x="224"/>
        <item x="61"/>
        <item x="56"/>
        <item x="144"/>
        <item x="140"/>
        <item x="141"/>
        <item x="118"/>
        <item x="33"/>
        <item x="219"/>
        <item x="44"/>
        <item x="104"/>
        <item x="175"/>
        <item x="173"/>
        <item x="238"/>
        <item x="160"/>
        <item x="117"/>
        <item x="235"/>
        <item x="240"/>
        <item x="122"/>
        <item x="113"/>
        <item x="228"/>
        <item x="51"/>
        <item x="211"/>
        <item x="210"/>
        <item x="250"/>
        <item x="116"/>
        <item x="42"/>
        <item x="125"/>
        <item x="65"/>
        <item x="101"/>
        <item x="156"/>
        <item x="36"/>
        <item x="207"/>
        <item x="114"/>
        <item x="48"/>
        <item x="120"/>
        <item x="49"/>
        <item x="54"/>
        <item x="50"/>
        <item x="232"/>
        <item x="109"/>
        <item x="229"/>
        <item x="45"/>
        <item x="46"/>
        <item x="39"/>
        <item x="40"/>
        <item x="204"/>
        <item x="53"/>
        <item x="221"/>
        <item x="123"/>
        <item x="237"/>
        <item x="37"/>
        <item x="111"/>
        <item x="108"/>
        <item x="55"/>
        <item x="57"/>
        <item x="212"/>
        <item x="201"/>
        <item x="38"/>
        <item x="137"/>
        <item x="199"/>
        <item x="246"/>
        <item x="132"/>
        <item x="186"/>
        <item x="47"/>
        <item x="64"/>
        <item x="244"/>
        <item x="192"/>
        <item x="52"/>
        <item x="30"/>
        <item x="170"/>
        <item x="20"/>
        <item x="214"/>
        <item x="121"/>
        <item x="205"/>
        <item x="241"/>
        <item x="127"/>
        <item x="189"/>
        <item x="217"/>
        <item x="185"/>
        <item x="28"/>
        <item x="181"/>
        <item x="183"/>
        <item x="233"/>
        <item x="112"/>
        <item x="4"/>
        <item x="29"/>
        <item x="31"/>
        <item x="188"/>
        <item x="26"/>
        <item x="256"/>
        <item t="default"/>
      </items>
    </pivotField>
    <pivotField axis="axisRow" showAll="0">
      <items count="9">
        <item x="4"/>
        <item x="6"/>
        <item x="0"/>
        <item x="1"/>
        <item x="5"/>
        <item x="2"/>
        <item x="3"/>
        <item x="7"/>
        <item t="default"/>
      </items>
    </pivotField>
  </pivotFields>
  <rowFields count="1">
    <field x="6"/>
  </rowFields>
  <rowItems count="9">
    <i>
      <x/>
    </i>
    <i>
      <x v="1"/>
    </i>
    <i>
      <x v="2"/>
    </i>
    <i>
      <x v="3"/>
    </i>
    <i>
      <x v="4"/>
    </i>
    <i>
      <x v="5"/>
    </i>
    <i>
      <x v="6"/>
    </i>
    <i>
      <x v="7"/>
    </i>
    <i t="grand">
      <x/>
    </i>
  </rowItems>
  <colItems count="1">
    <i/>
  </colItems>
  <dataFields count="1">
    <dataField name="Average of minute_asleep" fld="3" subtotal="average" baseField="6"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49A8A1-4FBE-447D-909C-BA7DCF1D0DAE}"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1" firstHeaderRow="1" firstDataRow="1" firstDataCol="1"/>
  <pivotFields count="8">
    <pivotField showAll="0"/>
    <pivotField showAll="0">
      <items count="33">
        <item x="0"/>
        <item x="1"/>
        <item x="25"/>
        <item x="2"/>
        <item x="3"/>
        <item x="4"/>
        <item x="30"/>
        <item x="5"/>
        <item x="6"/>
        <item x="7"/>
        <item x="26"/>
        <item x="8"/>
        <item x="9"/>
        <item x="10"/>
        <item x="11"/>
        <item x="27"/>
        <item x="12"/>
        <item x="13"/>
        <item x="14"/>
        <item x="15"/>
        <item x="16"/>
        <item x="17"/>
        <item x="28"/>
        <item x="18"/>
        <item x="19"/>
        <item x="20"/>
        <item x="21"/>
        <item x="22"/>
        <item x="23"/>
        <item x="24"/>
        <item x="29"/>
        <item x="31"/>
        <item t="default"/>
      </items>
    </pivotField>
    <pivotField showAll="0"/>
    <pivotField showAll="0"/>
    <pivotField showAll="0"/>
    <pivotField showAll="0"/>
    <pivotField axis="axisRow" showAll="0">
      <items count="9">
        <item x="4"/>
        <item x="6"/>
        <item x="0"/>
        <item x="1"/>
        <item x="5"/>
        <item x="2"/>
        <item x="3"/>
        <item h="1" x="7"/>
        <item t="default"/>
      </items>
    </pivotField>
    <pivotField dataField="1" showAll="0"/>
  </pivotFields>
  <rowFields count="1">
    <field x="6"/>
  </rowFields>
  <rowItems count="8">
    <i>
      <x/>
    </i>
    <i>
      <x v="1"/>
    </i>
    <i>
      <x v="2"/>
    </i>
    <i>
      <x v="3"/>
    </i>
    <i>
      <x v="4"/>
    </i>
    <i>
      <x v="5"/>
    </i>
    <i>
      <x v="6"/>
    </i>
    <i t="grand">
      <x/>
    </i>
  </rowItems>
  <colItems count="1">
    <i/>
  </colItems>
  <dataFields count="1">
    <dataField name="Average of sleep_efficency" fld="7"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sleep_date">
      <autoFilter ref="A1">
        <filterColumn colId="0">
          <customFilters and="1">
            <customFilter operator="greaterThanOrEqual" val="42552"/>
            <customFilter operator="lessThanOrEqual" val="426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F4C0B8-1825-4C96-A7C2-95EE9C3F76A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19">
    <pivotField showAll="0"/>
    <pivotField showAll="0">
      <items count="33">
        <item x="7"/>
        <item x="16"/>
        <item x="9"/>
        <item x="20"/>
        <item x="26"/>
        <item x="28"/>
        <item x="11"/>
        <item x="23"/>
        <item x="6"/>
        <item x="27"/>
        <item x="19"/>
        <item x="18"/>
        <item x="21"/>
        <item x="24"/>
        <item x="30"/>
        <item x="12"/>
        <item x="13"/>
        <item x="14"/>
        <item x="17"/>
        <item x="25"/>
        <item x="5"/>
        <item x="2"/>
        <item x="22"/>
        <item x="10"/>
        <item x="4"/>
        <item x="15"/>
        <item x="8"/>
        <item x="1"/>
        <item x="3"/>
        <item x="29"/>
        <item x="0"/>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5"/>
        <item x="0"/>
        <item x="3"/>
        <item x="1"/>
        <item x="6"/>
        <item x="4"/>
        <item x="2"/>
        <item x="7"/>
        <item t="default"/>
      </items>
    </pivotField>
    <pivotField showAll="0"/>
    <pivotField showAll="0"/>
    <pivotField axis="axisRow" dataField="1" showAll="0">
      <items count="6">
        <item x="1"/>
        <item x="2"/>
        <item x="0"/>
        <item x="3"/>
        <item h="1" x="4"/>
        <item t="default"/>
      </items>
    </pivotField>
  </pivotFields>
  <rowFields count="1">
    <field x="18"/>
  </rowFields>
  <rowItems count="5">
    <i>
      <x/>
    </i>
    <i>
      <x v="1"/>
    </i>
    <i>
      <x v="2"/>
    </i>
    <i>
      <x v="3"/>
    </i>
    <i t="grand">
      <x/>
    </i>
  </rowItems>
  <colItems count="1">
    <i/>
  </colItems>
  <dataFields count="1">
    <dataField name="Count of activity_levels" fld="18" subtotal="count" baseField="0" baseItem="0"/>
  </dataFields>
  <chartFormats count="10">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8" count="1" selected="0">
            <x v="0"/>
          </reference>
        </references>
      </pivotArea>
    </chartFormat>
    <chartFormat chart="7" format="8">
      <pivotArea type="data" outline="0" fieldPosition="0">
        <references count="2">
          <reference field="4294967294" count="1" selected="0">
            <x v="0"/>
          </reference>
          <reference field="18" count="1" selected="0">
            <x v="1"/>
          </reference>
        </references>
      </pivotArea>
    </chartFormat>
    <chartFormat chart="7" format="9">
      <pivotArea type="data" outline="0" fieldPosition="0">
        <references count="2">
          <reference field="4294967294" count="1" selected="0">
            <x v="0"/>
          </reference>
          <reference field="18" count="1" selected="0">
            <x v="2"/>
          </reference>
        </references>
      </pivotArea>
    </chartFormat>
    <chartFormat chart="7" format="10">
      <pivotArea type="data" outline="0" fieldPosition="0">
        <references count="2">
          <reference field="4294967294" count="1" selected="0">
            <x v="0"/>
          </reference>
          <reference field="18" count="1" selected="0">
            <x v="3"/>
          </reference>
        </references>
      </pivotArea>
    </chartFormat>
    <chartFormat chart="5" format="5">
      <pivotArea type="data" outline="0" fieldPosition="0">
        <references count="2">
          <reference field="4294967294" count="1" selected="0">
            <x v="0"/>
          </reference>
          <reference field="18" count="1" selected="0">
            <x v="0"/>
          </reference>
        </references>
      </pivotArea>
    </chartFormat>
    <chartFormat chart="5" format="6">
      <pivotArea type="data" outline="0" fieldPosition="0">
        <references count="2">
          <reference field="4294967294" count="1" selected="0">
            <x v="0"/>
          </reference>
          <reference field="18" count="1" selected="0">
            <x v="1"/>
          </reference>
        </references>
      </pivotArea>
    </chartFormat>
    <chartFormat chart="5" format="7">
      <pivotArea type="data" outline="0" fieldPosition="0">
        <references count="2">
          <reference field="4294967294" count="1" selected="0">
            <x v="0"/>
          </reference>
          <reference field="18" count="1" selected="0">
            <x v="2"/>
          </reference>
        </references>
      </pivotArea>
    </chartFormat>
    <chartFormat chart="5" format="8">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filters count="1">
    <filter fld="1" type="dateBetween" evalOrder="-1" id="129" name="activity_data">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FAAA6-A36E-4AA0-B5B6-50EA7209139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1" firstHeaderRow="1" firstDataRow="1" firstDataCol="1"/>
  <pivotFields count="19">
    <pivotField showAll="0"/>
    <pivotField showAll="0">
      <items count="33">
        <item x="7"/>
        <item x="16"/>
        <item x="9"/>
        <item x="20"/>
        <item x="26"/>
        <item x="28"/>
        <item x="11"/>
        <item x="23"/>
        <item x="6"/>
        <item x="27"/>
        <item x="19"/>
        <item x="18"/>
        <item x="21"/>
        <item x="24"/>
        <item x="30"/>
        <item x="12"/>
        <item x="13"/>
        <item x="14"/>
        <item x="17"/>
        <item x="25"/>
        <item x="5"/>
        <item x="2"/>
        <item x="22"/>
        <item x="10"/>
        <item x="4"/>
        <item x="15"/>
        <item x="8"/>
        <item x="1"/>
        <item x="3"/>
        <item x="29"/>
        <item x="0"/>
        <item x="3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9">
        <item x="5"/>
        <item x="0"/>
        <item x="3"/>
        <item x="1"/>
        <item x="6"/>
        <item x="4"/>
        <item x="2"/>
        <item x="7"/>
        <item t="default"/>
      </items>
    </pivotField>
    <pivotField showAll="0"/>
    <pivotField showAll="0"/>
    <pivotField showAll="0"/>
  </pivotFields>
  <rowFields count="1">
    <field x="15"/>
  </rowFields>
  <rowItems count="8">
    <i>
      <x/>
    </i>
    <i>
      <x v="1"/>
    </i>
    <i>
      <x v="2"/>
    </i>
    <i>
      <x v="3"/>
    </i>
    <i>
      <x v="4"/>
    </i>
    <i>
      <x v="5"/>
    </i>
    <i>
      <x v="6"/>
    </i>
    <i t="grand">
      <x/>
    </i>
  </rowItems>
  <colItems count="1">
    <i/>
  </colItems>
  <dataFields count="1">
    <dataField name="Average of very_active_minutes" fld="10" subtotal="average" baseField="1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6" name="activity_data">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BD5BCA-0474-4AA9-B7EE-02481B79FB73}" autoFormatId="16" applyNumberFormats="0" applyBorderFormats="0" applyFontFormats="0" applyPatternFormats="0" applyAlignmentFormats="0" applyWidthHeightFormats="0">
  <queryTableRefresh nextId="9" unboundColumnsRight="2">
    <queryTableFields count="8">
      <queryTableField id="1" name="Id" tableColumnId="1"/>
      <queryTableField id="2" name="sleep_date" tableColumnId="2"/>
      <queryTableField id="3" name="sleep_records" tableColumnId="3"/>
      <queryTableField id="4" name="minute_asleep" tableColumnId="4"/>
      <queryTableField id="5" name="time_in_bed" tableColumnId="5"/>
      <queryTableField id="6" name="sleep_hours"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E2960C1C-B69E-48E1-BAF0-EA8169DB3AFA}" sourceName="day_of_week">
  <pivotTables>
    <pivotTable tabId="8" name="PivotTable8"/>
    <pivotTable tabId="11" name="PivotTable11"/>
    <pivotTable tabId="3" name="PivotTable4"/>
    <pivotTable tabId="2" name="PivotTable2"/>
  </pivotTables>
  <data>
    <tabular pivotCacheId="910217768">
      <items count="8">
        <i x="5" s="1"/>
        <i x="0" s="1"/>
        <i x="3" s="1"/>
        <i x="1" s="1"/>
        <i x="6" s="1"/>
        <i x="4" s="1"/>
        <i x="2" s="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of_week" xr10:uid="{55EBCF00-6D49-451E-9159-368022128558}" cache="Slicer_day_of_week" caption="day_of_week"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CCABE-0094-46DC-9315-5DB6AC5EC9C8}" name="sleepDay_4_12_16_5_12_16" displayName="sleepDay_4_12_16_5_12_16" ref="A1:H411" tableType="queryTable" totalsRowShown="0">
  <autoFilter ref="A1:H411" xr:uid="{045CCABE-0094-46DC-9315-5DB6AC5EC9C8}"/>
  <tableColumns count="8">
    <tableColumn id="1" xr3:uid="{F4F40B7A-8A47-49C8-BC82-857CCC753FA9}" uniqueName="1" name="Id" queryTableFieldId="1"/>
    <tableColumn id="2" xr3:uid="{CB4B36AE-12B5-44CF-B9CE-9A06D7BF1790}" uniqueName="2" name="sleep_date" queryTableFieldId="2" dataDxfId="14"/>
    <tableColumn id="3" xr3:uid="{DB28998C-D999-4171-A26E-DB2F57096841}" uniqueName="3" name="sleep_records" queryTableFieldId="3"/>
    <tableColumn id="4" xr3:uid="{4DE6B5BF-B3BF-400F-8930-3A97454C0788}" uniqueName="4" name="minute_asleep" queryTableFieldId="4"/>
    <tableColumn id="5" xr3:uid="{F1AAE458-ACB3-419D-B56B-BFC27E8524AE}" uniqueName="5" name="time_in_bed" queryTableFieldId="5"/>
    <tableColumn id="6" xr3:uid="{2AC161CC-EFC3-43A7-A071-B21A5BE9DC50}" uniqueName="6" name="sleep_hours" queryTableFieldId="6"/>
    <tableColumn id="7" xr3:uid="{BC8375FE-B247-43B6-80F3-EE504DBD5CC7}" uniqueName="7" name="day_of_week" queryTableFieldId="7" dataDxfId="13">
      <calculatedColumnFormula>TEXT(B2,"dddd")</calculatedColumnFormula>
    </tableColumn>
    <tableColumn id="8" xr3:uid="{896ACD0A-F9FD-4D42-A4D6-105443C7AB2E}" uniqueName="8" name="sleep_efficency" queryTableFieldId="8" dataDxfId="12">
      <calculatedColumnFormula>D2/E2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67A615-86F2-4F3D-857F-B1235C8EC956}" name="Table1" displayName="Table1" ref="A1:S942" totalsRowShown="0">
  <autoFilter ref="A1:S942" xr:uid="{9767A615-86F2-4F3D-857F-B1235C8EC956}"/>
  <sortState xmlns:xlrd2="http://schemas.microsoft.com/office/spreadsheetml/2017/richdata2" ref="A2:O941">
    <sortCondition ref="O1:O941"/>
  </sortState>
  <tableColumns count="19">
    <tableColumn id="1" xr3:uid="{F57A1213-3DFC-44A1-B3AD-C37F648766B0}" name="Id"/>
    <tableColumn id="2" xr3:uid="{A80CD850-740A-48D7-93F4-7AEFD4463063}" name="activity_data" dataDxfId="11"/>
    <tableColumn id="3" xr3:uid="{1E36B7A7-0020-4783-9A4B-6B2180817447}" name="total_steps"/>
    <tableColumn id="4" xr3:uid="{FB307654-2F04-4197-B811-203E70997A56}" name="total_distance" dataDxfId="10"/>
    <tableColumn id="5" xr3:uid="{FB9C9E1D-FFDC-4E3B-9389-6043AB952669}" name="tracker_distance" dataDxfId="9"/>
    <tableColumn id="6" xr3:uid="{CB02A44D-22E5-4A6A-A2F6-5591825A0692}" name="logged_activities_distance" dataDxfId="8"/>
    <tableColumn id="7" xr3:uid="{1D2FCAE8-80EC-4598-996D-E3586EE05E82}" name="very_active_distance" dataDxfId="7"/>
    <tableColumn id="8" xr3:uid="{634D6BD7-052C-4915-BE50-92026B46FBB4}" name="moderately_active_distance" dataDxfId="6"/>
    <tableColumn id="9" xr3:uid="{525DD963-C024-406A-9BC7-466A5E0F0804}" name="light_active_distance" dataDxfId="5"/>
    <tableColumn id="10" xr3:uid="{830A1F35-A72C-41F0-9D8C-9D1833DE39DB}" name="sedentary_active_distance" dataDxfId="4"/>
    <tableColumn id="11" xr3:uid="{30A76D30-A308-420E-911D-651A9EAE6B14}" name="very_active_minutes"/>
    <tableColumn id="12" xr3:uid="{55122E92-955B-49C0-954C-9D10B82DE6BC}" name="fairly_active_minutes"/>
    <tableColumn id="13" xr3:uid="{923D205F-44E9-4851-8A9A-FC11B8A9ED9F}" name="lightly_active_minutes"/>
    <tableColumn id="14" xr3:uid="{1130C9EA-7B74-4439-820D-2F54520BE951}" name="sedentary_minutes"/>
    <tableColumn id="15" xr3:uid="{C94D0F37-55EF-490A-B963-94B0721ED961}" name="calories"/>
    <tableColumn id="16" xr3:uid="{64C9ABC1-44A9-402B-9405-839F17E95D3C}" name="day_of_week" dataDxfId="3">
      <calculatedColumnFormula>TEXT(B2,"dddd")</calculatedColumnFormula>
    </tableColumn>
    <tableColumn id="21" xr3:uid="{E4532744-9F1D-4485-AFF1-7D9557FB6354}" name="total_minutes" dataDxfId="2">
      <calculatedColumnFormula>SUM(K2:N2)</calculatedColumnFormula>
    </tableColumn>
    <tableColumn id="22" xr3:uid="{65F0CF31-D359-4C3A-9827-B104212A07D4}" name="weekday_weekend" dataDxfId="1">
      <calculatedColumnFormula>IF(WEEKDAY(B2,2)&lt;=5,"Weekday","Weekend")</calculatedColumnFormula>
    </tableColumn>
    <tableColumn id="23" xr3:uid="{F6066E31-7BBC-4CAB-8D35-4A4AEFB83794}" name="activity_levels" dataDxfId="0">
      <calculatedColumnFormula>IF(C2&lt;5000,"Sedentary",IF(C2&lt;7500,"Lightly Active",IF(C2&lt;10000,"Fairly Active","Very_Active")))</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ctivity_data" xr10:uid="{D3312CC4-D099-40AC-A58D-CD38B8E3ACD9}" sourceName="activity_data">
  <pivotTables>
    <pivotTable tabId="2" name="PivotTable2"/>
    <pivotTable tabId="8" name="PivotTable8"/>
    <pivotTable tabId="11" name="PivotTable11"/>
    <pivotTable tabId="3" name="PivotTable4"/>
  </pivotTables>
  <state minimalRefreshVersion="6" lastRefreshVersion="6" pivotCacheId="910217768" filterType="dateBetween">
    <selection startDate="2016-01-01T00:00:00" endDate="2016-12-31T00:00:00"/>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ctivity_data" xr10:uid="{82DF9C2C-B805-46EA-B16F-72D76BCC6277}" cache="NativeTimeline_activity_data" caption="Quaters" level="1" selectionLevel="0" scrollPosition="2016-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3F39-74B0-459C-AC65-2C7F92909310}">
  <dimension ref="A3:B11"/>
  <sheetViews>
    <sheetView workbookViewId="0">
      <selection activeCell="A3" sqref="A3"/>
    </sheetView>
  </sheetViews>
  <sheetFormatPr defaultRowHeight="13.8" x14ac:dyDescent="0.25"/>
  <cols>
    <col min="1" max="1" width="13.09765625" bestFit="1" customWidth="1"/>
    <col min="2" max="2" width="20.296875" bestFit="1" customWidth="1"/>
  </cols>
  <sheetData>
    <row r="3" spans="1:2" x14ac:dyDescent="0.25">
      <c r="A3" s="6" t="s">
        <v>19</v>
      </c>
      <c r="B3" t="s">
        <v>32</v>
      </c>
    </row>
    <row r="4" spans="1:2" x14ac:dyDescent="0.25">
      <c r="A4" s="7" t="s">
        <v>20</v>
      </c>
      <c r="B4" s="11">
        <v>7387.4603174603171</v>
      </c>
    </row>
    <row r="5" spans="1:2" x14ac:dyDescent="0.25">
      <c r="A5" s="7" t="s">
        <v>21</v>
      </c>
      <c r="B5" s="11">
        <v>7164.2767857142853</v>
      </c>
    </row>
    <row r="6" spans="1:2" x14ac:dyDescent="0.25">
      <c r="A6" s="7" t="s">
        <v>22</v>
      </c>
      <c r="B6" s="11">
        <v>7359.5394736842109</v>
      </c>
    </row>
    <row r="7" spans="1:2" x14ac:dyDescent="0.25">
      <c r="A7" s="7" t="s">
        <v>23</v>
      </c>
      <c r="B7" s="11">
        <v>7837.6097560975613</v>
      </c>
    </row>
    <row r="8" spans="1:2" x14ac:dyDescent="0.25">
      <c r="A8" s="7" t="s">
        <v>24</v>
      </c>
      <c r="B8" s="11">
        <v>8059.7539682539682</v>
      </c>
    </row>
    <row r="9" spans="1:2" x14ac:dyDescent="0.25">
      <c r="A9" s="7" t="s">
        <v>25</v>
      </c>
      <c r="B9" s="11">
        <v>7293.8431372549021</v>
      </c>
    </row>
    <row r="10" spans="1:2" x14ac:dyDescent="0.25">
      <c r="A10" s="7" t="s">
        <v>26</v>
      </c>
      <c r="B10" s="11">
        <v>8326.04054054054</v>
      </c>
    </row>
    <row r="11" spans="1:2" x14ac:dyDescent="0.25">
      <c r="A11" s="7" t="s">
        <v>27</v>
      </c>
      <c r="B11" s="11">
        <v>7637.9106382978725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B11B-7B33-4446-9DF2-14949A699C9E}">
  <dimension ref="A3:B11"/>
  <sheetViews>
    <sheetView workbookViewId="0">
      <selection activeCell="B5" sqref="B5"/>
    </sheetView>
  </sheetViews>
  <sheetFormatPr defaultRowHeight="13.8" x14ac:dyDescent="0.25"/>
  <cols>
    <col min="1" max="1" width="13.09765625" bestFit="1" customWidth="1"/>
    <col min="2" max="2" width="18" bestFit="1" customWidth="1"/>
  </cols>
  <sheetData>
    <row r="3" spans="1:2" x14ac:dyDescent="0.25">
      <c r="A3" s="6" t="s">
        <v>19</v>
      </c>
      <c r="B3" t="s">
        <v>33</v>
      </c>
    </row>
    <row r="4" spans="1:2" x14ac:dyDescent="0.25">
      <c r="A4" s="7" t="s">
        <v>20</v>
      </c>
      <c r="B4" s="11">
        <v>2321.3253968253966</v>
      </c>
    </row>
    <row r="5" spans="1:2" x14ac:dyDescent="0.25">
      <c r="A5" s="7" t="s">
        <v>21</v>
      </c>
      <c r="B5" s="11">
        <v>2114.6607142857142</v>
      </c>
    </row>
    <row r="6" spans="1:2" x14ac:dyDescent="0.25">
      <c r="A6" s="7" t="s">
        <v>22</v>
      </c>
      <c r="B6" s="11">
        <v>2291.8421052631579</v>
      </c>
    </row>
    <row r="7" spans="1:2" x14ac:dyDescent="0.25">
      <c r="A7" s="7" t="s">
        <v>23</v>
      </c>
      <c r="B7" s="11">
        <v>2313.6829268292681</v>
      </c>
    </row>
    <row r="8" spans="1:2" x14ac:dyDescent="0.25">
      <c r="A8" s="7" t="s">
        <v>24</v>
      </c>
      <c r="B8" s="11">
        <v>2376.2857142857142</v>
      </c>
    </row>
    <row r="9" spans="1:2" x14ac:dyDescent="0.25">
      <c r="A9" s="7" t="s">
        <v>25</v>
      </c>
      <c r="B9" s="11">
        <v>2307.9019607843138</v>
      </c>
    </row>
    <row r="10" spans="1:2" x14ac:dyDescent="0.25">
      <c r="A10" s="7" t="s">
        <v>26</v>
      </c>
      <c r="B10" s="11">
        <v>2368.9189189189187</v>
      </c>
    </row>
    <row r="11" spans="1:2" x14ac:dyDescent="0.25">
      <c r="A11" s="7" t="s">
        <v>27</v>
      </c>
      <c r="B11" s="11">
        <v>2303.6095744680852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694C-8F4D-4EE5-A0B3-1E615423C171}">
  <dimension ref="A3:B12"/>
  <sheetViews>
    <sheetView workbookViewId="0">
      <selection activeCell="A3" sqref="A3"/>
    </sheetView>
  </sheetViews>
  <sheetFormatPr defaultRowHeight="13.8" x14ac:dyDescent="0.25"/>
  <cols>
    <col min="1" max="1" width="13.09765625" bestFit="1" customWidth="1"/>
    <col min="2" max="2" width="23.8984375" bestFit="1" customWidth="1"/>
  </cols>
  <sheetData>
    <row r="3" spans="1:2" x14ac:dyDescent="0.25">
      <c r="A3" s="6" t="s">
        <v>19</v>
      </c>
      <c r="B3" t="s">
        <v>40</v>
      </c>
    </row>
    <row r="4" spans="1:2" x14ac:dyDescent="0.25">
      <c r="A4" s="7" t="s">
        <v>20</v>
      </c>
      <c r="B4" s="11">
        <v>452.74545454545455</v>
      </c>
    </row>
    <row r="5" spans="1:2" x14ac:dyDescent="0.25">
      <c r="A5" s="7" t="s">
        <v>21</v>
      </c>
      <c r="B5" s="11">
        <v>419.5</v>
      </c>
    </row>
    <row r="6" spans="1:2" x14ac:dyDescent="0.25">
      <c r="A6" s="7" t="s">
        <v>22</v>
      </c>
      <c r="B6" s="11">
        <v>404.53846153846155</v>
      </c>
    </row>
    <row r="7" spans="1:2" x14ac:dyDescent="0.25">
      <c r="A7" s="7" t="s">
        <v>23</v>
      </c>
      <c r="B7" s="11">
        <v>434.68181818181819</v>
      </c>
    </row>
    <row r="8" spans="1:2" x14ac:dyDescent="0.25">
      <c r="A8" s="7" t="s">
        <v>24</v>
      </c>
      <c r="B8" s="11">
        <v>401.296875</v>
      </c>
    </row>
    <row r="9" spans="1:2" x14ac:dyDescent="0.25">
      <c r="A9" s="7" t="s">
        <v>25</v>
      </c>
      <c r="B9" s="11">
        <v>405.42105263157896</v>
      </c>
    </row>
    <row r="10" spans="1:2" x14ac:dyDescent="0.25">
      <c r="A10" s="7" t="s">
        <v>26</v>
      </c>
      <c r="B10" s="11">
        <v>419.07017543859649</v>
      </c>
    </row>
    <row r="11" spans="1:2" x14ac:dyDescent="0.25">
      <c r="A11" s="7" t="s">
        <v>45</v>
      </c>
      <c r="B11" s="11"/>
    </row>
    <row r="12" spans="1:2" x14ac:dyDescent="0.25">
      <c r="A12" s="7" t="s">
        <v>27</v>
      </c>
      <c r="B12" s="11">
        <v>419.17317073170733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9B64-549C-48B5-86CF-A52B47A5ABB7}">
  <dimension ref="A3:B11"/>
  <sheetViews>
    <sheetView workbookViewId="0">
      <selection activeCell="K20" sqref="K20"/>
    </sheetView>
  </sheetViews>
  <sheetFormatPr defaultRowHeight="13.8" x14ac:dyDescent="0.25"/>
  <cols>
    <col min="1" max="1" width="12.3984375" customWidth="1"/>
    <col min="2" max="2" width="22.8984375" customWidth="1"/>
  </cols>
  <sheetData>
    <row r="3" spans="1:2" x14ac:dyDescent="0.25">
      <c r="A3" s="6" t="s">
        <v>19</v>
      </c>
      <c r="B3" t="s">
        <v>43</v>
      </c>
    </row>
    <row r="4" spans="1:2" x14ac:dyDescent="0.25">
      <c r="A4" s="7" t="s">
        <v>20</v>
      </c>
      <c r="B4">
        <v>0.9050897761569775</v>
      </c>
    </row>
    <row r="5" spans="1:2" x14ac:dyDescent="0.25">
      <c r="A5" s="7" t="s">
        <v>21</v>
      </c>
      <c r="B5">
        <v>0.91968620522069011</v>
      </c>
    </row>
    <row r="6" spans="1:2" x14ac:dyDescent="0.25">
      <c r="A6" s="7" t="s">
        <v>22</v>
      </c>
      <c r="B6">
        <v>0.91094808821702256</v>
      </c>
    </row>
    <row r="7" spans="1:2" x14ac:dyDescent="0.25">
      <c r="A7" s="7" t="s">
        <v>23</v>
      </c>
      <c r="B7">
        <v>0.92128524549884916</v>
      </c>
    </row>
    <row r="8" spans="1:2" x14ac:dyDescent="0.25">
      <c r="A8" s="7" t="s">
        <v>24</v>
      </c>
      <c r="B8">
        <v>0.92268031653442872</v>
      </c>
    </row>
    <row r="9" spans="1:2" x14ac:dyDescent="0.25">
      <c r="A9" s="7" t="s">
        <v>25</v>
      </c>
      <c r="B9">
        <v>0.9200713753772819</v>
      </c>
    </row>
    <row r="10" spans="1:2" x14ac:dyDescent="0.25">
      <c r="A10" s="7" t="s">
        <v>26</v>
      </c>
      <c r="B10">
        <v>0.91497871164468869</v>
      </c>
    </row>
    <row r="11" spans="1:2" x14ac:dyDescent="0.25">
      <c r="A11" s="7" t="s">
        <v>27</v>
      </c>
      <c r="B11">
        <v>0.91646670801041952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24BC-67AC-4BFB-9F50-3089448A4FE7}">
  <dimension ref="A1:H411"/>
  <sheetViews>
    <sheetView topLeftCell="A64" workbookViewId="0">
      <selection activeCell="A64" sqref="A1:XFD1048576"/>
    </sheetView>
  </sheetViews>
  <sheetFormatPr defaultRowHeight="13.8" x14ac:dyDescent="0.25"/>
  <cols>
    <col min="1" max="1" width="10.8984375" customWidth="1"/>
    <col min="2" max="2" width="12.296875" customWidth="1"/>
    <col min="3" max="3" width="14.796875" customWidth="1"/>
    <col min="4" max="4" width="15.5" customWidth="1"/>
    <col min="5" max="5" width="13.3984375" customWidth="1"/>
    <col min="6" max="6" width="13" customWidth="1"/>
    <col min="7" max="7" width="12.59765625" customWidth="1"/>
    <col min="8" max="8" width="16.796875" customWidth="1"/>
  </cols>
  <sheetData>
    <row r="1" spans="1:8" x14ac:dyDescent="0.25">
      <c r="A1" t="s">
        <v>0</v>
      </c>
      <c r="B1" t="s">
        <v>34</v>
      </c>
      <c r="C1" t="s">
        <v>35</v>
      </c>
      <c r="D1" t="s">
        <v>36</v>
      </c>
      <c r="E1" t="s">
        <v>37</v>
      </c>
      <c r="F1" t="s">
        <v>38</v>
      </c>
      <c r="G1" t="s">
        <v>15</v>
      </c>
      <c r="H1" t="s">
        <v>42</v>
      </c>
    </row>
    <row r="2" spans="1:8" x14ac:dyDescent="0.25">
      <c r="A2">
        <v>1503960366</v>
      </c>
      <c r="B2" s="8">
        <v>42472</v>
      </c>
      <c r="C2">
        <v>1</v>
      </c>
      <c r="D2">
        <v>327</v>
      </c>
      <c r="E2">
        <v>346</v>
      </c>
      <c r="F2">
        <v>5.45</v>
      </c>
      <c r="G2" t="str">
        <f t="shared" ref="G2:G65" si="0">TEXT(B2,"dddd")</f>
        <v>Tuesday</v>
      </c>
      <c r="H2">
        <f t="shared" ref="H2:H65" si="1">D2/E2</f>
        <v>0.94508670520231219</v>
      </c>
    </row>
    <row r="3" spans="1:8" x14ac:dyDescent="0.25">
      <c r="A3">
        <v>1503960366</v>
      </c>
      <c r="B3" s="8">
        <v>42473</v>
      </c>
      <c r="C3">
        <v>2</v>
      </c>
      <c r="D3">
        <v>384</v>
      </c>
      <c r="E3">
        <v>407</v>
      </c>
      <c r="F3">
        <v>6.4</v>
      </c>
      <c r="G3" t="str">
        <f t="shared" si="0"/>
        <v>Wednesday</v>
      </c>
      <c r="H3">
        <f t="shared" si="1"/>
        <v>0.94348894348894352</v>
      </c>
    </row>
    <row r="4" spans="1:8" x14ac:dyDescent="0.25">
      <c r="A4">
        <v>1503960366</v>
      </c>
      <c r="B4" s="8">
        <v>42475</v>
      </c>
      <c r="C4">
        <v>1</v>
      </c>
      <c r="D4">
        <v>412</v>
      </c>
      <c r="E4">
        <v>442</v>
      </c>
      <c r="F4">
        <v>6.8666666666666663</v>
      </c>
      <c r="G4" t="str">
        <f t="shared" si="0"/>
        <v>Friday</v>
      </c>
      <c r="H4">
        <f t="shared" si="1"/>
        <v>0.9321266968325792</v>
      </c>
    </row>
    <row r="5" spans="1:8" x14ac:dyDescent="0.25">
      <c r="A5">
        <v>1503960366</v>
      </c>
      <c r="B5" s="8">
        <v>42476</v>
      </c>
      <c r="C5">
        <v>2</v>
      </c>
      <c r="D5">
        <v>340</v>
      </c>
      <c r="E5">
        <v>367</v>
      </c>
      <c r="F5">
        <v>5.666666666666667</v>
      </c>
      <c r="G5" t="str">
        <f t="shared" si="0"/>
        <v>Saturday</v>
      </c>
      <c r="H5">
        <f t="shared" si="1"/>
        <v>0.92643051771117169</v>
      </c>
    </row>
    <row r="6" spans="1:8" x14ac:dyDescent="0.25">
      <c r="A6">
        <v>1503960366</v>
      </c>
      <c r="B6" s="8">
        <v>42477</v>
      </c>
      <c r="C6">
        <v>1</v>
      </c>
      <c r="D6">
        <v>700</v>
      </c>
      <c r="E6">
        <v>712</v>
      </c>
      <c r="F6">
        <v>11.666666666666666</v>
      </c>
      <c r="G6" t="str">
        <f t="shared" si="0"/>
        <v>Sunday</v>
      </c>
      <c r="H6">
        <f t="shared" si="1"/>
        <v>0.9831460674157303</v>
      </c>
    </row>
    <row r="7" spans="1:8" x14ac:dyDescent="0.25">
      <c r="A7">
        <v>1503960366</v>
      </c>
      <c r="B7" s="8">
        <v>42479</v>
      </c>
      <c r="C7">
        <v>1</v>
      </c>
      <c r="D7">
        <v>304</v>
      </c>
      <c r="E7">
        <v>320</v>
      </c>
      <c r="F7">
        <v>5.0666666666666664</v>
      </c>
      <c r="G7" t="str">
        <f t="shared" si="0"/>
        <v>Tuesday</v>
      </c>
      <c r="H7">
        <f t="shared" si="1"/>
        <v>0.95</v>
      </c>
    </row>
    <row r="8" spans="1:8" x14ac:dyDescent="0.25">
      <c r="A8">
        <v>1503960366</v>
      </c>
      <c r="B8" s="8">
        <v>42480</v>
      </c>
      <c r="C8">
        <v>1</v>
      </c>
      <c r="D8">
        <v>360</v>
      </c>
      <c r="E8">
        <v>377</v>
      </c>
      <c r="F8">
        <v>6</v>
      </c>
      <c r="G8" t="str">
        <f t="shared" si="0"/>
        <v>Wednesday</v>
      </c>
      <c r="H8">
        <f t="shared" si="1"/>
        <v>0.95490716180371349</v>
      </c>
    </row>
    <row r="9" spans="1:8" x14ac:dyDescent="0.25">
      <c r="A9">
        <v>1503960366</v>
      </c>
      <c r="B9" s="8">
        <v>42481</v>
      </c>
      <c r="C9">
        <v>1</v>
      </c>
      <c r="D9">
        <v>325</v>
      </c>
      <c r="E9">
        <v>364</v>
      </c>
      <c r="F9">
        <v>5.416666666666667</v>
      </c>
      <c r="G9" t="str">
        <f t="shared" si="0"/>
        <v>Thursday</v>
      </c>
      <c r="H9">
        <f t="shared" si="1"/>
        <v>0.8928571428571429</v>
      </c>
    </row>
    <row r="10" spans="1:8" x14ac:dyDescent="0.25">
      <c r="A10">
        <v>1503960366</v>
      </c>
      <c r="B10" s="8">
        <v>42483</v>
      </c>
      <c r="C10">
        <v>1</v>
      </c>
      <c r="D10">
        <v>361</v>
      </c>
      <c r="E10">
        <v>384</v>
      </c>
      <c r="F10">
        <v>6.0166666666666666</v>
      </c>
      <c r="G10" t="str">
        <f t="shared" si="0"/>
        <v>Saturday</v>
      </c>
      <c r="H10">
        <f t="shared" si="1"/>
        <v>0.94010416666666663</v>
      </c>
    </row>
    <row r="11" spans="1:8" x14ac:dyDescent="0.25">
      <c r="A11">
        <v>1503960366</v>
      </c>
      <c r="B11" s="8">
        <v>42484</v>
      </c>
      <c r="C11">
        <v>1</v>
      </c>
      <c r="D11">
        <v>430</v>
      </c>
      <c r="E11">
        <v>449</v>
      </c>
      <c r="F11">
        <v>7.166666666666667</v>
      </c>
      <c r="G11" t="str">
        <f t="shared" si="0"/>
        <v>Sunday</v>
      </c>
      <c r="H11">
        <f t="shared" si="1"/>
        <v>0.95768374164810688</v>
      </c>
    </row>
    <row r="12" spans="1:8" x14ac:dyDescent="0.25">
      <c r="A12">
        <v>1503960366</v>
      </c>
      <c r="B12" s="8">
        <v>42485</v>
      </c>
      <c r="C12">
        <v>1</v>
      </c>
      <c r="D12">
        <v>277</v>
      </c>
      <c r="E12">
        <v>323</v>
      </c>
      <c r="F12">
        <v>4.6166666666666663</v>
      </c>
      <c r="G12" t="str">
        <f t="shared" si="0"/>
        <v>Monday</v>
      </c>
      <c r="H12">
        <f t="shared" si="1"/>
        <v>0.85758513931888547</v>
      </c>
    </row>
    <row r="13" spans="1:8" x14ac:dyDescent="0.25">
      <c r="A13">
        <v>1503960366</v>
      </c>
      <c r="B13" s="8">
        <v>42486</v>
      </c>
      <c r="C13">
        <v>1</v>
      </c>
      <c r="D13">
        <v>245</v>
      </c>
      <c r="E13">
        <v>274</v>
      </c>
      <c r="F13">
        <v>4.083333333333333</v>
      </c>
      <c r="G13" t="str">
        <f t="shared" si="0"/>
        <v>Tuesday</v>
      </c>
      <c r="H13">
        <f t="shared" si="1"/>
        <v>0.8941605839416058</v>
      </c>
    </row>
    <row r="14" spans="1:8" x14ac:dyDescent="0.25">
      <c r="A14">
        <v>1503960366</v>
      </c>
      <c r="B14" s="8">
        <v>42488</v>
      </c>
      <c r="C14">
        <v>1</v>
      </c>
      <c r="D14">
        <v>366</v>
      </c>
      <c r="E14">
        <v>393</v>
      </c>
      <c r="F14">
        <v>6.1</v>
      </c>
      <c r="G14" t="str">
        <f t="shared" si="0"/>
        <v>Thursday</v>
      </c>
      <c r="H14">
        <f t="shared" si="1"/>
        <v>0.93129770992366412</v>
      </c>
    </row>
    <row r="15" spans="1:8" x14ac:dyDescent="0.25">
      <c r="A15">
        <v>1503960366</v>
      </c>
      <c r="B15" s="8">
        <v>42489</v>
      </c>
      <c r="C15">
        <v>1</v>
      </c>
      <c r="D15">
        <v>341</v>
      </c>
      <c r="E15">
        <v>354</v>
      </c>
      <c r="F15">
        <v>5.6833333333333336</v>
      </c>
      <c r="G15" t="str">
        <f t="shared" si="0"/>
        <v>Friday</v>
      </c>
      <c r="H15">
        <f t="shared" si="1"/>
        <v>0.96327683615819204</v>
      </c>
    </row>
    <row r="16" spans="1:8" x14ac:dyDescent="0.25">
      <c r="A16">
        <v>1503960366</v>
      </c>
      <c r="B16" s="8">
        <v>42490</v>
      </c>
      <c r="C16">
        <v>1</v>
      </c>
      <c r="D16">
        <v>404</v>
      </c>
      <c r="E16">
        <v>425</v>
      </c>
      <c r="F16">
        <v>6.7333333333333334</v>
      </c>
      <c r="G16" t="str">
        <f t="shared" si="0"/>
        <v>Saturday</v>
      </c>
      <c r="H16">
        <f t="shared" si="1"/>
        <v>0.95058823529411762</v>
      </c>
    </row>
    <row r="17" spans="1:8" x14ac:dyDescent="0.25">
      <c r="A17">
        <v>1503960366</v>
      </c>
      <c r="B17" s="8">
        <v>42491</v>
      </c>
      <c r="C17">
        <v>1</v>
      </c>
      <c r="D17">
        <v>369</v>
      </c>
      <c r="E17">
        <v>396</v>
      </c>
      <c r="F17">
        <v>6.15</v>
      </c>
      <c r="G17" t="str">
        <f t="shared" si="0"/>
        <v>Sunday</v>
      </c>
      <c r="H17">
        <f t="shared" si="1"/>
        <v>0.93181818181818177</v>
      </c>
    </row>
    <row r="18" spans="1:8" x14ac:dyDescent="0.25">
      <c r="A18">
        <v>1503960366</v>
      </c>
      <c r="B18" s="8">
        <v>42492</v>
      </c>
      <c r="C18">
        <v>1</v>
      </c>
      <c r="D18">
        <v>277</v>
      </c>
      <c r="E18">
        <v>309</v>
      </c>
      <c r="F18">
        <v>4.6166666666666663</v>
      </c>
      <c r="G18" t="str">
        <f t="shared" si="0"/>
        <v>Monday</v>
      </c>
      <c r="H18">
        <f t="shared" si="1"/>
        <v>0.8964401294498382</v>
      </c>
    </row>
    <row r="19" spans="1:8" x14ac:dyDescent="0.25">
      <c r="A19">
        <v>1503960366</v>
      </c>
      <c r="B19" s="8">
        <v>42493</v>
      </c>
      <c r="C19">
        <v>1</v>
      </c>
      <c r="D19">
        <v>273</v>
      </c>
      <c r="E19">
        <v>296</v>
      </c>
      <c r="F19">
        <v>4.55</v>
      </c>
      <c r="G19" t="str">
        <f t="shared" si="0"/>
        <v>Tuesday</v>
      </c>
      <c r="H19">
        <f t="shared" si="1"/>
        <v>0.92229729729729726</v>
      </c>
    </row>
    <row r="20" spans="1:8" x14ac:dyDescent="0.25">
      <c r="A20">
        <v>1503960366</v>
      </c>
      <c r="B20" s="8">
        <v>42495</v>
      </c>
      <c r="C20">
        <v>1</v>
      </c>
      <c r="D20">
        <v>247</v>
      </c>
      <c r="E20">
        <v>264</v>
      </c>
      <c r="F20">
        <v>4.1166666666666663</v>
      </c>
      <c r="G20" t="str">
        <f t="shared" si="0"/>
        <v>Thursday</v>
      </c>
      <c r="H20">
        <f t="shared" si="1"/>
        <v>0.93560606060606055</v>
      </c>
    </row>
    <row r="21" spans="1:8" x14ac:dyDescent="0.25">
      <c r="A21">
        <v>1503960366</v>
      </c>
      <c r="B21" s="8">
        <v>42496</v>
      </c>
      <c r="C21">
        <v>1</v>
      </c>
      <c r="D21">
        <v>334</v>
      </c>
      <c r="E21">
        <v>367</v>
      </c>
      <c r="F21">
        <v>5.5666666666666664</v>
      </c>
      <c r="G21" t="str">
        <f t="shared" si="0"/>
        <v>Friday</v>
      </c>
      <c r="H21">
        <f t="shared" si="1"/>
        <v>0.91008174386920981</v>
      </c>
    </row>
    <row r="22" spans="1:8" x14ac:dyDescent="0.25">
      <c r="A22">
        <v>1503960366</v>
      </c>
      <c r="B22" s="8">
        <v>42497</v>
      </c>
      <c r="C22">
        <v>1</v>
      </c>
      <c r="D22">
        <v>331</v>
      </c>
      <c r="E22">
        <v>349</v>
      </c>
      <c r="F22">
        <v>5.5166666666666666</v>
      </c>
      <c r="G22" t="str">
        <f t="shared" si="0"/>
        <v>Saturday</v>
      </c>
      <c r="H22">
        <f t="shared" si="1"/>
        <v>0.9484240687679083</v>
      </c>
    </row>
    <row r="23" spans="1:8" x14ac:dyDescent="0.25">
      <c r="A23">
        <v>1503960366</v>
      </c>
      <c r="B23" s="8">
        <v>42498</v>
      </c>
      <c r="C23">
        <v>1</v>
      </c>
      <c r="D23">
        <v>594</v>
      </c>
      <c r="E23">
        <v>611</v>
      </c>
      <c r="F23">
        <v>9.9</v>
      </c>
      <c r="G23" t="str">
        <f t="shared" si="0"/>
        <v>Sunday</v>
      </c>
      <c r="H23">
        <f t="shared" si="1"/>
        <v>0.97217675941080195</v>
      </c>
    </row>
    <row r="24" spans="1:8" x14ac:dyDescent="0.25">
      <c r="A24">
        <v>1503960366</v>
      </c>
      <c r="B24" s="8">
        <v>42499</v>
      </c>
      <c r="C24">
        <v>1</v>
      </c>
      <c r="D24">
        <v>338</v>
      </c>
      <c r="E24">
        <v>342</v>
      </c>
      <c r="F24">
        <v>5.6333333333333337</v>
      </c>
      <c r="G24" t="str">
        <f t="shared" si="0"/>
        <v>Monday</v>
      </c>
      <c r="H24">
        <f t="shared" si="1"/>
        <v>0.98830409356725146</v>
      </c>
    </row>
    <row r="25" spans="1:8" x14ac:dyDescent="0.25">
      <c r="A25">
        <v>1503960366</v>
      </c>
      <c r="B25" s="8">
        <v>42500</v>
      </c>
      <c r="C25">
        <v>1</v>
      </c>
      <c r="D25">
        <v>383</v>
      </c>
      <c r="E25">
        <v>403</v>
      </c>
      <c r="F25">
        <v>6.3833333333333337</v>
      </c>
      <c r="G25" t="str">
        <f t="shared" si="0"/>
        <v>Tuesday</v>
      </c>
      <c r="H25">
        <f t="shared" si="1"/>
        <v>0.95037220843672454</v>
      </c>
    </row>
    <row r="26" spans="1:8" x14ac:dyDescent="0.25">
      <c r="A26">
        <v>1503960366</v>
      </c>
      <c r="B26" s="8">
        <v>42501</v>
      </c>
      <c r="C26">
        <v>1</v>
      </c>
      <c r="D26">
        <v>285</v>
      </c>
      <c r="E26">
        <v>306</v>
      </c>
      <c r="F26">
        <v>4.75</v>
      </c>
      <c r="G26" t="str">
        <f t="shared" si="0"/>
        <v>Wednesday</v>
      </c>
      <c r="H26">
        <f t="shared" si="1"/>
        <v>0.93137254901960786</v>
      </c>
    </row>
    <row r="27" spans="1:8" x14ac:dyDescent="0.25">
      <c r="A27">
        <v>1644430081</v>
      </c>
      <c r="B27" s="8">
        <v>42489</v>
      </c>
      <c r="C27">
        <v>1</v>
      </c>
      <c r="D27">
        <v>119</v>
      </c>
      <c r="E27">
        <v>127</v>
      </c>
      <c r="F27">
        <v>1.9833333333333334</v>
      </c>
      <c r="G27" t="str">
        <f t="shared" si="0"/>
        <v>Friday</v>
      </c>
      <c r="H27">
        <f t="shared" si="1"/>
        <v>0.93700787401574803</v>
      </c>
    </row>
    <row r="28" spans="1:8" x14ac:dyDescent="0.25">
      <c r="A28">
        <v>1644430081</v>
      </c>
      <c r="B28" s="8">
        <v>42490</v>
      </c>
      <c r="C28">
        <v>1</v>
      </c>
      <c r="D28">
        <v>124</v>
      </c>
      <c r="E28">
        <v>142</v>
      </c>
      <c r="F28">
        <v>2.0666666666666669</v>
      </c>
      <c r="G28" t="str">
        <f t="shared" si="0"/>
        <v>Saturday</v>
      </c>
      <c r="H28">
        <f t="shared" si="1"/>
        <v>0.87323943661971826</v>
      </c>
    </row>
    <row r="29" spans="1:8" x14ac:dyDescent="0.25">
      <c r="A29">
        <v>1644430081</v>
      </c>
      <c r="B29" s="8">
        <v>42492</v>
      </c>
      <c r="C29">
        <v>1</v>
      </c>
      <c r="D29">
        <v>796</v>
      </c>
      <c r="E29">
        <v>961</v>
      </c>
      <c r="F29">
        <v>13.266666666666667</v>
      </c>
      <c r="G29" t="str">
        <f t="shared" si="0"/>
        <v>Monday</v>
      </c>
      <c r="H29">
        <f t="shared" si="1"/>
        <v>0.82830385015608743</v>
      </c>
    </row>
    <row r="30" spans="1:8" x14ac:dyDescent="0.25">
      <c r="A30">
        <v>1644430081</v>
      </c>
      <c r="B30" s="8">
        <v>42498</v>
      </c>
      <c r="C30">
        <v>1</v>
      </c>
      <c r="D30">
        <v>137</v>
      </c>
      <c r="E30">
        <v>154</v>
      </c>
      <c r="F30">
        <v>2.2833333333333332</v>
      </c>
      <c r="G30" t="str">
        <f t="shared" si="0"/>
        <v>Sunday</v>
      </c>
      <c r="H30">
        <f t="shared" si="1"/>
        <v>0.88961038961038963</v>
      </c>
    </row>
    <row r="31" spans="1:8" x14ac:dyDescent="0.25">
      <c r="A31">
        <v>1844505072</v>
      </c>
      <c r="B31" s="8">
        <v>42475</v>
      </c>
      <c r="C31">
        <v>1</v>
      </c>
      <c r="D31">
        <v>644</v>
      </c>
      <c r="E31">
        <v>961</v>
      </c>
      <c r="F31">
        <v>10.733333333333333</v>
      </c>
      <c r="G31" t="str">
        <f t="shared" si="0"/>
        <v>Friday</v>
      </c>
      <c r="H31">
        <f t="shared" si="1"/>
        <v>0.67013527575442244</v>
      </c>
    </row>
    <row r="32" spans="1:8" x14ac:dyDescent="0.25">
      <c r="A32">
        <v>1844505072</v>
      </c>
      <c r="B32" s="8">
        <v>42490</v>
      </c>
      <c r="C32">
        <v>1</v>
      </c>
      <c r="D32">
        <v>722</v>
      </c>
      <c r="E32">
        <v>961</v>
      </c>
      <c r="F32">
        <v>12.033333333333333</v>
      </c>
      <c r="G32" t="str">
        <f t="shared" si="0"/>
        <v>Saturday</v>
      </c>
      <c r="H32">
        <f t="shared" si="1"/>
        <v>0.7513007284079084</v>
      </c>
    </row>
    <row r="33" spans="1:8" x14ac:dyDescent="0.25">
      <c r="A33">
        <v>1844505072</v>
      </c>
      <c r="B33" s="8">
        <v>42491</v>
      </c>
      <c r="C33">
        <v>1</v>
      </c>
      <c r="D33">
        <v>590</v>
      </c>
      <c r="E33">
        <v>961</v>
      </c>
      <c r="F33">
        <v>9.8333333333333339</v>
      </c>
      <c r="G33" t="str">
        <f t="shared" si="0"/>
        <v>Sunday</v>
      </c>
      <c r="H33">
        <f t="shared" si="1"/>
        <v>0.6139438085327783</v>
      </c>
    </row>
    <row r="34" spans="1:8" x14ac:dyDescent="0.25">
      <c r="A34">
        <v>1927972279</v>
      </c>
      <c r="B34" s="8">
        <v>42472</v>
      </c>
      <c r="C34">
        <v>3</v>
      </c>
      <c r="D34">
        <v>750</v>
      </c>
      <c r="E34">
        <v>775</v>
      </c>
      <c r="F34">
        <v>12.5</v>
      </c>
      <c r="G34" t="str">
        <f t="shared" si="0"/>
        <v>Tuesday</v>
      </c>
      <c r="H34">
        <f t="shared" si="1"/>
        <v>0.967741935483871</v>
      </c>
    </row>
    <row r="35" spans="1:8" x14ac:dyDescent="0.25">
      <c r="A35">
        <v>1927972279</v>
      </c>
      <c r="B35" s="8">
        <v>42473</v>
      </c>
      <c r="C35">
        <v>1</v>
      </c>
      <c r="D35">
        <v>398</v>
      </c>
      <c r="E35">
        <v>422</v>
      </c>
      <c r="F35">
        <v>6.6333333333333337</v>
      </c>
      <c r="G35" t="str">
        <f t="shared" si="0"/>
        <v>Wednesday</v>
      </c>
      <c r="H35">
        <f t="shared" si="1"/>
        <v>0.94312796208530802</v>
      </c>
    </row>
    <row r="36" spans="1:8" x14ac:dyDescent="0.25">
      <c r="A36">
        <v>1927972279</v>
      </c>
      <c r="B36" s="8">
        <v>42475</v>
      </c>
      <c r="C36">
        <v>2</v>
      </c>
      <c r="D36">
        <v>475</v>
      </c>
      <c r="E36">
        <v>499</v>
      </c>
      <c r="F36">
        <v>7.916666666666667</v>
      </c>
      <c r="G36" t="str">
        <f t="shared" si="0"/>
        <v>Friday</v>
      </c>
      <c r="H36">
        <f t="shared" si="1"/>
        <v>0.95190380761523041</v>
      </c>
    </row>
    <row r="37" spans="1:8" x14ac:dyDescent="0.25">
      <c r="A37">
        <v>1927972279</v>
      </c>
      <c r="B37" s="8">
        <v>42486</v>
      </c>
      <c r="C37">
        <v>1</v>
      </c>
      <c r="D37">
        <v>296</v>
      </c>
      <c r="E37">
        <v>315</v>
      </c>
      <c r="F37">
        <v>4.9333333333333336</v>
      </c>
      <c r="G37" t="str">
        <f t="shared" si="0"/>
        <v>Tuesday</v>
      </c>
      <c r="H37">
        <f t="shared" si="1"/>
        <v>0.93968253968253967</v>
      </c>
    </row>
    <row r="38" spans="1:8" x14ac:dyDescent="0.25">
      <c r="A38">
        <v>1927972279</v>
      </c>
      <c r="B38" s="8">
        <v>42488</v>
      </c>
      <c r="C38">
        <v>1</v>
      </c>
      <c r="D38">
        <v>166</v>
      </c>
      <c r="E38">
        <v>178</v>
      </c>
      <c r="F38">
        <v>2.7666666666666666</v>
      </c>
      <c r="G38" t="str">
        <f t="shared" si="0"/>
        <v>Thursday</v>
      </c>
      <c r="H38">
        <f t="shared" si="1"/>
        <v>0.93258426966292129</v>
      </c>
    </row>
    <row r="39" spans="1:8" x14ac:dyDescent="0.25">
      <c r="A39">
        <v>2026352035</v>
      </c>
      <c r="B39" s="8">
        <v>42472</v>
      </c>
      <c r="C39">
        <v>1</v>
      </c>
      <c r="D39">
        <v>503</v>
      </c>
      <c r="E39">
        <v>546</v>
      </c>
      <c r="F39">
        <v>8.3833333333333329</v>
      </c>
      <c r="G39" t="str">
        <f t="shared" si="0"/>
        <v>Tuesday</v>
      </c>
      <c r="H39">
        <f t="shared" si="1"/>
        <v>0.92124542124542119</v>
      </c>
    </row>
    <row r="40" spans="1:8" x14ac:dyDescent="0.25">
      <c r="A40">
        <v>2026352035</v>
      </c>
      <c r="B40" s="8">
        <v>42473</v>
      </c>
      <c r="C40">
        <v>1</v>
      </c>
      <c r="D40">
        <v>531</v>
      </c>
      <c r="E40">
        <v>565</v>
      </c>
      <c r="F40">
        <v>8.85</v>
      </c>
      <c r="G40" t="str">
        <f t="shared" si="0"/>
        <v>Wednesday</v>
      </c>
      <c r="H40">
        <f t="shared" si="1"/>
        <v>0.9398230088495575</v>
      </c>
    </row>
    <row r="41" spans="1:8" x14ac:dyDescent="0.25">
      <c r="A41">
        <v>2026352035</v>
      </c>
      <c r="B41" s="8">
        <v>42474</v>
      </c>
      <c r="C41">
        <v>1</v>
      </c>
      <c r="D41">
        <v>545</v>
      </c>
      <c r="E41">
        <v>568</v>
      </c>
      <c r="F41">
        <v>9.0833333333333339</v>
      </c>
      <c r="G41" t="str">
        <f t="shared" si="0"/>
        <v>Thursday</v>
      </c>
      <c r="H41">
        <f t="shared" si="1"/>
        <v>0.95950704225352113</v>
      </c>
    </row>
    <row r="42" spans="1:8" x14ac:dyDescent="0.25">
      <c r="A42">
        <v>2026352035</v>
      </c>
      <c r="B42" s="8">
        <v>42475</v>
      </c>
      <c r="C42">
        <v>1</v>
      </c>
      <c r="D42">
        <v>523</v>
      </c>
      <c r="E42">
        <v>573</v>
      </c>
      <c r="F42">
        <v>8.7166666666666668</v>
      </c>
      <c r="G42" t="str">
        <f t="shared" si="0"/>
        <v>Friday</v>
      </c>
      <c r="H42">
        <f t="shared" si="1"/>
        <v>0.91273996509598598</v>
      </c>
    </row>
    <row r="43" spans="1:8" x14ac:dyDescent="0.25">
      <c r="A43">
        <v>2026352035</v>
      </c>
      <c r="B43" s="8">
        <v>42476</v>
      </c>
      <c r="C43">
        <v>1</v>
      </c>
      <c r="D43">
        <v>524</v>
      </c>
      <c r="E43">
        <v>567</v>
      </c>
      <c r="F43">
        <v>8.7333333333333325</v>
      </c>
      <c r="G43" t="str">
        <f t="shared" si="0"/>
        <v>Saturday</v>
      </c>
      <c r="H43">
        <f t="shared" si="1"/>
        <v>0.92416225749559078</v>
      </c>
    </row>
    <row r="44" spans="1:8" x14ac:dyDescent="0.25">
      <c r="A44">
        <v>2026352035</v>
      </c>
      <c r="B44" s="8">
        <v>42477</v>
      </c>
      <c r="C44">
        <v>1</v>
      </c>
      <c r="D44">
        <v>437</v>
      </c>
      <c r="E44">
        <v>498</v>
      </c>
      <c r="F44">
        <v>7.2833333333333332</v>
      </c>
      <c r="G44" t="str">
        <f t="shared" si="0"/>
        <v>Sunday</v>
      </c>
      <c r="H44">
        <f t="shared" si="1"/>
        <v>0.8775100401606426</v>
      </c>
    </row>
    <row r="45" spans="1:8" x14ac:dyDescent="0.25">
      <c r="A45">
        <v>2026352035</v>
      </c>
      <c r="B45" s="8">
        <v>42479</v>
      </c>
      <c r="C45">
        <v>1</v>
      </c>
      <c r="D45">
        <v>498</v>
      </c>
      <c r="E45">
        <v>540</v>
      </c>
      <c r="F45">
        <v>8.3000000000000007</v>
      </c>
      <c r="G45" t="str">
        <f t="shared" si="0"/>
        <v>Tuesday</v>
      </c>
      <c r="H45">
        <f t="shared" si="1"/>
        <v>0.92222222222222228</v>
      </c>
    </row>
    <row r="46" spans="1:8" x14ac:dyDescent="0.25">
      <c r="A46">
        <v>2026352035</v>
      </c>
      <c r="B46" s="8">
        <v>42480</v>
      </c>
      <c r="C46">
        <v>1</v>
      </c>
      <c r="D46">
        <v>461</v>
      </c>
      <c r="E46">
        <v>510</v>
      </c>
      <c r="F46">
        <v>7.6833333333333336</v>
      </c>
      <c r="G46" t="str">
        <f t="shared" si="0"/>
        <v>Wednesday</v>
      </c>
      <c r="H46">
        <f t="shared" si="1"/>
        <v>0.90392156862745099</v>
      </c>
    </row>
    <row r="47" spans="1:8" x14ac:dyDescent="0.25">
      <c r="A47">
        <v>2026352035</v>
      </c>
      <c r="B47" s="8">
        <v>42481</v>
      </c>
      <c r="C47">
        <v>1</v>
      </c>
      <c r="D47">
        <v>477</v>
      </c>
      <c r="E47">
        <v>514</v>
      </c>
      <c r="F47">
        <v>7.95</v>
      </c>
      <c r="G47" t="str">
        <f t="shared" si="0"/>
        <v>Thursday</v>
      </c>
      <c r="H47">
        <f t="shared" si="1"/>
        <v>0.92801556420233466</v>
      </c>
    </row>
    <row r="48" spans="1:8" x14ac:dyDescent="0.25">
      <c r="A48">
        <v>2026352035</v>
      </c>
      <c r="B48" s="8">
        <v>42482</v>
      </c>
      <c r="C48">
        <v>1</v>
      </c>
      <c r="D48">
        <v>520</v>
      </c>
      <c r="E48">
        <v>545</v>
      </c>
      <c r="F48">
        <v>8.6666666666666661</v>
      </c>
      <c r="G48" t="str">
        <f t="shared" si="0"/>
        <v>Friday</v>
      </c>
      <c r="H48">
        <f t="shared" si="1"/>
        <v>0.95412844036697253</v>
      </c>
    </row>
    <row r="49" spans="1:8" x14ac:dyDescent="0.25">
      <c r="A49">
        <v>2026352035</v>
      </c>
      <c r="B49" s="8">
        <v>42483</v>
      </c>
      <c r="C49">
        <v>1</v>
      </c>
      <c r="D49">
        <v>522</v>
      </c>
      <c r="E49">
        <v>554</v>
      </c>
      <c r="F49">
        <v>8.6999999999999993</v>
      </c>
      <c r="G49" t="str">
        <f t="shared" si="0"/>
        <v>Saturday</v>
      </c>
      <c r="H49">
        <f t="shared" si="1"/>
        <v>0.9422382671480144</v>
      </c>
    </row>
    <row r="50" spans="1:8" x14ac:dyDescent="0.25">
      <c r="A50">
        <v>2026352035</v>
      </c>
      <c r="B50" s="8">
        <v>42484</v>
      </c>
      <c r="C50">
        <v>1</v>
      </c>
      <c r="D50">
        <v>555</v>
      </c>
      <c r="E50">
        <v>591</v>
      </c>
      <c r="F50">
        <v>9.25</v>
      </c>
      <c r="G50" t="str">
        <f t="shared" si="0"/>
        <v>Sunday</v>
      </c>
      <c r="H50">
        <f t="shared" si="1"/>
        <v>0.93908629441624369</v>
      </c>
    </row>
    <row r="51" spans="1:8" x14ac:dyDescent="0.25">
      <c r="A51">
        <v>2026352035</v>
      </c>
      <c r="B51" s="8">
        <v>42485</v>
      </c>
      <c r="C51">
        <v>1</v>
      </c>
      <c r="D51">
        <v>506</v>
      </c>
      <c r="E51">
        <v>531</v>
      </c>
      <c r="F51">
        <v>8.4333333333333336</v>
      </c>
      <c r="G51" t="str">
        <f t="shared" si="0"/>
        <v>Monday</v>
      </c>
      <c r="H51">
        <f t="shared" si="1"/>
        <v>0.95291902071563084</v>
      </c>
    </row>
    <row r="52" spans="1:8" x14ac:dyDescent="0.25">
      <c r="A52">
        <v>2026352035</v>
      </c>
      <c r="B52" s="8">
        <v>42487</v>
      </c>
      <c r="C52">
        <v>1</v>
      </c>
      <c r="D52">
        <v>508</v>
      </c>
      <c r="E52">
        <v>545</v>
      </c>
      <c r="F52">
        <v>8.4666666666666668</v>
      </c>
      <c r="G52" t="str">
        <f t="shared" si="0"/>
        <v>Wednesday</v>
      </c>
      <c r="H52">
        <f t="shared" si="1"/>
        <v>0.93211009174311932</v>
      </c>
    </row>
    <row r="53" spans="1:8" x14ac:dyDescent="0.25">
      <c r="A53">
        <v>2026352035</v>
      </c>
      <c r="B53" s="8">
        <v>42488</v>
      </c>
      <c r="C53">
        <v>1</v>
      </c>
      <c r="D53">
        <v>513</v>
      </c>
      <c r="E53">
        <v>545</v>
      </c>
      <c r="F53">
        <v>8.5500000000000007</v>
      </c>
      <c r="G53" t="str">
        <f t="shared" si="0"/>
        <v>Thursday</v>
      </c>
      <c r="H53">
        <f t="shared" si="1"/>
        <v>0.94128440366972477</v>
      </c>
    </row>
    <row r="54" spans="1:8" x14ac:dyDescent="0.25">
      <c r="A54">
        <v>2026352035</v>
      </c>
      <c r="B54" s="8">
        <v>42489</v>
      </c>
      <c r="C54">
        <v>1</v>
      </c>
      <c r="D54">
        <v>490</v>
      </c>
      <c r="E54">
        <v>510</v>
      </c>
      <c r="F54">
        <v>8.1666666666666661</v>
      </c>
      <c r="G54" t="str">
        <f t="shared" si="0"/>
        <v>Friday</v>
      </c>
      <c r="H54">
        <f t="shared" si="1"/>
        <v>0.96078431372549022</v>
      </c>
    </row>
    <row r="55" spans="1:8" x14ac:dyDescent="0.25">
      <c r="A55">
        <v>2026352035</v>
      </c>
      <c r="B55" s="8">
        <v>42490</v>
      </c>
      <c r="C55">
        <v>1</v>
      </c>
      <c r="D55">
        <v>573</v>
      </c>
      <c r="E55">
        <v>607</v>
      </c>
      <c r="F55">
        <v>9.5500000000000007</v>
      </c>
      <c r="G55" t="str">
        <f t="shared" si="0"/>
        <v>Saturday</v>
      </c>
      <c r="H55">
        <f t="shared" si="1"/>
        <v>0.94398682042833604</v>
      </c>
    </row>
    <row r="56" spans="1:8" x14ac:dyDescent="0.25">
      <c r="A56">
        <v>2026352035</v>
      </c>
      <c r="B56" s="8">
        <v>42491</v>
      </c>
      <c r="C56">
        <v>1</v>
      </c>
      <c r="D56">
        <v>527</v>
      </c>
      <c r="E56">
        <v>546</v>
      </c>
      <c r="F56">
        <v>8.7833333333333332</v>
      </c>
      <c r="G56" t="str">
        <f t="shared" si="0"/>
        <v>Sunday</v>
      </c>
      <c r="H56">
        <f t="shared" si="1"/>
        <v>0.96520146520146521</v>
      </c>
    </row>
    <row r="57" spans="1:8" x14ac:dyDescent="0.25">
      <c r="A57">
        <v>2026352035</v>
      </c>
      <c r="B57" s="8">
        <v>42492</v>
      </c>
      <c r="C57">
        <v>1</v>
      </c>
      <c r="D57">
        <v>511</v>
      </c>
      <c r="E57">
        <v>543</v>
      </c>
      <c r="F57">
        <v>8.5166666666666675</v>
      </c>
      <c r="G57" t="str">
        <f t="shared" si="0"/>
        <v>Monday</v>
      </c>
      <c r="H57">
        <f t="shared" si="1"/>
        <v>0.94106813996316763</v>
      </c>
    </row>
    <row r="58" spans="1:8" x14ac:dyDescent="0.25">
      <c r="A58">
        <v>2026352035</v>
      </c>
      <c r="B58" s="8">
        <v>42494</v>
      </c>
      <c r="C58">
        <v>1</v>
      </c>
      <c r="D58">
        <v>538</v>
      </c>
      <c r="E58">
        <v>560</v>
      </c>
      <c r="F58">
        <v>8.9666666666666668</v>
      </c>
      <c r="G58" t="str">
        <f t="shared" si="0"/>
        <v>Wednesday</v>
      </c>
      <c r="H58">
        <f t="shared" si="1"/>
        <v>0.96071428571428574</v>
      </c>
    </row>
    <row r="59" spans="1:8" x14ac:dyDescent="0.25">
      <c r="A59">
        <v>2026352035</v>
      </c>
      <c r="B59" s="8">
        <v>42495</v>
      </c>
      <c r="C59">
        <v>1</v>
      </c>
      <c r="D59">
        <v>468</v>
      </c>
      <c r="E59">
        <v>485</v>
      </c>
      <c r="F59">
        <v>7.8</v>
      </c>
      <c r="G59" t="str">
        <f t="shared" si="0"/>
        <v>Thursday</v>
      </c>
      <c r="H59">
        <f t="shared" si="1"/>
        <v>0.96494845360824744</v>
      </c>
    </row>
    <row r="60" spans="1:8" x14ac:dyDescent="0.25">
      <c r="A60">
        <v>2026352035</v>
      </c>
      <c r="B60" s="8">
        <v>42496</v>
      </c>
      <c r="C60">
        <v>1</v>
      </c>
      <c r="D60">
        <v>524</v>
      </c>
      <c r="E60">
        <v>548</v>
      </c>
      <c r="F60">
        <v>8.7333333333333325</v>
      </c>
      <c r="G60" t="str">
        <f t="shared" si="0"/>
        <v>Friday</v>
      </c>
      <c r="H60">
        <f t="shared" si="1"/>
        <v>0.95620437956204385</v>
      </c>
    </row>
    <row r="61" spans="1:8" x14ac:dyDescent="0.25">
      <c r="A61">
        <v>2026352035</v>
      </c>
      <c r="B61" s="8">
        <v>42497</v>
      </c>
      <c r="C61">
        <v>1</v>
      </c>
      <c r="D61">
        <v>511</v>
      </c>
      <c r="E61">
        <v>521</v>
      </c>
      <c r="F61">
        <v>8.5166666666666675</v>
      </c>
      <c r="G61" t="str">
        <f t="shared" si="0"/>
        <v>Saturday</v>
      </c>
      <c r="H61">
        <f t="shared" si="1"/>
        <v>0.98080614203454897</v>
      </c>
    </row>
    <row r="62" spans="1:8" x14ac:dyDescent="0.25">
      <c r="A62">
        <v>2026352035</v>
      </c>
      <c r="B62" s="8">
        <v>42498</v>
      </c>
      <c r="C62">
        <v>1</v>
      </c>
      <c r="D62">
        <v>541</v>
      </c>
      <c r="E62">
        <v>568</v>
      </c>
      <c r="F62">
        <v>9.0166666666666675</v>
      </c>
      <c r="G62" t="str">
        <f t="shared" si="0"/>
        <v>Sunday</v>
      </c>
      <c r="H62">
        <f t="shared" si="1"/>
        <v>0.95246478873239437</v>
      </c>
    </row>
    <row r="63" spans="1:8" x14ac:dyDescent="0.25">
      <c r="A63">
        <v>2026352035</v>
      </c>
      <c r="B63" s="8">
        <v>42499</v>
      </c>
      <c r="C63">
        <v>1</v>
      </c>
      <c r="D63">
        <v>531</v>
      </c>
      <c r="E63">
        <v>556</v>
      </c>
      <c r="F63">
        <v>8.85</v>
      </c>
      <c r="G63" t="str">
        <f t="shared" si="0"/>
        <v>Monday</v>
      </c>
      <c r="H63">
        <f t="shared" si="1"/>
        <v>0.95503597122302153</v>
      </c>
    </row>
    <row r="64" spans="1:8" x14ac:dyDescent="0.25">
      <c r="A64">
        <v>2026352035</v>
      </c>
      <c r="B64" s="8">
        <v>42500</v>
      </c>
      <c r="C64">
        <v>1</v>
      </c>
      <c r="D64">
        <v>357</v>
      </c>
      <c r="E64">
        <v>380</v>
      </c>
      <c r="F64">
        <v>5.95</v>
      </c>
      <c r="G64" t="str">
        <f t="shared" si="0"/>
        <v>Tuesday</v>
      </c>
      <c r="H64">
        <f t="shared" si="1"/>
        <v>0.93947368421052635</v>
      </c>
    </row>
    <row r="65" spans="1:8" x14ac:dyDescent="0.25">
      <c r="A65">
        <v>2026352035</v>
      </c>
      <c r="B65" s="8">
        <v>42501</v>
      </c>
      <c r="C65">
        <v>1</v>
      </c>
      <c r="D65">
        <v>523</v>
      </c>
      <c r="E65">
        <v>553</v>
      </c>
      <c r="F65">
        <v>8.7166666666666668</v>
      </c>
      <c r="G65" t="str">
        <f t="shared" si="0"/>
        <v>Wednesday</v>
      </c>
      <c r="H65">
        <f t="shared" si="1"/>
        <v>0.94575045207956598</v>
      </c>
    </row>
    <row r="66" spans="1:8" x14ac:dyDescent="0.25">
      <c r="A66">
        <v>2026352035</v>
      </c>
      <c r="B66" s="8">
        <v>42502</v>
      </c>
      <c r="C66">
        <v>1</v>
      </c>
      <c r="D66">
        <v>456</v>
      </c>
      <c r="E66">
        <v>485</v>
      </c>
      <c r="F66">
        <v>7.6</v>
      </c>
      <c r="G66" t="str">
        <f t="shared" ref="G66:G129" si="2">TEXT(B66,"dddd")</f>
        <v>Thursday</v>
      </c>
      <c r="H66">
        <f t="shared" ref="H66:H129" si="3">D66/E66</f>
        <v>0.9402061855670103</v>
      </c>
    </row>
    <row r="67" spans="1:8" x14ac:dyDescent="0.25">
      <c r="A67">
        <v>2320127002</v>
      </c>
      <c r="B67" s="8">
        <v>42483</v>
      </c>
      <c r="C67">
        <v>1</v>
      </c>
      <c r="D67">
        <v>61</v>
      </c>
      <c r="E67">
        <v>69</v>
      </c>
      <c r="F67">
        <v>1.0166666666666666</v>
      </c>
      <c r="G67" t="str">
        <f t="shared" si="2"/>
        <v>Saturday</v>
      </c>
      <c r="H67">
        <f t="shared" si="3"/>
        <v>0.88405797101449279</v>
      </c>
    </row>
    <row r="68" spans="1:8" x14ac:dyDescent="0.25">
      <c r="A68">
        <v>2347167796</v>
      </c>
      <c r="B68" s="8">
        <v>42473</v>
      </c>
      <c r="C68">
        <v>1</v>
      </c>
      <c r="D68">
        <v>467</v>
      </c>
      <c r="E68">
        <v>531</v>
      </c>
      <c r="F68">
        <v>7.7833333333333332</v>
      </c>
      <c r="G68" t="str">
        <f t="shared" si="2"/>
        <v>Wednesday</v>
      </c>
      <c r="H68">
        <f t="shared" si="3"/>
        <v>0.87947269303201503</v>
      </c>
    </row>
    <row r="69" spans="1:8" x14ac:dyDescent="0.25">
      <c r="A69">
        <v>2347167796</v>
      </c>
      <c r="B69" s="8">
        <v>42474</v>
      </c>
      <c r="C69">
        <v>1</v>
      </c>
      <c r="D69">
        <v>445</v>
      </c>
      <c r="E69">
        <v>489</v>
      </c>
      <c r="F69">
        <v>7.416666666666667</v>
      </c>
      <c r="G69" t="str">
        <f t="shared" si="2"/>
        <v>Thursday</v>
      </c>
      <c r="H69">
        <f t="shared" si="3"/>
        <v>0.91002044989775055</v>
      </c>
    </row>
    <row r="70" spans="1:8" x14ac:dyDescent="0.25">
      <c r="A70">
        <v>2347167796</v>
      </c>
      <c r="B70" s="8">
        <v>42475</v>
      </c>
      <c r="C70">
        <v>1</v>
      </c>
      <c r="D70">
        <v>452</v>
      </c>
      <c r="E70">
        <v>504</v>
      </c>
      <c r="F70">
        <v>7.5333333333333332</v>
      </c>
      <c r="G70" t="str">
        <f t="shared" si="2"/>
        <v>Friday</v>
      </c>
      <c r="H70">
        <f t="shared" si="3"/>
        <v>0.89682539682539686</v>
      </c>
    </row>
    <row r="71" spans="1:8" x14ac:dyDescent="0.25">
      <c r="A71">
        <v>2347167796</v>
      </c>
      <c r="B71" s="8">
        <v>42477</v>
      </c>
      <c r="C71">
        <v>1</v>
      </c>
      <c r="D71">
        <v>556</v>
      </c>
      <c r="E71">
        <v>602</v>
      </c>
      <c r="F71">
        <v>9.2666666666666675</v>
      </c>
      <c r="G71" t="str">
        <f t="shared" si="2"/>
        <v>Sunday</v>
      </c>
      <c r="H71">
        <f t="shared" si="3"/>
        <v>0.92358803986710969</v>
      </c>
    </row>
    <row r="72" spans="1:8" x14ac:dyDescent="0.25">
      <c r="A72">
        <v>2347167796</v>
      </c>
      <c r="B72" s="8">
        <v>42478</v>
      </c>
      <c r="C72">
        <v>1</v>
      </c>
      <c r="D72">
        <v>500</v>
      </c>
      <c r="E72">
        <v>557</v>
      </c>
      <c r="F72">
        <v>8.3333333333333339</v>
      </c>
      <c r="G72" t="str">
        <f t="shared" si="2"/>
        <v>Monday</v>
      </c>
      <c r="H72">
        <f t="shared" si="3"/>
        <v>0.89766606822262118</v>
      </c>
    </row>
    <row r="73" spans="1:8" x14ac:dyDescent="0.25">
      <c r="A73">
        <v>2347167796</v>
      </c>
      <c r="B73" s="8">
        <v>42479</v>
      </c>
      <c r="C73">
        <v>1</v>
      </c>
      <c r="D73">
        <v>465</v>
      </c>
      <c r="E73">
        <v>514</v>
      </c>
      <c r="F73">
        <v>7.75</v>
      </c>
      <c r="G73" t="str">
        <f t="shared" si="2"/>
        <v>Tuesday</v>
      </c>
      <c r="H73">
        <f t="shared" si="3"/>
        <v>0.90466926070038911</v>
      </c>
    </row>
    <row r="74" spans="1:8" x14ac:dyDescent="0.25">
      <c r="A74">
        <v>2347167796</v>
      </c>
      <c r="B74" s="8">
        <v>42481</v>
      </c>
      <c r="C74">
        <v>1</v>
      </c>
      <c r="D74">
        <v>460</v>
      </c>
      <c r="E74">
        <v>484</v>
      </c>
      <c r="F74">
        <v>7.666666666666667</v>
      </c>
      <c r="G74" t="str">
        <f t="shared" si="2"/>
        <v>Thursday</v>
      </c>
      <c r="H74">
        <f t="shared" si="3"/>
        <v>0.95041322314049592</v>
      </c>
    </row>
    <row r="75" spans="1:8" x14ac:dyDescent="0.25">
      <c r="A75">
        <v>2347167796</v>
      </c>
      <c r="B75" s="8">
        <v>42482</v>
      </c>
      <c r="C75">
        <v>1</v>
      </c>
      <c r="D75">
        <v>405</v>
      </c>
      <c r="E75">
        <v>461</v>
      </c>
      <c r="F75">
        <v>6.75</v>
      </c>
      <c r="G75" t="str">
        <f t="shared" si="2"/>
        <v>Friday</v>
      </c>
      <c r="H75">
        <f t="shared" si="3"/>
        <v>0.87852494577006512</v>
      </c>
    </row>
    <row r="76" spans="1:8" x14ac:dyDescent="0.25">
      <c r="A76">
        <v>2347167796</v>
      </c>
      <c r="B76" s="8">
        <v>42483</v>
      </c>
      <c r="C76">
        <v>1</v>
      </c>
      <c r="D76">
        <v>374</v>
      </c>
      <c r="E76">
        <v>386</v>
      </c>
      <c r="F76">
        <v>6.2333333333333334</v>
      </c>
      <c r="G76" t="str">
        <f t="shared" si="2"/>
        <v>Saturday</v>
      </c>
      <c r="H76">
        <f t="shared" si="3"/>
        <v>0.9689119170984456</v>
      </c>
    </row>
    <row r="77" spans="1:8" x14ac:dyDescent="0.25">
      <c r="A77">
        <v>2347167796</v>
      </c>
      <c r="B77" s="8">
        <v>42484</v>
      </c>
      <c r="C77">
        <v>1</v>
      </c>
      <c r="D77">
        <v>442</v>
      </c>
      <c r="E77">
        <v>459</v>
      </c>
      <c r="F77">
        <v>7.3666666666666663</v>
      </c>
      <c r="G77" t="str">
        <f t="shared" si="2"/>
        <v>Sunday</v>
      </c>
      <c r="H77">
        <f t="shared" si="3"/>
        <v>0.96296296296296291</v>
      </c>
    </row>
    <row r="78" spans="1:8" x14ac:dyDescent="0.25">
      <c r="A78">
        <v>2347167796</v>
      </c>
      <c r="B78" s="8">
        <v>42485</v>
      </c>
      <c r="C78">
        <v>1</v>
      </c>
      <c r="D78">
        <v>433</v>
      </c>
      <c r="E78">
        <v>471</v>
      </c>
      <c r="F78">
        <v>7.2166666666666668</v>
      </c>
      <c r="G78" t="str">
        <f t="shared" si="2"/>
        <v>Monday</v>
      </c>
      <c r="H78">
        <f t="shared" si="3"/>
        <v>0.91932059447983017</v>
      </c>
    </row>
    <row r="79" spans="1:8" x14ac:dyDescent="0.25">
      <c r="A79">
        <v>2347167796</v>
      </c>
      <c r="B79" s="8">
        <v>42486</v>
      </c>
      <c r="C79">
        <v>1</v>
      </c>
      <c r="D79">
        <v>436</v>
      </c>
      <c r="E79">
        <v>490</v>
      </c>
      <c r="F79">
        <v>7.2666666666666666</v>
      </c>
      <c r="G79" t="str">
        <f t="shared" si="2"/>
        <v>Tuesday</v>
      </c>
      <c r="H79">
        <f t="shared" si="3"/>
        <v>0.88979591836734695</v>
      </c>
    </row>
    <row r="80" spans="1:8" x14ac:dyDescent="0.25">
      <c r="A80">
        <v>2347167796</v>
      </c>
      <c r="B80" s="8">
        <v>42487</v>
      </c>
      <c r="C80">
        <v>1</v>
      </c>
      <c r="D80">
        <v>448</v>
      </c>
      <c r="E80">
        <v>499</v>
      </c>
      <c r="F80">
        <v>7.4666666666666668</v>
      </c>
      <c r="G80" t="str">
        <f t="shared" si="2"/>
        <v>Wednesday</v>
      </c>
      <c r="H80">
        <f t="shared" si="3"/>
        <v>0.89779559118236474</v>
      </c>
    </row>
    <row r="81" spans="1:8" x14ac:dyDescent="0.25">
      <c r="A81">
        <v>2347167796</v>
      </c>
      <c r="B81" s="8">
        <v>42488</v>
      </c>
      <c r="C81">
        <v>1</v>
      </c>
      <c r="D81">
        <v>408</v>
      </c>
      <c r="E81">
        <v>450</v>
      </c>
      <c r="F81">
        <v>6.8</v>
      </c>
      <c r="G81" t="str">
        <f t="shared" si="2"/>
        <v>Thursday</v>
      </c>
      <c r="H81">
        <f t="shared" si="3"/>
        <v>0.90666666666666662</v>
      </c>
    </row>
    <row r="82" spans="1:8" x14ac:dyDescent="0.25">
      <c r="A82">
        <v>2347167796</v>
      </c>
      <c r="B82" s="8">
        <v>42489</v>
      </c>
      <c r="C82">
        <v>1</v>
      </c>
      <c r="D82">
        <v>411</v>
      </c>
      <c r="E82">
        <v>473</v>
      </c>
      <c r="F82">
        <v>6.85</v>
      </c>
      <c r="G82" t="str">
        <f t="shared" si="2"/>
        <v>Friday</v>
      </c>
      <c r="H82">
        <f t="shared" si="3"/>
        <v>0.86892177589852004</v>
      </c>
    </row>
    <row r="83" spans="1:8" x14ac:dyDescent="0.25">
      <c r="A83">
        <v>3977333714</v>
      </c>
      <c r="B83" s="8">
        <v>42472</v>
      </c>
      <c r="C83">
        <v>1</v>
      </c>
      <c r="D83">
        <v>274</v>
      </c>
      <c r="E83">
        <v>469</v>
      </c>
      <c r="F83">
        <v>4.5666666666666664</v>
      </c>
      <c r="G83" t="str">
        <f t="shared" si="2"/>
        <v>Tuesday</v>
      </c>
      <c r="H83">
        <f t="shared" si="3"/>
        <v>0.58422174840085284</v>
      </c>
    </row>
    <row r="84" spans="1:8" x14ac:dyDescent="0.25">
      <c r="A84">
        <v>3977333714</v>
      </c>
      <c r="B84" s="8">
        <v>42473</v>
      </c>
      <c r="C84">
        <v>2</v>
      </c>
      <c r="D84">
        <v>295</v>
      </c>
      <c r="E84">
        <v>456</v>
      </c>
      <c r="F84">
        <v>4.916666666666667</v>
      </c>
      <c r="G84" t="str">
        <f t="shared" si="2"/>
        <v>Wednesday</v>
      </c>
      <c r="H84">
        <f t="shared" si="3"/>
        <v>0.64692982456140347</v>
      </c>
    </row>
    <row r="85" spans="1:8" x14ac:dyDescent="0.25">
      <c r="A85">
        <v>3977333714</v>
      </c>
      <c r="B85" s="8">
        <v>42474</v>
      </c>
      <c r="C85">
        <v>1</v>
      </c>
      <c r="D85">
        <v>291</v>
      </c>
      <c r="E85">
        <v>397</v>
      </c>
      <c r="F85">
        <v>4.8499999999999996</v>
      </c>
      <c r="G85" t="str">
        <f t="shared" si="2"/>
        <v>Thursday</v>
      </c>
      <c r="H85">
        <f t="shared" si="3"/>
        <v>0.73299748110831231</v>
      </c>
    </row>
    <row r="86" spans="1:8" x14ac:dyDescent="0.25">
      <c r="A86">
        <v>3977333714</v>
      </c>
      <c r="B86" s="8">
        <v>42475</v>
      </c>
      <c r="C86">
        <v>1</v>
      </c>
      <c r="D86">
        <v>424</v>
      </c>
      <c r="E86">
        <v>556</v>
      </c>
      <c r="F86">
        <v>7.0666666666666664</v>
      </c>
      <c r="G86" t="str">
        <f t="shared" si="2"/>
        <v>Friday</v>
      </c>
      <c r="H86">
        <f t="shared" si="3"/>
        <v>0.76258992805755399</v>
      </c>
    </row>
    <row r="87" spans="1:8" x14ac:dyDescent="0.25">
      <c r="A87">
        <v>3977333714</v>
      </c>
      <c r="B87" s="8">
        <v>42476</v>
      </c>
      <c r="C87">
        <v>1</v>
      </c>
      <c r="D87">
        <v>283</v>
      </c>
      <c r="E87">
        <v>510</v>
      </c>
      <c r="F87">
        <v>4.7166666666666668</v>
      </c>
      <c r="G87" t="str">
        <f t="shared" si="2"/>
        <v>Saturday</v>
      </c>
      <c r="H87">
        <f t="shared" si="3"/>
        <v>0.55490196078431375</v>
      </c>
    </row>
    <row r="88" spans="1:8" x14ac:dyDescent="0.25">
      <c r="A88">
        <v>3977333714</v>
      </c>
      <c r="B88" s="8">
        <v>42477</v>
      </c>
      <c r="C88">
        <v>1</v>
      </c>
      <c r="D88">
        <v>381</v>
      </c>
      <c r="E88">
        <v>566</v>
      </c>
      <c r="F88">
        <v>6.35</v>
      </c>
      <c r="G88" t="str">
        <f t="shared" si="2"/>
        <v>Sunday</v>
      </c>
      <c r="H88">
        <f t="shared" si="3"/>
        <v>0.67314487632508835</v>
      </c>
    </row>
    <row r="89" spans="1:8" x14ac:dyDescent="0.25">
      <c r="A89">
        <v>3977333714</v>
      </c>
      <c r="B89" s="8">
        <v>42478</v>
      </c>
      <c r="C89">
        <v>2</v>
      </c>
      <c r="D89">
        <v>412</v>
      </c>
      <c r="E89">
        <v>522</v>
      </c>
      <c r="F89">
        <v>6.8666666666666663</v>
      </c>
      <c r="G89" t="str">
        <f t="shared" si="2"/>
        <v>Monday</v>
      </c>
      <c r="H89">
        <f t="shared" si="3"/>
        <v>0.78927203065134099</v>
      </c>
    </row>
    <row r="90" spans="1:8" x14ac:dyDescent="0.25">
      <c r="A90">
        <v>3977333714</v>
      </c>
      <c r="B90" s="8">
        <v>42479</v>
      </c>
      <c r="C90">
        <v>1</v>
      </c>
      <c r="D90">
        <v>219</v>
      </c>
      <c r="E90">
        <v>395</v>
      </c>
      <c r="F90">
        <v>3.65</v>
      </c>
      <c r="G90" t="str">
        <f t="shared" si="2"/>
        <v>Tuesday</v>
      </c>
      <c r="H90">
        <f t="shared" si="3"/>
        <v>0.5544303797468354</v>
      </c>
    </row>
    <row r="91" spans="1:8" x14ac:dyDescent="0.25">
      <c r="A91">
        <v>3977333714</v>
      </c>
      <c r="B91" s="8">
        <v>42480</v>
      </c>
      <c r="C91">
        <v>2</v>
      </c>
      <c r="D91">
        <v>152</v>
      </c>
      <c r="E91">
        <v>305</v>
      </c>
      <c r="F91">
        <v>2.5333333333333332</v>
      </c>
      <c r="G91" t="str">
        <f t="shared" si="2"/>
        <v>Wednesday</v>
      </c>
      <c r="H91">
        <f t="shared" si="3"/>
        <v>0.49836065573770494</v>
      </c>
    </row>
    <row r="92" spans="1:8" x14ac:dyDescent="0.25">
      <c r="A92">
        <v>3977333714</v>
      </c>
      <c r="B92" s="8">
        <v>42481</v>
      </c>
      <c r="C92">
        <v>1</v>
      </c>
      <c r="D92">
        <v>332</v>
      </c>
      <c r="E92">
        <v>512</v>
      </c>
      <c r="F92">
        <v>5.5333333333333332</v>
      </c>
      <c r="G92" t="str">
        <f t="shared" si="2"/>
        <v>Thursday</v>
      </c>
      <c r="H92">
        <f t="shared" si="3"/>
        <v>0.6484375</v>
      </c>
    </row>
    <row r="93" spans="1:8" x14ac:dyDescent="0.25">
      <c r="A93">
        <v>3977333714</v>
      </c>
      <c r="B93" s="8">
        <v>42482</v>
      </c>
      <c r="C93">
        <v>1</v>
      </c>
      <c r="D93">
        <v>355</v>
      </c>
      <c r="E93">
        <v>476</v>
      </c>
      <c r="F93">
        <v>5.916666666666667</v>
      </c>
      <c r="G93" t="str">
        <f t="shared" si="2"/>
        <v>Friday</v>
      </c>
      <c r="H93">
        <f t="shared" si="3"/>
        <v>0.74579831932773111</v>
      </c>
    </row>
    <row r="94" spans="1:8" x14ac:dyDescent="0.25">
      <c r="A94">
        <v>3977333714</v>
      </c>
      <c r="B94" s="8">
        <v>42483</v>
      </c>
      <c r="C94">
        <v>1</v>
      </c>
      <c r="D94">
        <v>235</v>
      </c>
      <c r="E94">
        <v>372</v>
      </c>
      <c r="F94">
        <v>3.9166666666666665</v>
      </c>
      <c r="G94" t="str">
        <f t="shared" si="2"/>
        <v>Saturday</v>
      </c>
      <c r="H94">
        <f t="shared" si="3"/>
        <v>0.63172043010752688</v>
      </c>
    </row>
    <row r="95" spans="1:8" x14ac:dyDescent="0.25">
      <c r="A95">
        <v>3977333714</v>
      </c>
      <c r="B95" s="8">
        <v>42484</v>
      </c>
      <c r="C95">
        <v>1</v>
      </c>
      <c r="D95">
        <v>310</v>
      </c>
      <c r="E95">
        <v>526</v>
      </c>
      <c r="F95">
        <v>5.166666666666667</v>
      </c>
      <c r="G95" t="str">
        <f t="shared" si="2"/>
        <v>Sunday</v>
      </c>
      <c r="H95">
        <f t="shared" si="3"/>
        <v>0.58935361216730042</v>
      </c>
    </row>
    <row r="96" spans="1:8" x14ac:dyDescent="0.25">
      <c r="A96">
        <v>3977333714</v>
      </c>
      <c r="B96" s="8">
        <v>42485</v>
      </c>
      <c r="C96">
        <v>1</v>
      </c>
      <c r="D96">
        <v>262</v>
      </c>
      <c r="E96">
        <v>467</v>
      </c>
      <c r="F96">
        <v>4.3666666666666663</v>
      </c>
      <c r="G96" t="str">
        <f t="shared" si="2"/>
        <v>Monday</v>
      </c>
      <c r="H96">
        <f t="shared" si="3"/>
        <v>0.56102783725910066</v>
      </c>
    </row>
    <row r="97" spans="1:8" x14ac:dyDescent="0.25">
      <c r="A97">
        <v>3977333714</v>
      </c>
      <c r="B97" s="8">
        <v>42486</v>
      </c>
      <c r="C97">
        <v>1</v>
      </c>
      <c r="D97">
        <v>250</v>
      </c>
      <c r="E97">
        <v>371</v>
      </c>
      <c r="F97">
        <v>4.166666666666667</v>
      </c>
      <c r="G97" t="str">
        <f t="shared" si="2"/>
        <v>Tuesday</v>
      </c>
      <c r="H97">
        <f t="shared" si="3"/>
        <v>0.67385444743935308</v>
      </c>
    </row>
    <row r="98" spans="1:8" x14ac:dyDescent="0.25">
      <c r="A98">
        <v>3977333714</v>
      </c>
      <c r="B98" s="8">
        <v>42487</v>
      </c>
      <c r="C98">
        <v>1</v>
      </c>
      <c r="D98">
        <v>349</v>
      </c>
      <c r="E98">
        <v>540</v>
      </c>
      <c r="F98">
        <v>5.8166666666666664</v>
      </c>
      <c r="G98" t="str">
        <f t="shared" si="2"/>
        <v>Wednesday</v>
      </c>
      <c r="H98">
        <f t="shared" si="3"/>
        <v>0.64629629629629626</v>
      </c>
    </row>
    <row r="99" spans="1:8" x14ac:dyDescent="0.25">
      <c r="A99">
        <v>3977333714</v>
      </c>
      <c r="B99" s="8">
        <v>42488</v>
      </c>
      <c r="C99">
        <v>1</v>
      </c>
      <c r="D99">
        <v>261</v>
      </c>
      <c r="E99">
        <v>423</v>
      </c>
      <c r="F99">
        <v>4.3499999999999996</v>
      </c>
      <c r="G99" t="str">
        <f t="shared" si="2"/>
        <v>Thursday</v>
      </c>
      <c r="H99">
        <f t="shared" si="3"/>
        <v>0.61702127659574468</v>
      </c>
    </row>
    <row r="100" spans="1:8" x14ac:dyDescent="0.25">
      <c r="A100">
        <v>3977333714</v>
      </c>
      <c r="B100" s="8">
        <v>42489</v>
      </c>
      <c r="C100">
        <v>1</v>
      </c>
      <c r="D100">
        <v>333</v>
      </c>
      <c r="E100">
        <v>478</v>
      </c>
      <c r="F100">
        <v>5.55</v>
      </c>
      <c r="G100" t="str">
        <f t="shared" si="2"/>
        <v>Friday</v>
      </c>
      <c r="H100">
        <f t="shared" si="3"/>
        <v>0.69665271966527198</v>
      </c>
    </row>
    <row r="101" spans="1:8" x14ac:dyDescent="0.25">
      <c r="A101">
        <v>3977333714</v>
      </c>
      <c r="B101" s="8">
        <v>42490</v>
      </c>
      <c r="C101">
        <v>1</v>
      </c>
      <c r="D101">
        <v>237</v>
      </c>
      <c r="E101">
        <v>382</v>
      </c>
      <c r="F101">
        <v>3.95</v>
      </c>
      <c r="G101" t="str">
        <f t="shared" si="2"/>
        <v>Saturday</v>
      </c>
      <c r="H101">
        <f t="shared" si="3"/>
        <v>0.62041884816753923</v>
      </c>
    </row>
    <row r="102" spans="1:8" x14ac:dyDescent="0.25">
      <c r="A102">
        <v>3977333714</v>
      </c>
      <c r="B102" s="8">
        <v>42491</v>
      </c>
      <c r="C102">
        <v>1</v>
      </c>
      <c r="D102">
        <v>383</v>
      </c>
      <c r="E102">
        <v>626</v>
      </c>
      <c r="F102">
        <v>6.3833333333333337</v>
      </c>
      <c r="G102" t="str">
        <f t="shared" si="2"/>
        <v>Sunday</v>
      </c>
      <c r="H102">
        <f t="shared" si="3"/>
        <v>0.61182108626198084</v>
      </c>
    </row>
    <row r="103" spans="1:8" x14ac:dyDescent="0.25">
      <c r="A103">
        <v>3977333714</v>
      </c>
      <c r="B103" s="8">
        <v>42492</v>
      </c>
      <c r="C103">
        <v>1</v>
      </c>
      <c r="D103">
        <v>230</v>
      </c>
      <c r="E103">
        <v>384</v>
      </c>
      <c r="F103">
        <v>3.8333333333333335</v>
      </c>
      <c r="G103" t="str">
        <f t="shared" si="2"/>
        <v>Monday</v>
      </c>
      <c r="H103">
        <f t="shared" si="3"/>
        <v>0.59895833333333337</v>
      </c>
    </row>
    <row r="104" spans="1:8" x14ac:dyDescent="0.25">
      <c r="A104">
        <v>3977333714</v>
      </c>
      <c r="B104" s="8">
        <v>42493</v>
      </c>
      <c r="C104">
        <v>1</v>
      </c>
      <c r="D104">
        <v>292</v>
      </c>
      <c r="E104">
        <v>500</v>
      </c>
      <c r="F104">
        <v>4.8666666666666663</v>
      </c>
      <c r="G104" t="str">
        <f t="shared" si="2"/>
        <v>Tuesday</v>
      </c>
      <c r="H104">
        <f t="shared" si="3"/>
        <v>0.58399999999999996</v>
      </c>
    </row>
    <row r="105" spans="1:8" x14ac:dyDescent="0.25">
      <c r="A105">
        <v>3977333714</v>
      </c>
      <c r="B105" s="8">
        <v>42494</v>
      </c>
      <c r="C105">
        <v>1</v>
      </c>
      <c r="D105">
        <v>213</v>
      </c>
      <c r="E105">
        <v>336</v>
      </c>
      <c r="F105">
        <v>3.55</v>
      </c>
      <c r="G105" t="str">
        <f t="shared" si="2"/>
        <v>Wednesday</v>
      </c>
      <c r="H105">
        <f t="shared" si="3"/>
        <v>0.6339285714285714</v>
      </c>
    </row>
    <row r="106" spans="1:8" x14ac:dyDescent="0.25">
      <c r="A106">
        <v>3977333714</v>
      </c>
      <c r="B106" s="8">
        <v>42495</v>
      </c>
      <c r="C106">
        <v>1</v>
      </c>
      <c r="D106">
        <v>318</v>
      </c>
      <c r="E106">
        <v>480</v>
      </c>
      <c r="F106">
        <v>5.3</v>
      </c>
      <c r="G106" t="str">
        <f t="shared" si="2"/>
        <v>Thursday</v>
      </c>
      <c r="H106">
        <f t="shared" si="3"/>
        <v>0.66249999999999998</v>
      </c>
    </row>
    <row r="107" spans="1:8" x14ac:dyDescent="0.25">
      <c r="A107">
        <v>3977333714</v>
      </c>
      <c r="B107" s="8">
        <v>42496</v>
      </c>
      <c r="C107">
        <v>1</v>
      </c>
      <c r="D107">
        <v>323</v>
      </c>
      <c r="E107">
        <v>512</v>
      </c>
      <c r="F107">
        <v>5.3833333333333337</v>
      </c>
      <c r="G107" t="str">
        <f t="shared" si="2"/>
        <v>Friday</v>
      </c>
      <c r="H107">
        <f t="shared" si="3"/>
        <v>0.630859375</v>
      </c>
    </row>
    <row r="108" spans="1:8" x14ac:dyDescent="0.25">
      <c r="A108">
        <v>3977333714</v>
      </c>
      <c r="B108" s="8">
        <v>42497</v>
      </c>
      <c r="C108">
        <v>1</v>
      </c>
      <c r="D108">
        <v>237</v>
      </c>
      <c r="E108">
        <v>443</v>
      </c>
      <c r="F108">
        <v>3.95</v>
      </c>
      <c r="G108" t="str">
        <f t="shared" si="2"/>
        <v>Saturday</v>
      </c>
      <c r="H108">
        <f t="shared" si="3"/>
        <v>0.53498871331828446</v>
      </c>
    </row>
    <row r="109" spans="1:8" x14ac:dyDescent="0.25">
      <c r="A109">
        <v>3977333714</v>
      </c>
      <c r="B109" s="8">
        <v>42498</v>
      </c>
      <c r="C109">
        <v>2</v>
      </c>
      <c r="D109">
        <v>259</v>
      </c>
      <c r="E109">
        <v>456</v>
      </c>
      <c r="F109">
        <v>4.3166666666666664</v>
      </c>
      <c r="G109" t="str">
        <f t="shared" si="2"/>
        <v>Sunday</v>
      </c>
      <c r="H109">
        <f t="shared" si="3"/>
        <v>0.56798245614035092</v>
      </c>
    </row>
    <row r="110" spans="1:8" x14ac:dyDescent="0.25">
      <c r="A110">
        <v>3977333714</v>
      </c>
      <c r="B110" s="8">
        <v>42500</v>
      </c>
      <c r="C110">
        <v>1</v>
      </c>
      <c r="D110">
        <v>312</v>
      </c>
      <c r="E110">
        <v>452</v>
      </c>
      <c r="F110">
        <v>5.2</v>
      </c>
      <c r="G110" t="str">
        <f t="shared" si="2"/>
        <v>Tuesday</v>
      </c>
      <c r="H110">
        <f t="shared" si="3"/>
        <v>0.69026548672566368</v>
      </c>
    </row>
    <row r="111" spans="1:8" x14ac:dyDescent="0.25">
      <c r="A111">
        <v>4020332650</v>
      </c>
      <c r="B111" s="8">
        <v>42472</v>
      </c>
      <c r="C111">
        <v>1</v>
      </c>
      <c r="D111">
        <v>501</v>
      </c>
      <c r="E111">
        <v>541</v>
      </c>
      <c r="F111">
        <v>8.35</v>
      </c>
      <c r="G111" t="str">
        <f t="shared" si="2"/>
        <v>Tuesday</v>
      </c>
      <c r="H111">
        <f t="shared" si="3"/>
        <v>0.92606284658040661</v>
      </c>
    </row>
    <row r="112" spans="1:8" x14ac:dyDescent="0.25">
      <c r="A112">
        <v>4020332650</v>
      </c>
      <c r="B112" s="8">
        <v>42476</v>
      </c>
      <c r="C112">
        <v>1</v>
      </c>
      <c r="D112">
        <v>77</v>
      </c>
      <c r="E112">
        <v>77</v>
      </c>
      <c r="F112">
        <v>1.2833333333333334</v>
      </c>
      <c r="G112" t="str">
        <f t="shared" si="2"/>
        <v>Saturday</v>
      </c>
      <c r="H112">
        <f t="shared" si="3"/>
        <v>1</v>
      </c>
    </row>
    <row r="113" spans="1:8" x14ac:dyDescent="0.25">
      <c r="A113">
        <v>4020332650</v>
      </c>
      <c r="B113" s="8">
        <v>42493</v>
      </c>
      <c r="C113">
        <v>1</v>
      </c>
      <c r="D113">
        <v>322</v>
      </c>
      <c r="E113">
        <v>332</v>
      </c>
      <c r="F113">
        <v>5.3666666666666663</v>
      </c>
      <c r="G113" t="str">
        <f t="shared" si="2"/>
        <v>Tuesday</v>
      </c>
      <c r="H113">
        <f t="shared" si="3"/>
        <v>0.96987951807228912</v>
      </c>
    </row>
    <row r="114" spans="1:8" x14ac:dyDescent="0.25">
      <c r="A114">
        <v>4020332650</v>
      </c>
      <c r="B114" s="8">
        <v>42494</v>
      </c>
      <c r="C114">
        <v>1</v>
      </c>
      <c r="D114">
        <v>478</v>
      </c>
      <c r="E114">
        <v>536</v>
      </c>
      <c r="F114">
        <v>7.9666666666666668</v>
      </c>
      <c r="G114" t="str">
        <f t="shared" si="2"/>
        <v>Wednesday</v>
      </c>
      <c r="H114">
        <f t="shared" si="3"/>
        <v>0.89179104477611937</v>
      </c>
    </row>
    <row r="115" spans="1:8" x14ac:dyDescent="0.25">
      <c r="A115">
        <v>4020332650</v>
      </c>
      <c r="B115" s="8">
        <v>42495</v>
      </c>
      <c r="C115">
        <v>1</v>
      </c>
      <c r="D115">
        <v>226</v>
      </c>
      <c r="E115">
        <v>248</v>
      </c>
      <c r="F115">
        <v>3.7666666666666666</v>
      </c>
      <c r="G115" t="str">
        <f t="shared" si="2"/>
        <v>Thursday</v>
      </c>
      <c r="H115">
        <f t="shared" si="3"/>
        <v>0.91129032258064513</v>
      </c>
    </row>
    <row r="116" spans="1:8" x14ac:dyDescent="0.25">
      <c r="A116">
        <v>4020332650</v>
      </c>
      <c r="B116" s="8">
        <v>42496</v>
      </c>
      <c r="C116">
        <v>1</v>
      </c>
      <c r="D116">
        <v>385</v>
      </c>
      <c r="E116">
        <v>408</v>
      </c>
      <c r="F116">
        <v>6.416666666666667</v>
      </c>
      <c r="G116" t="str">
        <f t="shared" si="2"/>
        <v>Friday</v>
      </c>
      <c r="H116">
        <f t="shared" si="3"/>
        <v>0.94362745098039214</v>
      </c>
    </row>
    <row r="117" spans="1:8" x14ac:dyDescent="0.25">
      <c r="A117">
        <v>4020332650</v>
      </c>
      <c r="B117" s="8">
        <v>42498</v>
      </c>
      <c r="C117">
        <v>1</v>
      </c>
      <c r="D117">
        <v>364</v>
      </c>
      <c r="E117">
        <v>402</v>
      </c>
      <c r="F117">
        <v>6.0666666666666664</v>
      </c>
      <c r="G117" t="str">
        <f t="shared" si="2"/>
        <v>Sunday</v>
      </c>
      <c r="H117">
        <f t="shared" si="3"/>
        <v>0.90547263681592038</v>
      </c>
    </row>
    <row r="118" spans="1:8" x14ac:dyDescent="0.25">
      <c r="A118">
        <v>4020332650</v>
      </c>
      <c r="B118" s="8">
        <v>42500</v>
      </c>
      <c r="C118">
        <v>1</v>
      </c>
      <c r="D118">
        <v>442</v>
      </c>
      <c r="E118">
        <v>494</v>
      </c>
      <c r="F118">
        <v>7.3666666666666663</v>
      </c>
      <c r="G118" t="str">
        <f t="shared" si="2"/>
        <v>Tuesday</v>
      </c>
      <c r="H118">
        <f t="shared" si="3"/>
        <v>0.89473684210526316</v>
      </c>
    </row>
    <row r="119" spans="1:8" x14ac:dyDescent="0.25">
      <c r="A119">
        <v>4319703577</v>
      </c>
      <c r="B119" s="8">
        <v>42474</v>
      </c>
      <c r="C119">
        <v>1</v>
      </c>
      <c r="D119">
        <v>535</v>
      </c>
      <c r="E119">
        <v>557</v>
      </c>
      <c r="F119">
        <v>8.9166666666666661</v>
      </c>
      <c r="G119" t="str">
        <f t="shared" si="2"/>
        <v>Thursday</v>
      </c>
      <c r="H119">
        <f t="shared" si="3"/>
        <v>0.96050269299820468</v>
      </c>
    </row>
    <row r="120" spans="1:8" x14ac:dyDescent="0.25">
      <c r="A120">
        <v>4319703577</v>
      </c>
      <c r="B120" s="8">
        <v>42475</v>
      </c>
      <c r="C120">
        <v>1</v>
      </c>
      <c r="D120">
        <v>465</v>
      </c>
      <c r="E120">
        <v>491</v>
      </c>
      <c r="F120">
        <v>7.75</v>
      </c>
      <c r="G120" t="str">
        <f t="shared" si="2"/>
        <v>Friday</v>
      </c>
      <c r="H120">
        <f t="shared" si="3"/>
        <v>0.94704684317718946</v>
      </c>
    </row>
    <row r="121" spans="1:8" x14ac:dyDescent="0.25">
      <c r="A121">
        <v>4319703577</v>
      </c>
      <c r="B121" s="8">
        <v>42476</v>
      </c>
      <c r="C121">
        <v>1</v>
      </c>
      <c r="D121">
        <v>506</v>
      </c>
      <c r="E121">
        <v>522</v>
      </c>
      <c r="F121">
        <v>8.4333333333333336</v>
      </c>
      <c r="G121" t="str">
        <f t="shared" si="2"/>
        <v>Saturday</v>
      </c>
      <c r="H121">
        <f t="shared" si="3"/>
        <v>0.96934865900383138</v>
      </c>
    </row>
    <row r="122" spans="1:8" x14ac:dyDescent="0.25">
      <c r="A122">
        <v>4319703577</v>
      </c>
      <c r="B122" s="8">
        <v>42478</v>
      </c>
      <c r="C122">
        <v>1</v>
      </c>
      <c r="D122">
        <v>515</v>
      </c>
      <c r="E122">
        <v>551</v>
      </c>
      <c r="F122">
        <v>8.5833333333333339</v>
      </c>
      <c r="G122" t="str">
        <f t="shared" si="2"/>
        <v>Monday</v>
      </c>
      <c r="H122">
        <f t="shared" si="3"/>
        <v>0.93466424682395643</v>
      </c>
    </row>
    <row r="123" spans="1:8" x14ac:dyDescent="0.25">
      <c r="A123">
        <v>4319703577</v>
      </c>
      <c r="B123" s="8">
        <v>42479</v>
      </c>
      <c r="C123">
        <v>2</v>
      </c>
      <c r="D123">
        <v>461</v>
      </c>
      <c r="E123">
        <v>498</v>
      </c>
      <c r="F123">
        <v>7.6833333333333336</v>
      </c>
      <c r="G123" t="str">
        <f t="shared" si="2"/>
        <v>Tuesday</v>
      </c>
      <c r="H123">
        <f t="shared" si="3"/>
        <v>0.92570281124497988</v>
      </c>
    </row>
    <row r="124" spans="1:8" x14ac:dyDescent="0.25">
      <c r="A124">
        <v>4319703577</v>
      </c>
      <c r="B124" s="8">
        <v>42480</v>
      </c>
      <c r="C124">
        <v>1</v>
      </c>
      <c r="D124">
        <v>523</v>
      </c>
      <c r="E124">
        <v>543</v>
      </c>
      <c r="F124">
        <v>8.7166666666666668</v>
      </c>
      <c r="G124" t="str">
        <f t="shared" si="2"/>
        <v>Wednesday</v>
      </c>
      <c r="H124">
        <f t="shared" si="3"/>
        <v>0.96316758747697973</v>
      </c>
    </row>
    <row r="125" spans="1:8" x14ac:dyDescent="0.25">
      <c r="A125">
        <v>4319703577</v>
      </c>
      <c r="B125" s="8">
        <v>42481</v>
      </c>
      <c r="C125">
        <v>1</v>
      </c>
      <c r="D125">
        <v>59</v>
      </c>
      <c r="E125">
        <v>65</v>
      </c>
      <c r="F125">
        <v>0.98333333333333328</v>
      </c>
      <c r="G125" t="str">
        <f t="shared" si="2"/>
        <v>Thursday</v>
      </c>
      <c r="H125">
        <f t="shared" si="3"/>
        <v>0.90769230769230769</v>
      </c>
    </row>
    <row r="126" spans="1:8" x14ac:dyDescent="0.25">
      <c r="A126">
        <v>4319703577</v>
      </c>
      <c r="B126" s="8">
        <v>42482</v>
      </c>
      <c r="C126">
        <v>1</v>
      </c>
      <c r="D126">
        <v>533</v>
      </c>
      <c r="E126">
        <v>550</v>
      </c>
      <c r="F126">
        <v>8.8833333333333329</v>
      </c>
      <c r="G126" t="str">
        <f t="shared" si="2"/>
        <v>Friday</v>
      </c>
      <c r="H126">
        <f t="shared" si="3"/>
        <v>0.96909090909090911</v>
      </c>
    </row>
    <row r="127" spans="1:8" x14ac:dyDescent="0.25">
      <c r="A127">
        <v>4319703577</v>
      </c>
      <c r="B127" s="8">
        <v>42483</v>
      </c>
      <c r="C127">
        <v>1</v>
      </c>
      <c r="D127">
        <v>692</v>
      </c>
      <c r="E127">
        <v>722</v>
      </c>
      <c r="F127">
        <v>11.533333333333333</v>
      </c>
      <c r="G127" t="str">
        <f t="shared" si="2"/>
        <v>Saturday</v>
      </c>
      <c r="H127">
        <f t="shared" si="3"/>
        <v>0.95844875346260383</v>
      </c>
    </row>
    <row r="128" spans="1:8" x14ac:dyDescent="0.25">
      <c r="A128">
        <v>4319703577</v>
      </c>
      <c r="B128" s="8">
        <v>42484</v>
      </c>
      <c r="C128">
        <v>1</v>
      </c>
      <c r="D128">
        <v>467</v>
      </c>
      <c r="E128">
        <v>501</v>
      </c>
      <c r="F128">
        <v>7.7833333333333332</v>
      </c>
      <c r="G128" t="str">
        <f t="shared" si="2"/>
        <v>Sunday</v>
      </c>
      <c r="H128">
        <f t="shared" si="3"/>
        <v>0.93213572854291415</v>
      </c>
    </row>
    <row r="129" spans="1:8" x14ac:dyDescent="0.25">
      <c r="A129">
        <v>4319703577</v>
      </c>
      <c r="B129" s="8">
        <v>42485</v>
      </c>
      <c r="C129">
        <v>1</v>
      </c>
      <c r="D129">
        <v>488</v>
      </c>
      <c r="E129">
        <v>506</v>
      </c>
      <c r="F129">
        <v>8.1333333333333329</v>
      </c>
      <c r="G129" t="str">
        <f t="shared" si="2"/>
        <v>Monday</v>
      </c>
      <c r="H129">
        <f t="shared" si="3"/>
        <v>0.96442687747035571</v>
      </c>
    </row>
    <row r="130" spans="1:8" x14ac:dyDescent="0.25">
      <c r="A130">
        <v>4319703577</v>
      </c>
      <c r="B130" s="8">
        <v>42486</v>
      </c>
      <c r="C130">
        <v>1</v>
      </c>
      <c r="D130">
        <v>505</v>
      </c>
      <c r="E130">
        <v>516</v>
      </c>
      <c r="F130">
        <v>8.4166666666666661</v>
      </c>
      <c r="G130" t="str">
        <f t="shared" ref="G130:G193" si="4">TEXT(B130,"dddd")</f>
        <v>Tuesday</v>
      </c>
      <c r="H130">
        <f t="shared" ref="H130:H193" si="5">D130/E130</f>
        <v>0.97868217054263562</v>
      </c>
    </row>
    <row r="131" spans="1:8" x14ac:dyDescent="0.25">
      <c r="A131">
        <v>4319703577</v>
      </c>
      <c r="B131" s="8">
        <v>42487</v>
      </c>
      <c r="C131">
        <v>1</v>
      </c>
      <c r="D131">
        <v>286</v>
      </c>
      <c r="E131">
        <v>307</v>
      </c>
      <c r="F131">
        <v>4.7666666666666666</v>
      </c>
      <c r="G131" t="str">
        <f t="shared" si="4"/>
        <v>Wednesday</v>
      </c>
      <c r="H131">
        <f t="shared" si="5"/>
        <v>0.9315960912052117</v>
      </c>
    </row>
    <row r="132" spans="1:8" x14ac:dyDescent="0.25">
      <c r="A132">
        <v>4319703577</v>
      </c>
      <c r="B132" s="8">
        <v>42488</v>
      </c>
      <c r="C132">
        <v>1</v>
      </c>
      <c r="D132">
        <v>497</v>
      </c>
      <c r="E132">
        <v>522</v>
      </c>
      <c r="F132">
        <v>8.2833333333333332</v>
      </c>
      <c r="G132" t="str">
        <f t="shared" si="4"/>
        <v>Thursday</v>
      </c>
      <c r="H132">
        <f t="shared" si="5"/>
        <v>0.95210727969348663</v>
      </c>
    </row>
    <row r="133" spans="1:8" x14ac:dyDescent="0.25">
      <c r="A133">
        <v>4319703577</v>
      </c>
      <c r="B133" s="8">
        <v>42489</v>
      </c>
      <c r="C133">
        <v>1</v>
      </c>
      <c r="D133">
        <v>523</v>
      </c>
      <c r="E133">
        <v>546</v>
      </c>
      <c r="F133">
        <v>8.7166666666666668</v>
      </c>
      <c r="G133" t="str">
        <f t="shared" si="4"/>
        <v>Friday</v>
      </c>
      <c r="H133">
        <f t="shared" si="5"/>
        <v>0.95787545787545791</v>
      </c>
    </row>
    <row r="134" spans="1:8" x14ac:dyDescent="0.25">
      <c r="A134">
        <v>4319703577</v>
      </c>
      <c r="B134" s="8">
        <v>42490</v>
      </c>
      <c r="C134">
        <v>1</v>
      </c>
      <c r="D134">
        <v>490</v>
      </c>
      <c r="E134">
        <v>516</v>
      </c>
      <c r="F134">
        <v>8.1666666666666661</v>
      </c>
      <c r="G134" t="str">
        <f t="shared" si="4"/>
        <v>Saturday</v>
      </c>
      <c r="H134">
        <f t="shared" si="5"/>
        <v>0.94961240310077522</v>
      </c>
    </row>
    <row r="135" spans="1:8" x14ac:dyDescent="0.25">
      <c r="A135">
        <v>4319703577</v>
      </c>
      <c r="B135" s="8">
        <v>42491</v>
      </c>
      <c r="C135">
        <v>1</v>
      </c>
      <c r="D135">
        <v>484</v>
      </c>
      <c r="E135">
        <v>500</v>
      </c>
      <c r="F135">
        <v>8.0666666666666664</v>
      </c>
      <c r="G135" t="str">
        <f t="shared" si="4"/>
        <v>Sunday</v>
      </c>
      <c r="H135">
        <f t="shared" si="5"/>
        <v>0.96799999999999997</v>
      </c>
    </row>
    <row r="136" spans="1:8" x14ac:dyDescent="0.25">
      <c r="A136">
        <v>4319703577</v>
      </c>
      <c r="B136" s="8">
        <v>42492</v>
      </c>
      <c r="C136">
        <v>1</v>
      </c>
      <c r="D136">
        <v>478</v>
      </c>
      <c r="E136">
        <v>506</v>
      </c>
      <c r="F136">
        <v>7.9666666666666668</v>
      </c>
      <c r="G136" t="str">
        <f t="shared" si="4"/>
        <v>Monday</v>
      </c>
      <c r="H136">
        <f t="shared" si="5"/>
        <v>0.94466403162055335</v>
      </c>
    </row>
    <row r="137" spans="1:8" x14ac:dyDescent="0.25">
      <c r="A137">
        <v>4319703577</v>
      </c>
      <c r="B137" s="8">
        <v>42493</v>
      </c>
      <c r="C137">
        <v>1</v>
      </c>
      <c r="D137">
        <v>474</v>
      </c>
      <c r="E137">
        <v>512</v>
      </c>
      <c r="F137">
        <v>7.9</v>
      </c>
      <c r="G137" t="str">
        <f t="shared" si="4"/>
        <v>Tuesday</v>
      </c>
      <c r="H137">
        <f t="shared" si="5"/>
        <v>0.92578125</v>
      </c>
    </row>
    <row r="138" spans="1:8" x14ac:dyDescent="0.25">
      <c r="A138">
        <v>4319703577</v>
      </c>
      <c r="B138" s="8">
        <v>42496</v>
      </c>
      <c r="C138">
        <v>1</v>
      </c>
      <c r="D138">
        <v>450</v>
      </c>
      <c r="E138">
        <v>491</v>
      </c>
      <c r="F138">
        <v>7.5</v>
      </c>
      <c r="G138" t="str">
        <f t="shared" si="4"/>
        <v>Friday</v>
      </c>
      <c r="H138">
        <f t="shared" si="5"/>
        <v>0.91649694501018331</v>
      </c>
    </row>
    <row r="139" spans="1:8" x14ac:dyDescent="0.25">
      <c r="A139">
        <v>4319703577</v>
      </c>
      <c r="B139" s="8">
        <v>42497</v>
      </c>
      <c r="C139">
        <v>1</v>
      </c>
      <c r="D139">
        <v>507</v>
      </c>
      <c r="E139">
        <v>530</v>
      </c>
      <c r="F139">
        <v>8.4499999999999993</v>
      </c>
      <c r="G139" t="str">
        <f t="shared" si="4"/>
        <v>Saturday</v>
      </c>
      <c r="H139">
        <f t="shared" si="5"/>
        <v>0.95660377358490567</v>
      </c>
    </row>
    <row r="140" spans="1:8" x14ac:dyDescent="0.25">
      <c r="A140">
        <v>4319703577</v>
      </c>
      <c r="B140" s="8">
        <v>42498</v>
      </c>
      <c r="C140">
        <v>1</v>
      </c>
      <c r="D140">
        <v>602</v>
      </c>
      <c r="E140">
        <v>638</v>
      </c>
      <c r="F140">
        <v>10.033333333333333</v>
      </c>
      <c r="G140" t="str">
        <f t="shared" si="4"/>
        <v>Sunday</v>
      </c>
      <c r="H140">
        <f t="shared" si="5"/>
        <v>0.94357366771159878</v>
      </c>
    </row>
    <row r="141" spans="1:8" x14ac:dyDescent="0.25">
      <c r="A141">
        <v>4319703577</v>
      </c>
      <c r="B141" s="8">
        <v>42499</v>
      </c>
      <c r="C141">
        <v>1</v>
      </c>
      <c r="D141">
        <v>535</v>
      </c>
      <c r="E141">
        <v>565</v>
      </c>
      <c r="F141">
        <v>8.9166666666666661</v>
      </c>
      <c r="G141" t="str">
        <f t="shared" si="4"/>
        <v>Monday</v>
      </c>
      <c r="H141">
        <f t="shared" si="5"/>
        <v>0.94690265486725667</v>
      </c>
    </row>
    <row r="142" spans="1:8" x14ac:dyDescent="0.25">
      <c r="A142">
        <v>4319703577</v>
      </c>
      <c r="B142" s="8">
        <v>42500</v>
      </c>
      <c r="C142">
        <v>1</v>
      </c>
      <c r="D142">
        <v>487</v>
      </c>
      <c r="E142">
        <v>517</v>
      </c>
      <c r="F142">
        <v>8.1166666666666671</v>
      </c>
      <c r="G142" t="str">
        <f t="shared" si="4"/>
        <v>Tuesday</v>
      </c>
      <c r="H142">
        <f t="shared" si="5"/>
        <v>0.94197292069632499</v>
      </c>
    </row>
    <row r="143" spans="1:8" x14ac:dyDescent="0.25">
      <c r="A143">
        <v>4319703577</v>
      </c>
      <c r="B143" s="8">
        <v>42501</v>
      </c>
      <c r="C143">
        <v>1</v>
      </c>
      <c r="D143">
        <v>529</v>
      </c>
      <c r="E143">
        <v>558</v>
      </c>
      <c r="F143">
        <v>8.8166666666666664</v>
      </c>
      <c r="G143" t="str">
        <f t="shared" si="4"/>
        <v>Wednesday</v>
      </c>
      <c r="H143">
        <f t="shared" si="5"/>
        <v>0.94802867383512546</v>
      </c>
    </row>
    <row r="144" spans="1:8" x14ac:dyDescent="0.25">
      <c r="A144">
        <v>4319703577</v>
      </c>
      <c r="B144" s="8">
        <v>42502</v>
      </c>
      <c r="C144">
        <v>1</v>
      </c>
      <c r="D144">
        <v>302</v>
      </c>
      <c r="E144">
        <v>321</v>
      </c>
      <c r="F144">
        <v>5.0333333333333332</v>
      </c>
      <c r="G144" t="str">
        <f t="shared" si="4"/>
        <v>Thursday</v>
      </c>
      <c r="H144">
        <f t="shared" si="5"/>
        <v>0.94080996884735202</v>
      </c>
    </row>
    <row r="145" spans="1:8" x14ac:dyDescent="0.25">
      <c r="A145">
        <v>4388161847</v>
      </c>
      <c r="B145" s="8">
        <v>42475</v>
      </c>
      <c r="C145">
        <v>1</v>
      </c>
      <c r="D145">
        <v>499</v>
      </c>
      <c r="E145">
        <v>526</v>
      </c>
      <c r="F145">
        <v>8.3166666666666664</v>
      </c>
      <c r="G145" t="str">
        <f t="shared" si="4"/>
        <v>Friday</v>
      </c>
      <c r="H145">
        <f t="shared" si="5"/>
        <v>0.9486692015209125</v>
      </c>
    </row>
    <row r="146" spans="1:8" x14ac:dyDescent="0.25">
      <c r="A146">
        <v>4388161847</v>
      </c>
      <c r="B146" s="8">
        <v>42476</v>
      </c>
      <c r="C146">
        <v>2</v>
      </c>
      <c r="D146">
        <v>426</v>
      </c>
      <c r="E146">
        <v>448</v>
      </c>
      <c r="F146">
        <v>7.1</v>
      </c>
      <c r="G146" t="str">
        <f t="shared" si="4"/>
        <v>Saturday</v>
      </c>
      <c r="H146">
        <f t="shared" si="5"/>
        <v>0.9508928571428571</v>
      </c>
    </row>
    <row r="147" spans="1:8" x14ac:dyDescent="0.25">
      <c r="A147">
        <v>4388161847</v>
      </c>
      <c r="B147" s="8">
        <v>42477</v>
      </c>
      <c r="C147">
        <v>2</v>
      </c>
      <c r="D147">
        <v>619</v>
      </c>
      <c r="E147">
        <v>641</v>
      </c>
      <c r="F147">
        <v>10.316666666666666</v>
      </c>
      <c r="G147" t="str">
        <f t="shared" si="4"/>
        <v>Sunday</v>
      </c>
      <c r="H147">
        <f t="shared" si="5"/>
        <v>0.96567862714508579</v>
      </c>
    </row>
    <row r="148" spans="1:8" x14ac:dyDescent="0.25">
      <c r="A148">
        <v>4388161847</v>
      </c>
      <c r="B148" s="8">
        <v>42478</v>
      </c>
      <c r="C148">
        <v>1</v>
      </c>
      <c r="D148">
        <v>99</v>
      </c>
      <c r="E148">
        <v>104</v>
      </c>
      <c r="F148">
        <v>1.65</v>
      </c>
      <c r="G148" t="str">
        <f t="shared" si="4"/>
        <v>Monday</v>
      </c>
      <c r="H148">
        <f t="shared" si="5"/>
        <v>0.95192307692307687</v>
      </c>
    </row>
    <row r="149" spans="1:8" x14ac:dyDescent="0.25">
      <c r="A149">
        <v>4388161847</v>
      </c>
      <c r="B149" s="8">
        <v>42479</v>
      </c>
      <c r="C149">
        <v>1</v>
      </c>
      <c r="D149">
        <v>329</v>
      </c>
      <c r="E149">
        <v>338</v>
      </c>
      <c r="F149">
        <v>5.4833333333333334</v>
      </c>
      <c r="G149" t="str">
        <f t="shared" si="4"/>
        <v>Tuesday</v>
      </c>
      <c r="H149">
        <f t="shared" si="5"/>
        <v>0.97337278106508873</v>
      </c>
    </row>
    <row r="150" spans="1:8" x14ac:dyDescent="0.25">
      <c r="A150">
        <v>4388161847</v>
      </c>
      <c r="B150" s="8">
        <v>42480</v>
      </c>
      <c r="C150">
        <v>1</v>
      </c>
      <c r="D150">
        <v>421</v>
      </c>
      <c r="E150">
        <v>451</v>
      </c>
      <c r="F150">
        <v>7.0166666666666666</v>
      </c>
      <c r="G150" t="str">
        <f t="shared" si="4"/>
        <v>Wednesday</v>
      </c>
      <c r="H150">
        <f t="shared" si="5"/>
        <v>0.93348115299334811</v>
      </c>
    </row>
    <row r="151" spans="1:8" x14ac:dyDescent="0.25">
      <c r="A151">
        <v>4388161847</v>
      </c>
      <c r="B151" s="8">
        <v>42481</v>
      </c>
      <c r="C151">
        <v>1</v>
      </c>
      <c r="D151">
        <v>442</v>
      </c>
      <c r="E151">
        <v>458</v>
      </c>
      <c r="F151">
        <v>7.3666666666666663</v>
      </c>
      <c r="G151" t="str">
        <f t="shared" si="4"/>
        <v>Thursday</v>
      </c>
      <c r="H151">
        <f t="shared" si="5"/>
        <v>0.96506550218340614</v>
      </c>
    </row>
    <row r="152" spans="1:8" x14ac:dyDescent="0.25">
      <c r="A152">
        <v>4388161847</v>
      </c>
      <c r="B152" s="8">
        <v>42482</v>
      </c>
      <c r="C152">
        <v>1</v>
      </c>
      <c r="D152">
        <v>82</v>
      </c>
      <c r="E152">
        <v>85</v>
      </c>
      <c r="F152">
        <v>1.3666666666666667</v>
      </c>
      <c r="G152" t="str">
        <f t="shared" si="4"/>
        <v>Friday</v>
      </c>
      <c r="H152">
        <f t="shared" si="5"/>
        <v>0.96470588235294119</v>
      </c>
    </row>
    <row r="153" spans="1:8" x14ac:dyDescent="0.25">
      <c r="A153">
        <v>4388161847</v>
      </c>
      <c r="B153" s="8">
        <v>42483</v>
      </c>
      <c r="C153">
        <v>1</v>
      </c>
      <c r="D153">
        <v>478</v>
      </c>
      <c r="E153">
        <v>501</v>
      </c>
      <c r="F153">
        <v>7.9666666666666668</v>
      </c>
      <c r="G153" t="str">
        <f t="shared" si="4"/>
        <v>Saturday</v>
      </c>
      <c r="H153">
        <f t="shared" si="5"/>
        <v>0.95409181636726548</v>
      </c>
    </row>
    <row r="154" spans="1:8" x14ac:dyDescent="0.25">
      <c r="A154">
        <v>4388161847</v>
      </c>
      <c r="B154" s="8">
        <v>42484</v>
      </c>
      <c r="C154">
        <v>3</v>
      </c>
      <c r="D154">
        <v>552</v>
      </c>
      <c r="E154">
        <v>595</v>
      </c>
      <c r="F154">
        <v>9.1999999999999993</v>
      </c>
      <c r="G154" t="str">
        <f t="shared" si="4"/>
        <v>Sunday</v>
      </c>
      <c r="H154">
        <f t="shared" si="5"/>
        <v>0.92773109243697482</v>
      </c>
    </row>
    <row r="155" spans="1:8" x14ac:dyDescent="0.25">
      <c r="A155">
        <v>4388161847</v>
      </c>
      <c r="B155" s="8">
        <v>42486</v>
      </c>
      <c r="C155">
        <v>1</v>
      </c>
      <c r="D155">
        <v>319</v>
      </c>
      <c r="E155">
        <v>346</v>
      </c>
      <c r="F155">
        <v>5.3166666666666664</v>
      </c>
      <c r="G155" t="str">
        <f t="shared" si="4"/>
        <v>Tuesday</v>
      </c>
      <c r="H155">
        <f t="shared" si="5"/>
        <v>0.9219653179190751</v>
      </c>
    </row>
    <row r="156" spans="1:8" x14ac:dyDescent="0.25">
      <c r="A156">
        <v>4388161847</v>
      </c>
      <c r="B156" s="8">
        <v>42487</v>
      </c>
      <c r="C156">
        <v>1</v>
      </c>
      <c r="D156">
        <v>439</v>
      </c>
      <c r="E156">
        <v>500</v>
      </c>
      <c r="F156">
        <v>7.3166666666666664</v>
      </c>
      <c r="G156" t="str">
        <f t="shared" si="4"/>
        <v>Wednesday</v>
      </c>
      <c r="H156">
        <f t="shared" si="5"/>
        <v>0.878</v>
      </c>
    </row>
    <row r="157" spans="1:8" x14ac:dyDescent="0.25">
      <c r="A157">
        <v>4388161847</v>
      </c>
      <c r="B157" s="8">
        <v>42488</v>
      </c>
      <c r="C157">
        <v>1</v>
      </c>
      <c r="D157">
        <v>428</v>
      </c>
      <c r="E157">
        <v>458</v>
      </c>
      <c r="F157">
        <v>7.1333333333333337</v>
      </c>
      <c r="G157" t="str">
        <f t="shared" si="4"/>
        <v>Thursday</v>
      </c>
      <c r="H157">
        <f t="shared" si="5"/>
        <v>0.93449781659388642</v>
      </c>
    </row>
    <row r="158" spans="1:8" x14ac:dyDescent="0.25">
      <c r="A158">
        <v>4388161847</v>
      </c>
      <c r="B158" s="8">
        <v>42490</v>
      </c>
      <c r="C158">
        <v>2</v>
      </c>
      <c r="D158">
        <v>409</v>
      </c>
      <c r="E158">
        <v>430</v>
      </c>
      <c r="F158">
        <v>6.8166666666666664</v>
      </c>
      <c r="G158" t="str">
        <f t="shared" si="4"/>
        <v>Saturday</v>
      </c>
      <c r="H158">
        <f t="shared" si="5"/>
        <v>0.9511627906976744</v>
      </c>
    </row>
    <row r="159" spans="1:8" x14ac:dyDescent="0.25">
      <c r="A159">
        <v>4388161847</v>
      </c>
      <c r="B159" s="8">
        <v>42491</v>
      </c>
      <c r="C159">
        <v>1</v>
      </c>
      <c r="D159">
        <v>547</v>
      </c>
      <c r="E159">
        <v>597</v>
      </c>
      <c r="F159">
        <v>9.1166666666666671</v>
      </c>
      <c r="G159" t="str">
        <f t="shared" si="4"/>
        <v>Sunday</v>
      </c>
      <c r="H159">
        <f t="shared" si="5"/>
        <v>0.91624790619765495</v>
      </c>
    </row>
    <row r="160" spans="1:8" x14ac:dyDescent="0.25">
      <c r="A160">
        <v>4388161847</v>
      </c>
      <c r="B160" s="8">
        <v>42492</v>
      </c>
      <c r="C160">
        <v>2</v>
      </c>
      <c r="D160">
        <v>368</v>
      </c>
      <c r="E160">
        <v>376</v>
      </c>
      <c r="F160">
        <v>6.1333333333333337</v>
      </c>
      <c r="G160" t="str">
        <f t="shared" si="4"/>
        <v>Monday</v>
      </c>
      <c r="H160">
        <f t="shared" si="5"/>
        <v>0.97872340425531912</v>
      </c>
    </row>
    <row r="161" spans="1:8" x14ac:dyDescent="0.25">
      <c r="A161">
        <v>4388161847</v>
      </c>
      <c r="B161" s="8">
        <v>42494</v>
      </c>
      <c r="C161">
        <v>1</v>
      </c>
      <c r="D161">
        <v>390</v>
      </c>
      <c r="E161">
        <v>414</v>
      </c>
      <c r="F161">
        <v>6.5</v>
      </c>
      <c r="G161" t="str">
        <f t="shared" si="4"/>
        <v>Wednesday</v>
      </c>
      <c r="H161">
        <f t="shared" si="5"/>
        <v>0.94202898550724634</v>
      </c>
    </row>
    <row r="162" spans="1:8" x14ac:dyDescent="0.25">
      <c r="A162">
        <v>4388161847</v>
      </c>
      <c r="B162" s="8">
        <v>42495</v>
      </c>
      <c r="C162">
        <v>1</v>
      </c>
      <c r="D162">
        <v>471</v>
      </c>
      <c r="E162">
        <v>495</v>
      </c>
      <c r="F162">
        <v>7.85</v>
      </c>
      <c r="G162" t="str">
        <f t="shared" si="4"/>
        <v>Thursday</v>
      </c>
      <c r="H162">
        <f t="shared" si="5"/>
        <v>0.95151515151515154</v>
      </c>
    </row>
    <row r="163" spans="1:8" x14ac:dyDescent="0.25">
      <c r="A163">
        <v>4388161847</v>
      </c>
      <c r="B163" s="8">
        <v>42497</v>
      </c>
      <c r="C163">
        <v>1</v>
      </c>
      <c r="D163">
        <v>472</v>
      </c>
      <c r="E163">
        <v>496</v>
      </c>
      <c r="F163">
        <v>7.8666666666666663</v>
      </c>
      <c r="G163" t="str">
        <f t="shared" si="4"/>
        <v>Saturday</v>
      </c>
      <c r="H163">
        <f t="shared" si="5"/>
        <v>0.95161290322580649</v>
      </c>
    </row>
    <row r="164" spans="1:8" x14ac:dyDescent="0.25">
      <c r="A164">
        <v>4388161847</v>
      </c>
      <c r="B164" s="8">
        <v>42498</v>
      </c>
      <c r="C164">
        <v>2</v>
      </c>
      <c r="D164">
        <v>529</v>
      </c>
      <c r="E164">
        <v>541</v>
      </c>
      <c r="F164">
        <v>8.8166666666666664</v>
      </c>
      <c r="G164" t="str">
        <f t="shared" si="4"/>
        <v>Sunday</v>
      </c>
      <c r="H164">
        <f t="shared" si="5"/>
        <v>0.97781885397412205</v>
      </c>
    </row>
    <row r="165" spans="1:8" x14ac:dyDescent="0.25">
      <c r="A165">
        <v>4388161847</v>
      </c>
      <c r="B165" s="8">
        <v>42499</v>
      </c>
      <c r="C165">
        <v>1</v>
      </c>
      <c r="D165">
        <v>62</v>
      </c>
      <c r="E165">
        <v>65</v>
      </c>
      <c r="F165">
        <v>1.0333333333333334</v>
      </c>
      <c r="G165" t="str">
        <f t="shared" si="4"/>
        <v>Monday</v>
      </c>
      <c r="H165">
        <f t="shared" si="5"/>
        <v>0.9538461538461539</v>
      </c>
    </row>
    <row r="166" spans="1:8" x14ac:dyDescent="0.25">
      <c r="A166">
        <v>4388161847</v>
      </c>
      <c r="B166" s="8">
        <v>42500</v>
      </c>
      <c r="C166">
        <v>1</v>
      </c>
      <c r="D166">
        <v>354</v>
      </c>
      <c r="E166">
        <v>375</v>
      </c>
      <c r="F166">
        <v>5.9</v>
      </c>
      <c r="G166" t="str">
        <f t="shared" si="4"/>
        <v>Tuesday</v>
      </c>
      <c r="H166">
        <f t="shared" si="5"/>
        <v>0.94399999999999995</v>
      </c>
    </row>
    <row r="167" spans="1:8" x14ac:dyDescent="0.25">
      <c r="A167">
        <v>4388161847</v>
      </c>
      <c r="B167" s="8">
        <v>42501</v>
      </c>
      <c r="C167">
        <v>1</v>
      </c>
      <c r="D167">
        <v>469</v>
      </c>
      <c r="E167">
        <v>494</v>
      </c>
      <c r="F167">
        <v>7.8166666666666664</v>
      </c>
      <c r="G167" t="str">
        <f t="shared" si="4"/>
        <v>Wednesday</v>
      </c>
      <c r="H167">
        <f t="shared" si="5"/>
        <v>0.94939271255060731</v>
      </c>
    </row>
    <row r="168" spans="1:8" x14ac:dyDescent="0.25">
      <c r="A168">
        <v>4445114986</v>
      </c>
      <c r="B168" s="8">
        <v>42472</v>
      </c>
      <c r="C168">
        <v>2</v>
      </c>
      <c r="D168">
        <v>429</v>
      </c>
      <c r="E168">
        <v>457</v>
      </c>
      <c r="F168">
        <v>7.15</v>
      </c>
      <c r="G168" t="str">
        <f t="shared" si="4"/>
        <v>Tuesday</v>
      </c>
      <c r="H168">
        <f t="shared" si="5"/>
        <v>0.93873085339168494</v>
      </c>
    </row>
    <row r="169" spans="1:8" x14ac:dyDescent="0.25">
      <c r="A169">
        <v>4445114986</v>
      </c>
      <c r="B169" s="8">
        <v>42473</v>
      </c>
      <c r="C169">
        <v>2</v>
      </c>
      <c r="D169">
        <v>370</v>
      </c>
      <c r="E169">
        <v>406</v>
      </c>
      <c r="F169">
        <v>6.166666666666667</v>
      </c>
      <c r="G169" t="str">
        <f t="shared" si="4"/>
        <v>Wednesday</v>
      </c>
      <c r="H169">
        <f t="shared" si="5"/>
        <v>0.91133004926108374</v>
      </c>
    </row>
    <row r="170" spans="1:8" x14ac:dyDescent="0.25">
      <c r="A170">
        <v>4445114986</v>
      </c>
      <c r="B170" s="8">
        <v>42474</v>
      </c>
      <c r="C170">
        <v>1</v>
      </c>
      <c r="D170">
        <v>441</v>
      </c>
      <c r="E170">
        <v>492</v>
      </c>
      <c r="F170">
        <v>7.35</v>
      </c>
      <c r="G170" t="str">
        <f t="shared" si="4"/>
        <v>Thursday</v>
      </c>
      <c r="H170">
        <f t="shared" si="5"/>
        <v>0.89634146341463417</v>
      </c>
    </row>
    <row r="171" spans="1:8" x14ac:dyDescent="0.25">
      <c r="A171">
        <v>4445114986</v>
      </c>
      <c r="B171" s="8">
        <v>42475</v>
      </c>
      <c r="C171">
        <v>2</v>
      </c>
      <c r="D171">
        <v>337</v>
      </c>
      <c r="E171">
        <v>379</v>
      </c>
      <c r="F171">
        <v>5.6166666666666663</v>
      </c>
      <c r="G171" t="str">
        <f t="shared" si="4"/>
        <v>Friday</v>
      </c>
      <c r="H171">
        <f t="shared" si="5"/>
        <v>0.8891820580474934</v>
      </c>
    </row>
    <row r="172" spans="1:8" x14ac:dyDescent="0.25">
      <c r="A172">
        <v>4445114986</v>
      </c>
      <c r="B172" s="8">
        <v>42476</v>
      </c>
      <c r="C172">
        <v>1</v>
      </c>
      <c r="D172">
        <v>462</v>
      </c>
      <c r="E172">
        <v>499</v>
      </c>
      <c r="F172">
        <v>7.7</v>
      </c>
      <c r="G172" t="str">
        <f t="shared" si="4"/>
        <v>Saturday</v>
      </c>
      <c r="H172">
        <f t="shared" si="5"/>
        <v>0.92585170340681366</v>
      </c>
    </row>
    <row r="173" spans="1:8" x14ac:dyDescent="0.25">
      <c r="A173">
        <v>4445114986</v>
      </c>
      <c r="B173" s="8">
        <v>42477</v>
      </c>
      <c r="C173">
        <v>1</v>
      </c>
      <c r="D173">
        <v>98</v>
      </c>
      <c r="E173">
        <v>107</v>
      </c>
      <c r="F173">
        <v>1.6333333333333333</v>
      </c>
      <c r="G173" t="str">
        <f t="shared" si="4"/>
        <v>Sunday</v>
      </c>
      <c r="H173">
        <f t="shared" si="5"/>
        <v>0.91588785046728971</v>
      </c>
    </row>
    <row r="174" spans="1:8" x14ac:dyDescent="0.25">
      <c r="A174">
        <v>4445114986</v>
      </c>
      <c r="B174" s="8">
        <v>42479</v>
      </c>
      <c r="C174">
        <v>2</v>
      </c>
      <c r="D174">
        <v>388</v>
      </c>
      <c r="E174">
        <v>424</v>
      </c>
      <c r="F174">
        <v>6.4666666666666668</v>
      </c>
      <c r="G174" t="str">
        <f t="shared" si="4"/>
        <v>Tuesday</v>
      </c>
      <c r="H174">
        <f t="shared" si="5"/>
        <v>0.91509433962264153</v>
      </c>
    </row>
    <row r="175" spans="1:8" x14ac:dyDescent="0.25">
      <c r="A175">
        <v>4445114986</v>
      </c>
      <c r="B175" s="8">
        <v>42480</v>
      </c>
      <c r="C175">
        <v>1</v>
      </c>
      <c r="D175">
        <v>439</v>
      </c>
      <c r="E175">
        <v>462</v>
      </c>
      <c r="F175">
        <v>7.3166666666666664</v>
      </c>
      <c r="G175" t="str">
        <f t="shared" si="4"/>
        <v>Wednesday</v>
      </c>
      <c r="H175">
        <f t="shared" si="5"/>
        <v>0.95021645021645018</v>
      </c>
    </row>
    <row r="176" spans="1:8" x14ac:dyDescent="0.25">
      <c r="A176">
        <v>4445114986</v>
      </c>
      <c r="B176" s="8">
        <v>42481</v>
      </c>
      <c r="C176">
        <v>1</v>
      </c>
      <c r="D176">
        <v>436</v>
      </c>
      <c r="E176">
        <v>469</v>
      </c>
      <c r="F176">
        <v>7.2666666666666666</v>
      </c>
      <c r="G176" t="str">
        <f t="shared" si="4"/>
        <v>Thursday</v>
      </c>
      <c r="H176">
        <f t="shared" si="5"/>
        <v>0.92963752665245203</v>
      </c>
    </row>
    <row r="177" spans="1:8" x14ac:dyDescent="0.25">
      <c r="A177">
        <v>4445114986</v>
      </c>
      <c r="B177" s="8">
        <v>42482</v>
      </c>
      <c r="C177">
        <v>1</v>
      </c>
      <c r="D177">
        <v>388</v>
      </c>
      <c r="E177">
        <v>417</v>
      </c>
      <c r="F177">
        <v>6.4666666666666668</v>
      </c>
      <c r="G177" t="str">
        <f t="shared" si="4"/>
        <v>Friday</v>
      </c>
      <c r="H177">
        <f t="shared" si="5"/>
        <v>0.9304556354916067</v>
      </c>
    </row>
    <row r="178" spans="1:8" x14ac:dyDescent="0.25">
      <c r="A178">
        <v>4445114986</v>
      </c>
      <c r="B178" s="8">
        <v>42485</v>
      </c>
      <c r="C178">
        <v>1</v>
      </c>
      <c r="D178">
        <v>328</v>
      </c>
      <c r="E178">
        <v>345</v>
      </c>
      <c r="F178">
        <v>5.4666666666666668</v>
      </c>
      <c r="G178" t="str">
        <f t="shared" si="4"/>
        <v>Monday</v>
      </c>
      <c r="H178">
        <f t="shared" si="5"/>
        <v>0.95072463768115945</v>
      </c>
    </row>
    <row r="179" spans="1:8" x14ac:dyDescent="0.25">
      <c r="A179">
        <v>4445114986</v>
      </c>
      <c r="B179" s="8">
        <v>42486</v>
      </c>
      <c r="C179">
        <v>2</v>
      </c>
      <c r="D179">
        <v>353</v>
      </c>
      <c r="E179">
        <v>391</v>
      </c>
      <c r="F179">
        <v>5.8833333333333337</v>
      </c>
      <c r="G179" t="str">
        <f t="shared" si="4"/>
        <v>Tuesday</v>
      </c>
      <c r="H179">
        <f t="shared" si="5"/>
        <v>0.90281329923273657</v>
      </c>
    </row>
    <row r="180" spans="1:8" x14ac:dyDescent="0.25">
      <c r="A180">
        <v>4445114986</v>
      </c>
      <c r="B180" s="8">
        <v>42487</v>
      </c>
      <c r="C180">
        <v>1</v>
      </c>
      <c r="D180">
        <v>332</v>
      </c>
      <c r="E180">
        <v>374</v>
      </c>
      <c r="F180">
        <v>5.5333333333333332</v>
      </c>
      <c r="G180" t="str">
        <f t="shared" si="4"/>
        <v>Wednesday</v>
      </c>
      <c r="H180">
        <f t="shared" si="5"/>
        <v>0.88770053475935828</v>
      </c>
    </row>
    <row r="181" spans="1:8" x14ac:dyDescent="0.25">
      <c r="A181">
        <v>4445114986</v>
      </c>
      <c r="B181" s="8">
        <v>42488</v>
      </c>
      <c r="C181">
        <v>1</v>
      </c>
      <c r="D181">
        <v>419</v>
      </c>
      <c r="E181">
        <v>442</v>
      </c>
      <c r="F181">
        <v>6.9833333333333334</v>
      </c>
      <c r="G181" t="str">
        <f t="shared" si="4"/>
        <v>Thursday</v>
      </c>
      <c r="H181">
        <f t="shared" si="5"/>
        <v>0.94796380090497734</v>
      </c>
    </row>
    <row r="182" spans="1:8" x14ac:dyDescent="0.25">
      <c r="A182">
        <v>4445114986</v>
      </c>
      <c r="B182" s="8">
        <v>42489</v>
      </c>
      <c r="C182">
        <v>1</v>
      </c>
      <c r="D182">
        <v>106</v>
      </c>
      <c r="E182">
        <v>108</v>
      </c>
      <c r="F182">
        <v>1.7666666666666666</v>
      </c>
      <c r="G182" t="str">
        <f t="shared" si="4"/>
        <v>Friday</v>
      </c>
      <c r="H182">
        <f t="shared" si="5"/>
        <v>0.98148148148148151</v>
      </c>
    </row>
    <row r="183" spans="1:8" x14ac:dyDescent="0.25">
      <c r="A183">
        <v>4445114986</v>
      </c>
      <c r="B183" s="8">
        <v>42490</v>
      </c>
      <c r="C183">
        <v>1</v>
      </c>
      <c r="D183">
        <v>322</v>
      </c>
      <c r="E183">
        <v>353</v>
      </c>
      <c r="F183">
        <v>5.3666666666666663</v>
      </c>
      <c r="G183" t="str">
        <f t="shared" si="4"/>
        <v>Saturday</v>
      </c>
      <c r="H183">
        <f t="shared" si="5"/>
        <v>0.91218130311614731</v>
      </c>
    </row>
    <row r="184" spans="1:8" x14ac:dyDescent="0.25">
      <c r="A184">
        <v>4445114986</v>
      </c>
      <c r="B184" s="8">
        <v>42491</v>
      </c>
      <c r="C184">
        <v>2</v>
      </c>
      <c r="D184">
        <v>439</v>
      </c>
      <c r="E184">
        <v>459</v>
      </c>
      <c r="F184">
        <v>7.3166666666666664</v>
      </c>
      <c r="G184" t="str">
        <f t="shared" si="4"/>
        <v>Sunday</v>
      </c>
      <c r="H184">
        <f t="shared" si="5"/>
        <v>0.95642701525054463</v>
      </c>
    </row>
    <row r="185" spans="1:8" x14ac:dyDescent="0.25">
      <c r="A185">
        <v>4445114986</v>
      </c>
      <c r="B185" s="8">
        <v>42492</v>
      </c>
      <c r="C185">
        <v>1</v>
      </c>
      <c r="D185">
        <v>502</v>
      </c>
      <c r="E185">
        <v>542</v>
      </c>
      <c r="F185">
        <v>8.3666666666666671</v>
      </c>
      <c r="G185" t="str">
        <f t="shared" si="4"/>
        <v>Monday</v>
      </c>
      <c r="H185">
        <f t="shared" si="5"/>
        <v>0.92619926199261993</v>
      </c>
    </row>
    <row r="186" spans="1:8" x14ac:dyDescent="0.25">
      <c r="A186">
        <v>4445114986</v>
      </c>
      <c r="B186" s="8">
        <v>42493</v>
      </c>
      <c r="C186">
        <v>2</v>
      </c>
      <c r="D186">
        <v>417</v>
      </c>
      <c r="E186">
        <v>450</v>
      </c>
      <c r="F186">
        <v>6.95</v>
      </c>
      <c r="G186" t="str">
        <f t="shared" si="4"/>
        <v>Tuesday</v>
      </c>
      <c r="H186">
        <f t="shared" si="5"/>
        <v>0.92666666666666664</v>
      </c>
    </row>
    <row r="187" spans="1:8" x14ac:dyDescent="0.25">
      <c r="A187">
        <v>4445114986</v>
      </c>
      <c r="B187" s="8">
        <v>42494</v>
      </c>
      <c r="C187">
        <v>2</v>
      </c>
      <c r="D187">
        <v>337</v>
      </c>
      <c r="E187">
        <v>363</v>
      </c>
      <c r="F187">
        <v>5.6166666666666663</v>
      </c>
      <c r="G187" t="str">
        <f t="shared" si="4"/>
        <v>Wednesday</v>
      </c>
      <c r="H187">
        <f t="shared" si="5"/>
        <v>0.92837465564738297</v>
      </c>
    </row>
    <row r="188" spans="1:8" x14ac:dyDescent="0.25">
      <c r="A188">
        <v>4445114986</v>
      </c>
      <c r="B188" s="8">
        <v>42495</v>
      </c>
      <c r="C188">
        <v>2</v>
      </c>
      <c r="D188">
        <v>462</v>
      </c>
      <c r="E188">
        <v>513</v>
      </c>
      <c r="F188">
        <v>7.7</v>
      </c>
      <c r="G188" t="str">
        <f t="shared" si="4"/>
        <v>Thursday</v>
      </c>
      <c r="H188">
        <f t="shared" si="5"/>
        <v>0.90058479532163738</v>
      </c>
    </row>
    <row r="189" spans="1:8" x14ac:dyDescent="0.25">
      <c r="A189">
        <v>4445114986</v>
      </c>
      <c r="B189" s="8">
        <v>42496</v>
      </c>
      <c r="C189">
        <v>2</v>
      </c>
      <c r="D189">
        <v>374</v>
      </c>
      <c r="E189">
        <v>402</v>
      </c>
      <c r="F189">
        <v>6.2333333333333334</v>
      </c>
      <c r="G189" t="str">
        <f t="shared" si="4"/>
        <v>Friday</v>
      </c>
      <c r="H189">
        <f t="shared" si="5"/>
        <v>0.93034825870646765</v>
      </c>
    </row>
    <row r="190" spans="1:8" x14ac:dyDescent="0.25">
      <c r="A190">
        <v>4445114986</v>
      </c>
      <c r="B190" s="8">
        <v>42497</v>
      </c>
      <c r="C190">
        <v>2</v>
      </c>
      <c r="D190">
        <v>401</v>
      </c>
      <c r="E190">
        <v>436</v>
      </c>
      <c r="F190">
        <v>6.6833333333333336</v>
      </c>
      <c r="G190" t="str">
        <f t="shared" si="4"/>
        <v>Saturday</v>
      </c>
      <c r="H190">
        <f t="shared" si="5"/>
        <v>0.91972477064220182</v>
      </c>
    </row>
    <row r="191" spans="1:8" x14ac:dyDescent="0.25">
      <c r="A191">
        <v>4445114986</v>
      </c>
      <c r="B191" s="8">
        <v>42498</v>
      </c>
      <c r="C191">
        <v>1</v>
      </c>
      <c r="D191">
        <v>361</v>
      </c>
      <c r="E191">
        <v>391</v>
      </c>
      <c r="F191">
        <v>6.0166666666666666</v>
      </c>
      <c r="G191" t="str">
        <f t="shared" si="4"/>
        <v>Sunday</v>
      </c>
      <c r="H191">
        <f t="shared" si="5"/>
        <v>0.92327365728900257</v>
      </c>
    </row>
    <row r="192" spans="1:8" x14ac:dyDescent="0.25">
      <c r="A192">
        <v>4445114986</v>
      </c>
      <c r="B192" s="8">
        <v>42499</v>
      </c>
      <c r="C192">
        <v>1</v>
      </c>
      <c r="D192">
        <v>457</v>
      </c>
      <c r="E192">
        <v>533</v>
      </c>
      <c r="F192">
        <v>7.6166666666666663</v>
      </c>
      <c r="G192" t="str">
        <f t="shared" si="4"/>
        <v>Monday</v>
      </c>
      <c r="H192">
        <f t="shared" si="5"/>
        <v>0.85741088180112568</v>
      </c>
    </row>
    <row r="193" spans="1:8" x14ac:dyDescent="0.25">
      <c r="A193">
        <v>4445114986</v>
      </c>
      <c r="B193" s="8">
        <v>42500</v>
      </c>
      <c r="C193">
        <v>1</v>
      </c>
      <c r="D193">
        <v>405</v>
      </c>
      <c r="E193">
        <v>426</v>
      </c>
      <c r="F193">
        <v>6.75</v>
      </c>
      <c r="G193" t="str">
        <f t="shared" si="4"/>
        <v>Tuesday</v>
      </c>
      <c r="H193">
        <f t="shared" si="5"/>
        <v>0.95070422535211263</v>
      </c>
    </row>
    <row r="194" spans="1:8" x14ac:dyDescent="0.25">
      <c r="A194">
        <v>4445114986</v>
      </c>
      <c r="B194" s="8">
        <v>42501</v>
      </c>
      <c r="C194">
        <v>1</v>
      </c>
      <c r="D194">
        <v>499</v>
      </c>
      <c r="E194">
        <v>530</v>
      </c>
      <c r="F194">
        <v>8.3166666666666664</v>
      </c>
      <c r="G194" t="str">
        <f t="shared" ref="G194:G257" si="6">TEXT(B194,"dddd")</f>
        <v>Wednesday</v>
      </c>
      <c r="H194">
        <f t="shared" ref="H194:H257" si="7">D194/E194</f>
        <v>0.94150943396226416</v>
      </c>
    </row>
    <row r="195" spans="1:8" x14ac:dyDescent="0.25">
      <c r="A195">
        <v>4445114986</v>
      </c>
      <c r="B195" s="8">
        <v>42502</v>
      </c>
      <c r="C195">
        <v>1</v>
      </c>
      <c r="D195">
        <v>483</v>
      </c>
      <c r="E195">
        <v>501</v>
      </c>
      <c r="F195">
        <v>8.0500000000000007</v>
      </c>
      <c r="G195" t="str">
        <f t="shared" si="6"/>
        <v>Thursday</v>
      </c>
      <c r="H195">
        <f t="shared" si="7"/>
        <v>0.9640718562874252</v>
      </c>
    </row>
    <row r="196" spans="1:8" x14ac:dyDescent="0.25">
      <c r="A196">
        <v>4558609924</v>
      </c>
      <c r="B196" s="8">
        <v>42481</v>
      </c>
      <c r="C196">
        <v>1</v>
      </c>
      <c r="D196">
        <v>126</v>
      </c>
      <c r="E196">
        <v>137</v>
      </c>
      <c r="F196">
        <v>2.1</v>
      </c>
      <c r="G196" t="str">
        <f t="shared" si="6"/>
        <v>Thursday</v>
      </c>
      <c r="H196">
        <f t="shared" si="7"/>
        <v>0.91970802919708028</v>
      </c>
    </row>
    <row r="197" spans="1:8" x14ac:dyDescent="0.25">
      <c r="A197">
        <v>4558609924</v>
      </c>
      <c r="B197" s="8">
        <v>42486</v>
      </c>
      <c r="C197">
        <v>1</v>
      </c>
      <c r="D197">
        <v>103</v>
      </c>
      <c r="E197">
        <v>121</v>
      </c>
      <c r="F197">
        <v>1.7166666666666666</v>
      </c>
      <c r="G197" t="str">
        <f t="shared" si="6"/>
        <v>Tuesday</v>
      </c>
      <c r="H197">
        <f t="shared" si="7"/>
        <v>0.85123966942148765</v>
      </c>
    </row>
    <row r="198" spans="1:8" x14ac:dyDescent="0.25">
      <c r="A198">
        <v>4558609924</v>
      </c>
      <c r="B198" s="8">
        <v>42489</v>
      </c>
      <c r="C198">
        <v>1</v>
      </c>
      <c r="D198">
        <v>171</v>
      </c>
      <c r="E198">
        <v>179</v>
      </c>
      <c r="F198">
        <v>2.85</v>
      </c>
      <c r="G198" t="str">
        <f t="shared" si="6"/>
        <v>Friday</v>
      </c>
      <c r="H198">
        <f t="shared" si="7"/>
        <v>0.95530726256983245</v>
      </c>
    </row>
    <row r="199" spans="1:8" x14ac:dyDescent="0.25">
      <c r="A199">
        <v>4558609924</v>
      </c>
      <c r="B199" s="8">
        <v>42491</v>
      </c>
      <c r="C199">
        <v>1</v>
      </c>
      <c r="D199">
        <v>115</v>
      </c>
      <c r="E199">
        <v>129</v>
      </c>
      <c r="F199">
        <v>1.9166666666666667</v>
      </c>
      <c r="G199" t="str">
        <f t="shared" si="6"/>
        <v>Sunday</v>
      </c>
      <c r="H199">
        <f t="shared" si="7"/>
        <v>0.89147286821705429</v>
      </c>
    </row>
    <row r="200" spans="1:8" x14ac:dyDescent="0.25">
      <c r="A200">
        <v>4558609924</v>
      </c>
      <c r="B200" s="8">
        <v>42498</v>
      </c>
      <c r="C200">
        <v>1</v>
      </c>
      <c r="D200">
        <v>123</v>
      </c>
      <c r="E200">
        <v>134</v>
      </c>
      <c r="F200">
        <v>2.0499999999999998</v>
      </c>
      <c r="G200" t="str">
        <f t="shared" si="6"/>
        <v>Sunday</v>
      </c>
      <c r="H200">
        <f t="shared" si="7"/>
        <v>0.91791044776119401</v>
      </c>
    </row>
    <row r="201" spans="1:8" x14ac:dyDescent="0.25">
      <c r="A201">
        <v>4702921684</v>
      </c>
      <c r="B201" s="8">
        <v>42472</v>
      </c>
      <c r="C201">
        <v>1</v>
      </c>
      <c r="D201">
        <v>425</v>
      </c>
      <c r="E201">
        <v>439</v>
      </c>
      <c r="F201">
        <v>7.083333333333333</v>
      </c>
      <c r="G201" t="str">
        <f t="shared" si="6"/>
        <v>Tuesday</v>
      </c>
      <c r="H201">
        <f t="shared" si="7"/>
        <v>0.96810933940774491</v>
      </c>
    </row>
    <row r="202" spans="1:8" x14ac:dyDescent="0.25">
      <c r="A202">
        <v>4702921684</v>
      </c>
      <c r="B202" s="8">
        <v>42473</v>
      </c>
      <c r="C202">
        <v>2</v>
      </c>
      <c r="D202">
        <v>400</v>
      </c>
      <c r="E202">
        <v>430</v>
      </c>
      <c r="F202">
        <v>6.666666666666667</v>
      </c>
      <c r="G202" t="str">
        <f t="shared" si="6"/>
        <v>Wednesday</v>
      </c>
      <c r="H202">
        <f t="shared" si="7"/>
        <v>0.93023255813953487</v>
      </c>
    </row>
    <row r="203" spans="1:8" x14ac:dyDescent="0.25">
      <c r="A203">
        <v>4702921684</v>
      </c>
      <c r="B203" s="8">
        <v>42474</v>
      </c>
      <c r="C203">
        <v>1</v>
      </c>
      <c r="D203">
        <v>384</v>
      </c>
      <c r="E203">
        <v>415</v>
      </c>
      <c r="F203">
        <v>6.4</v>
      </c>
      <c r="G203" t="str">
        <f t="shared" si="6"/>
        <v>Thursday</v>
      </c>
      <c r="H203">
        <f t="shared" si="7"/>
        <v>0.92530120481927713</v>
      </c>
    </row>
    <row r="204" spans="1:8" x14ac:dyDescent="0.25">
      <c r="A204">
        <v>4702921684</v>
      </c>
      <c r="B204" s="8">
        <v>42475</v>
      </c>
      <c r="C204">
        <v>1</v>
      </c>
      <c r="D204">
        <v>253</v>
      </c>
      <c r="E204">
        <v>257</v>
      </c>
      <c r="F204">
        <v>4.2166666666666668</v>
      </c>
      <c r="G204" t="str">
        <f t="shared" si="6"/>
        <v>Friday</v>
      </c>
      <c r="H204">
        <f t="shared" si="7"/>
        <v>0.98443579766536971</v>
      </c>
    </row>
    <row r="205" spans="1:8" x14ac:dyDescent="0.25">
      <c r="A205">
        <v>4702921684</v>
      </c>
      <c r="B205" s="8">
        <v>42476</v>
      </c>
      <c r="C205">
        <v>2</v>
      </c>
      <c r="D205">
        <v>382</v>
      </c>
      <c r="E205">
        <v>406</v>
      </c>
      <c r="F205">
        <v>6.3666666666666663</v>
      </c>
      <c r="G205" t="str">
        <f t="shared" si="6"/>
        <v>Saturday</v>
      </c>
      <c r="H205">
        <f t="shared" si="7"/>
        <v>0.94088669950738912</v>
      </c>
    </row>
    <row r="206" spans="1:8" x14ac:dyDescent="0.25">
      <c r="A206">
        <v>4702921684</v>
      </c>
      <c r="B206" s="8">
        <v>42477</v>
      </c>
      <c r="C206">
        <v>1</v>
      </c>
      <c r="D206">
        <v>591</v>
      </c>
      <c r="E206">
        <v>612</v>
      </c>
      <c r="F206">
        <v>9.85</v>
      </c>
      <c r="G206" t="str">
        <f t="shared" si="6"/>
        <v>Sunday</v>
      </c>
      <c r="H206">
        <f t="shared" si="7"/>
        <v>0.96568627450980393</v>
      </c>
    </row>
    <row r="207" spans="1:8" x14ac:dyDescent="0.25">
      <c r="A207">
        <v>4702921684</v>
      </c>
      <c r="B207" s="8">
        <v>42478</v>
      </c>
      <c r="C207">
        <v>1</v>
      </c>
      <c r="D207">
        <v>293</v>
      </c>
      <c r="E207">
        <v>312</v>
      </c>
      <c r="F207">
        <v>4.8833333333333337</v>
      </c>
      <c r="G207" t="str">
        <f t="shared" si="6"/>
        <v>Monday</v>
      </c>
      <c r="H207">
        <f t="shared" si="7"/>
        <v>0.9391025641025641</v>
      </c>
    </row>
    <row r="208" spans="1:8" x14ac:dyDescent="0.25">
      <c r="A208">
        <v>4702921684</v>
      </c>
      <c r="B208" s="8">
        <v>42479</v>
      </c>
      <c r="C208">
        <v>1</v>
      </c>
      <c r="D208">
        <v>457</v>
      </c>
      <c r="E208">
        <v>487</v>
      </c>
      <c r="F208">
        <v>7.6166666666666663</v>
      </c>
      <c r="G208" t="str">
        <f t="shared" si="6"/>
        <v>Tuesday</v>
      </c>
      <c r="H208">
        <f t="shared" si="7"/>
        <v>0.9383983572895277</v>
      </c>
    </row>
    <row r="209" spans="1:8" x14ac:dyDescent="0.25">
      <c r="A209">
        <v>4702921684</v>
      </c>
      <c r="B209" s="8">
        <v>42480</v>
      </c>
      <c r="C209">
        <v>1</v>
      </c>
      <c r="D209">
        <v>454</v>
      </c>
      <c r="E209">
        <v>468</v>
      </c>
      <c r="F209">
        <v>7.5666666666666664</v>
      </c>
      <c r="G209" t="str">
        <f t="shared" si="6"/>
        <v>Wednesday</v>
      </c>
      <c r="H209">
        <f t="shared" si="7"/>
        <v>0.97008547008547008</v>
      </c>
    </row>
    <row r="210" spans="1:8" x14ac:dyDescent="0.25">
      <c r="A210">
        <v>4702921684</v>
      </c>
      <c r="B210" s="8">
        <v>42481</v>
      </c>
      <c r="C210">
        <v>1</v>
      </c>
      <c r="D210">
        <v>425</v>
      </c>
      <c r="E210">
        <v>434</v>
      </c>
      <c r="F210">
        <v>7.083333333333333</v>
      </c>
      <c r="G210" t="str">
        <f t="shared" si="6"/>
        <v>Thursday</v>
      </c>
      <c r="H210">
        <f t="shared" si="7"/>
        <v>0.97926267281105994</v>
      </c>
    </row>
    <row r="211" spans="1:8" x14ac:dyDescent="0.25">
      <c r="A211">
        <v>4702921684</v>
      </c>
      <c r="B211" s="8">
        <v>42483</v>
      </c>
      <c r="C211">
        <v>1</v>
      </c>
      <c r="D211">
        <v>465</v>
      </c>
      <c r="E211">
        <v>475</v>
      </c>
      <c r="F211">
        <v>7.75</v>
      </c>
      <c r="G211" t="str">
        <f t="shared" si="6"/>
        <v>Saturday</v>
      </c>
      <c r="H211">
        <f t="shared" si="7"/>
        <v>0.97894736842105268</v>
      </c>
    </row>
    <row r="212" spans="1:8" x14ac:dyDescent="0.25">
      <c r="A212">
        <v>4702921684</v>
      </c>
      <c r="B212" s="8">
        <v>42484</v>
      </c>
      <c r="C212">
        <v>1</v>
      </c>
      <c r="D212">
        <v>480</v>
      </c>
      <c r="E212">
        <v>506</v>
      </c>
      <c r="F212">
        <v>8</v>
      </c>
      <c r="G212" t="str">
        <f t="shared" si="6"/>
        <v>Sunday</v>
      </c>
      <c r="H212">
        <f t="shared" si="7"/>
        <v>0.9486166007905138</v>
      </c>
    </row>
    <row r="213" spans="1:8" x14ac:dyDescent="0.25">
      <c r="A213">
        <v>4702921684</v>
      </c>
      <c r="B213" s="8">
        <v>42485</v>
      </c>
      <c r="C213">
        <v>1</v>
      </c>
      <c r="D213">
        <v>370</v>
      </c>
      <c r="E213">
        <v>380</v>
      </c>
      <c r="F213">
        <v>6.166666666666667</v>
      </c>
      <c r="G213" t="str">
        <f t="shared" si="6"/>
        <v>Monday</v>
      </c>
      <c r="H213">
        <f t="shared" si="7"/>
        <v>0.97368421052631582</v>
      </c>
    </row>
    <row r="214" spans="1:8" x14ac:dyDescent="0.25">
      <c r="A214">
        <v>4702921684</v>
      </c>
      <c r="B214" s="8">
        <v>42486</v>
      </c>
      <c r="C214">
        <v>1</v>
      </c>
      <c r="D214">
        <v>421</v>
      </c>
      <c r="E214">
        <v>429</v>
      </c>
      <c r="F214">
        <v>7.0166666666666666</v>
      </c>
      <c r="G214" t="str">
        <f t="shared" si="6"/>
        <v>Tuesday</v>
      </c>
      <c r="H214">
        <f t="shared" si="7"/>
        <v>0.98135198135198132</v>
      </c>
    </row>
    <row r="215" spans="1:8" x14ac:dyDescent="0.25">
      <c r="A215">
        <v>4702921684</v>
      </c>
      <c r="B215" s="8">
        <v>42487</v>
      </c>
      <c r="C215">
        <v>1</v>
      </c>
      <c r="D215">
        <v>432</v>
      </c>
      <c r="E215">
        <v>449</v>
      </c>
      <c r="F215">
        <v>7.2</v>
      </c>
      <c r="G215" t="str">
        <f t="shared" si="6"/>
        <v>Wednesday</v>
      </c>
      <c r="H215">
        <f t="shared" si="7"/>
        <v>0.96213808463251671</v>
      </c>
    </row>
    <row r="216" spans="1:8" x14ac:dyDescent="0.25">
      <c r="A216">
        <v>4702921684</v>
      </c>
      <c r="B216" s="8">
        <v>42488</v>
      </c>
      <c r="C216">
        <v>1</v>
      </c>
      <c r="D216">
        <v>442</v>
      </c>
      <c r="E216">
        <v>461</v>
      </c>
      <c r="F216">
        <v>7.3666666666666663</v>
      </c>
      <c r="G216" t="str">
        <f t="shared" si="6"/>
        <v>Thursday</v>
      </c>
      <c r="H216">
        <f t="shared" si="7"/>
        <v>0.95878524945770061</v>
      </c>
    </row>
    <row r="217" spans="1:8" x14ac:dyDescent="0.25">
      <c r="A217">
        <v>4702921684</v>
      </c>
      <c r="B217" s="8">
        <v>42489</v>
      </c>
      <c r="C217">
        <v>1</v>
      </c>
      <c r="D217">
        <v>433</v>
      </c>
      <c r="E217">
        <v>447</v>
      </c>
      <c r="F217">
        <v>7.2166666666666668</v>
      </c>
      <c r="G217" t="str">
        <f t="shared" si="6"/>
        <v>Friday</v>
      </c>
      <c r="H217">
        <f t="shared" si="7"/>
        <v>0.96868008948545858</v>
      </c>
    </row>
    <row r="218" spans="1:8" x14ac:dyDescent="0.25">
      <c r="A218">
        <v>4702921684</v>
      </c>
      <c r="B218" s="8">
        <v>42490</v>
      </c>
      <c r="C218">
        <v>1</v>
      </c>
      <c r="D218">
        <v>479</v>
      </c>
      <c r="E218">
        <v>501</v>
      </c>
      <c r="F218">
        <v>7.9833333333333334</v>
      </c>
      <c r="G218" t="str">
        <f t="shared" si="6"/>
        <v>Saturday</v>
      </c>
      <c r="H218">
        <f t="shared" si="7"/>
        <v>0.95608782435129736</v>
      </c>
    </row>
    <row r="219" spans="1:8" x14ac:dyDescent="0.25">
      <c r="A219">
        <v>4702921684</v>
      </c>
      <c r="B219" s="8">
        <v>42493</v>
      </c>
      <c r="C219">
        <v>1</v>
      </c>
      <c r="D219">
        <v>327</v>
      </c>
      <c r="E219">
        <v>373</v>
      </c>
      <c r="F219">
        <v>5.45</v>
      </c>
      <c r="G219" t="str">
        <f t="shared" si="6"/>
        <v>Tuesday</v>
      </c>
      <c r="H219">
        <f t="shared" si="7"/>
        <v>0.87667560321715821</v>
      </c>
    </row>
    <row r="220" spans="1:8" x14ac:dyDescent="0.25">
      <c r="A220">
        <v>4702921684</v>
      </c>
      <c r="B220" s="8">
        <v>42494</v>
      </c>
      <c r="C220">
        <v>1</v>
      </c>
      <c r="D220">
        <v>412</v>
      </c>
      <c r="E220">
        <v>434</v>
      </c>
      <c r="F220">
        <v>6.8666666666666663</v>
      </c>
      <c r="G220" t="str">
        <f t="shared" si="6"/>
        <v>Wednesday</v>
      </c>
      <c r="H220">
        <f t="shared" si="7"/>
        <v>0.94930875576036866</v>
      </c>
    </row>
    <row r="221" spans="1:8" x14ac:dyDescent="0.25">
      <c r="A221">
        <v>4702921684</v>
      </c>
      <c r="B221" s="8">
        <v>42495</v>
      </c>
      <c r="C221">
        <v>1</v>
      </c>
      <c r="D221">
        <v>414</v>
      </c>
      <c r="E221">
        <v>428</v>
      </c>
      <c r="F221">
        <v>6.9</v>
      </c>
      <c r="G221" t="str">
        <f t="shared" si="6"/>
        <v>Thursday</v>
      </c>
      <c r="H221">
        <f t="shared" si="7"/>
        <v>0.96728971962616828</v>
      </c>
    </row>
    <row r="222" spans="1:8" x14ac:dyDescent="0.25">
      <c r="A222">
        <v>4702921684</v>
      </c>
      <c r="B222" s="8">
        <v>42496</v>
      </c>
      <c r="C222">
        <v>1</v>
      </c>
      <c r="D222">
        <v>404</v>
      </c>
      <c r="E222">
        <v>449</v>
      </c>
      <c r="F222">
        <v>6.7333333333333334</v>
      </c>
      <c r="G222" t="str">
        <f t="shared" si="6"/>
        <v>Friday</v>
      </c>
      <c r="H222">
        <f t="shared" si="7"/>
        <v>0.89977728285077951</v>
      </c>
    </row>
    <row r="223" spans="1:8" x14ac:dyDescent="0.25">
      <c r="A223">
        <v>4702921684</v>
      </c>
      <c r="B223" s="8">
        <v>42497</v>
      </c>
      <c r="C223">
        <v>1</v>
      </c>
      <c r="D223">
        <v>520</v>
      </c>
      <c r="E223">
        <v>543</v>
      </c>
      <c r="F223">
        <v>8.6666666666666661</v>
      </c>
      <c r="G223" t="str">
        <f t="shared" si="6"/>
        <v>Saturday</v>
      </c>
      <c r="H223">
        <f t="shared" si="7"/>
        <v>0.9576427255985267</v>
      </c>
    </row>
    <row r="224" spans="1:8" x14ac:dyDescent="0.25">
      <c r="A224">
        <v>4702921684</v>
      </c>
      <c r="B224" s="8">
        <v>42499</v>
      </c>
      <c r="C224">
        <v>1</v>
      </c>
      <c r="D224">
        <v>435</v>
      </c>
      <c r="E224">
        <v>458</v>
      </c>
      <c r="F224">
        <v>7.25</v>
      </c>
      <c r="G224" t="str">
        <f t="shared" si="6"/>
        <v>Monday</v>
      </c>
      <c r="H224">
        <f t="shared" si="7"/>
        <v>0.94978165938864634</v>
      </c>
    </row>
    <row r="225" spans="1:8" x14ac:dyDescent="0.25">
      <c r="A225">
        <v>4702921684</v>
      </c>
      <c r="B225" s="8">
        <v>42500</v>
      </c>
      <c r="C225">
        <v>1</v>
      </c>
      <c r="D225">
        <v>416</v>
      </c>
      <c r="E225">
        <v>431</v>
      </c>
      <c r="F225">
        <v>6.9333333333333336</v>
      </c>
      <c r="G225" t="str">
        <f t="shared" si="6"/>
        <v>Tuesday</v>
      </c>
      <c r="H225">
        <f t="shared" si="7"/>
        <v>0.96519721577726214</v>
      </c>
    </row>
    <row r="226" spans="1:8" x14ac:dyDescent="0.25">
      <c r="A226">
        <v>4702921684</v>
      </c>
      <c r="B226" s="8">
        <v>42501</v>
      </c>
      <c r="C226">
        <v>1</v>
      </c>
      <c r="D226">
        <v>354</v>
      </c>
      <c r="E226">
        <v>366</v>
      </c>
      <c r="F226">
        <v>5.9</v>
      </c>
      <c r="G226" t="str">
        <f t="shared" si="6"/>
        <v>Wednesday</v>
      </c>
      <c r="H226">
        <f t="shared" si="7"/>
        <v>0.96721311475409832</v>
      </c>
    </row>
    <row r="227" spans="1:8" x14ac:dyDescent="0.25">
      <c r="A227">
        <v>4702921684</v>
      </c>
      <c r="B227" s="8">
        <v>42502</v>
      </c>
      <c r="C227">
        <v>1</v>
      </c>
      <c r="D227">
        <v>404</v>
      </c>
      <c r="E227">
        <v>442</v>
      </c>
      <c r="F227">
        <v>6.7333333333333334</v>
      </c>
      <c r="G227" t="str">
        <f t="shared" si="6"/>
        <v>Thursday</v>
      </c>
      <c r="H227">
        <f t="shared" si="7"/>
        <v>0.91402714932126694</v>
      </c>
    </row>
    <row r="228" spans="1:8" x14ac:dyDescent="0.25">
      <c r="A228">
        <v>5553957443</v>
      </c>
      <c r="B228" s="8">
        <v>42472</v>
      </c>
      <c r="C228">
        <v>1</v>
      </c>
      <c r="D228">
        <v>441</v>
      </c>
      <c r="E228">
        <v>464</v>
      </c>
      <c r="F228">
        <v>7.35</v>
      </c>
      <c r="G228" t="str">
        <f t="shared" si="6"/>
        <v>Tuesday</v>
      </c>
      <c r="H228">
        <f t="shared" si="7"/>
        <v>0.95043103448275867</v>
      </c>
    </row>
    <row r="229" spans="1:8" x14ac:dyDescent="0.25">
      <c r="A229">
        <v>5553957443</v>
      </c>
      <c r="B229" s="8">
        <v>42473</v>
      </c>
      <c r="C229">
        <v>2</v>
      </c>
      <c r="D229">
        <v>455</v>
      </c>
      <c r="E229">
        <v>488</v>
      </c>
      <c r="F229">
        <v>7.583333333333333</v>
      </c>
      <c r="G229" t="str">
        <f t="shared" si="6"/>
        <v>Wednesday</v>
      </c>
      <c r="H229">
        <f t="shared" si="7"/>
        <v>0.93237704918032782</v>
      </c>
    </row>
    <row r="230" spans="1:8" x14ac:dyDescent="0.25">
      <c r="A230">
        <v>5553957443</v>
      </c>
      <c r="B230" s="8">
        <v>42474</v>
      </c>
      <c r="C230">
        <v>1</v>
      </c>
      <c r="D230">
        <v>357</v>
      </c>
      <c r="E230">
        <v>418</v>
      </c>
      <c r="F230">
        <v>5.95</v>
      </c>
      <c r="G230" t="str">
        <f t="shared" si="6"/>
        <v>Thursday</v>
      </c>
      <c r="H230">
        <f t="shared" si="7"/>
        <v>0.85406698564593297</v>
      </c>
    </row>
    <row r="231" spans="1:8" x14ac:dyDescent="0.25">
      <c r="A231">
        <v>5553957443</v>
      </c>
      <c r="B231" s="8">
        <v>42475</v>
      </c>
      <c r="C231">
        <v>1</v>
      </c>
      <c r="D231">
        <v>377</v>
      </c>
      <c r="E231">
        <v>409</v>
      </c>
      <c r="F231">
        <v>6.2833333333333332</v>
      </c>
      <c r="G231" t="str">
        <f t="shared" si="6"/>
        <v>Friday</v>
      </c>
      <c r="H231">
        <f t="shared" si="7"/>
        <v>0.92176039119804398</v>
      </c>
    </row>
    <row r="232" spans="1:8" x14ac:dyDescent="0.25">
      <c r="A232">
        <v>5553957443</v>
      </c>
      <c r="B232" s="8">
        <v>42476</v>
      </c>
      <c r="C232">
        <v>2</v>
      </c>
      <c r="D232">
        <v>651</v>
      </c>
      <c r="E232">
        <v>686</v>
      </c>
      <c r="F232">
        <v>10.85</v>
      </c>
      <c r="G232" t="str">
        <f t="shared" si="6"/>
        <v>Saturday</v>
      </c>
      <c r="H232">
        <f t="shared" si="7"/>
        <v>0.94897959183673475</v>
      </c>
    </row>
    <row r="233" spans="1:8" x14ac:dyDescent="0.25">
      <c r="A233">
        <v>5553957443</v>
      </c>
      <c r="B233" s="8">
        <v>42477</v>
      </c>
      <c r="C233">
        <v>1</v>
      </c>
      <c r="D233">
        <v>350</v>
      </c>
      <c r="E233">
        <v>402</v>
      </c>
      <c r="F233">
        <v>5.833333333333333</v>
      </c>
      <c r="G233" t="str">
        <f t="shared" si="6"/>
        <v>Sunday</v>
      </c>
      <c r="H233">
        <f t="shared" si="7"/>
        <v>0.87064676616915426</v>
      </c>
    </row>
    <row r="234" spans="1:8" x14ac:dyDescent="0.25">
      <c r="A234">
        <v>5553957443</v>
      </c>
      <c r="B234" s="8">
        <v>42478</v>
      </c>
      <c r="C234">
        <v>2</v>
      </c>
      <c r="D234">
        <v>520</v>
      </c>
      <c r="E234">
        <v>541</v>
      </c>
      <c r="F234">
        <v>8.6666666666666661</v>
      </c>
      <c r="G234" t="str">
        <f t="shared" si="6"/>
        <v>Monday</v>
      </c>
      <c r="H234">
        <f t="shared" si="7"/>
        <v>0.96118299445471345</v>
      </c>
    </row>
    <row r="235" spans="1:8" x14ac:dyDescent="0.25">
      <c r="A235">
        <v>5553957443</v>
      </c>
      <c r="B235" s="8">
        <v>42479</v>
      </c>
      <c r="C235">
        <v>1</v>
      </c>
      <c r="D235">
        <v>357</v>
      </c>
      <c r="E235">
        <v>410</v>
      </c>
      <c r="F235">
        <v>5.95</v>
      </c>
      <c r="G235" t="str">
        <f t="shared" si="6"/>
        <v>Tuesday</v>
      </c>
      <c r="H235">
        <f t="shared" si="7"/>
        <v>0.87073170731707317</v>
      </c>
    </row>
    <row r="236" spans="1:8" x14ac:dyDescent="0.25">
      <c r="A236">
        <v>5553957443</v>
      </c>
      <c r="B236" s="8">
        <v>42480</v>
      </c>
      <c r="C236">
        <v>1</v>
      </c>
      <c r="D236">
        <v>658</v>
      </c>
      <c r="E236">
        <v>678</v>
      </c>
      <c r="F236">
        <v>10.966666666666667</v>
      </c>
      <c r="G236" t="str">
        <f t="shared" si="6"/>
        <v>Wednesday</v>
      </c>
      <c r="H236">
        <f t="shared" si="7"/>
        <v>0.97050147492625372</v>
      </c>
    </row>
    <row r="237" spans="1:8" x14ac:dyDescent="0.25">
      <c r="A237">
        <v>5553957443</v>
      </c>
      <c r="B237" s="8">
        <v>42481</v>
      </c>
      <c r="C237">
        <v>1</v>
      </c>
      <c r="D237">
        <v>399</v>
      </c>
      <c r="E237">
        <v>431</v>
      </c>
      <c r="F237">
        <v>6.65</v>
      </c>
      <c r="G237" t="str">
        <f t="shared" si="6"/>
        <v>Thursday</v>
      </c>
      <c r="H237">
        <f t="shared" si="7"/>
        <v>0.92575406032482599</v>
      </c>
    </row>
    <row r="238" spans="1:8" x14ac:dyDescent="0.25">
      <c r="A238">
        <v>5553957443</v>
      </c>
      <c r="B238" s="8">
        <v>42482</v>
      </c>
      <c r="C238">
        <v>1</v>
      </c>
      <c r="D238">
        <v>322</v>
      </c>
      <c r="E238">
        <v>353</v>
      </c>
      <c r="F238">
        <v>5.3666666666666663</v>
      </c>
      <c r="G238" t="str">
        <f t="shared" si="6"/>
        <v>Friday</v>
      </c>
      <c r="H238">
        <f t="shared" si="7"/>
        <v>0.91218130311614731</v>
      </c>
    </row>
    <row r="239" spans="1:8" x14ac:dyDescent="0.25">
      <c r="A239">
        <v>5553957443</v>
      </c>
      <c r="B239" s="8">
        <v>42483</v>
      </c>
      <c r="C239">
        <v>2</v>
      </c>
      <c r="D239">
        <v>631</v>
      </c>
      <c r="E239">
        <v>725</v>
      </c>
      <c r="F239">
        <v>10.516666666666667</v>
      </c>
      <c r="G239" t="str">
        <f t="shared" si="6"/>
        <v>Saturday</v>
      </c>
      <c r="H239">
        <f t="shared" si="7"/>
        <v>0.8703448275862069</v>
      </c>
    </row>
    <row r="240" spans="1:8" x14ac:dyDescent="0.25">
      <c r="A240">
        <v>5553957443</v>
      </c>
      <c r="B240" s="8">
        <v>42484</v>
      </c>
      <c r="C240">
        <v>2</v>
      </c>
      <c r="D240">
        <v>553</v>
      </c>
      <c r="E240">
        <v>640</v>
      </c>
      <c r="F240">
        <v>9.2166666666666668</v>
      </c>
      <c r="G240" t="str">
        <f t="shared" si="6"/>
        <v>Sunday</v>
      </c>
      <c r="H240">
        <f t="shared" si="7"/>
        <v>0.86406249999999996</v>
      </c>
    </row>
    <row r="241" spans="1:8" x14ac:dyDescent="0.25">
      <c r="A241">
        <v>5553957443</v>
      </c>
      <c r="B241" s="8">
        <v>42485</v>
      </c>
      <c r="C241">
        <v>1</v>
      </c>
      <c r="D241">
        <v>433</v>
      </c>
      <c r="E241">
        <v>468</v>
      </c>
      <c r="F241">
        <v>7.2166666666666668</v>
      </c>
      <c r="G241" t="str">
        <f t="shared" si="6"/>
        <v>Monday</v>
      </c>
      <c r="H241">
        <f t="shared" si="7"/>
        <v>0.92521367521367526</v>
      </c>
    </row>
    <row r="242" spans="1:8" x14ac:dyDescent="0.25">
      <c r="A242">
        <v>5553957443</v>
      </c>
      <c r="B242" s="8">
        <v>42486</v>
      </c>
      <c r="C242">
        <v>1</v>
      </c>
      <c r="D242">
        <v>412</v>
      </c>
      <c r="E242">
        <v>453</v>
      </c>
      <c r="F242">
        <v>6.8666666666666663</v>
      </c>
      <c r="G242" t="str">
        <f t="shared" si="6"/>
        <v>Tuesday</v>
      </c>
      <c r="H242">
        <f t="shared" si="7"/>
        <v>0.90949227373068431</v>
      </c>
    </row>
    <row r="243" spans="1:8" x14ac:dyDescent="0.25">
      <c r="A243">
        <v>5553957443</v>
      </c>
      <c r="B243" s="8">
        <v>42487</v>
      </c>
      <c r="C243">
        <v>1</v>
      </c>
      <c r="D243">
        <v>347</v>
      </c>
      <c r="E243">
        <v>391</v>
      </c>
      <c r="F243">
        <v>5.7833333333333332</v>
      </c>
      <c r="G243" t="str">
        <f t="shared" si="6"/>
        <v>Wednesday</v>
      </c>
      <c r="H243">
        <f t="shared" si="7"/>
        <v>0.88746803069053704</v>
      </c>
    </row>
    <row r="244" spans="1:8" x14ac:dyDescent="0.25">
      <c r="A244">
        <v>5553957443</v>
      </c>
      <c r="B244" s="8">
        <v>42488</v>
      </c>
      <c r="C244">
        <v>1</v>
      </c>
      <c r="D244">
        <v>421</v>
      </c>
      <c r="E244">
        <v>457</v>
      </c>
      <c r="F244">
        <v>7.0166666666666666</v>
      </c>
      <c r="G244" t="str">
        <f t="shared" si="6"/>
        <v>Thursday</v>
      </c>
      <c r="H244">
        <f t="shared" si="7"/>
        <v>0.92122538293216627</v>
      </c>
    </row>
    <row r="245" spans="1:8" x14ac:dyDescent="0.25">
      <c r="A245">
        <v>5553957443</v>
      </c>
      <c r="B245" s="8">
        <v>42489</v>
      </c>
      <c r="C245">
        <v>1</v>
      </c>
      <c r="D245">
        <v>450</v>
      </c>
      <c r="E245">
        <v>495</v>
      </c>
      <c r="F245">
        <v>7.5</v>
      </c>
      <c r="G245" t="str">
        <f t="shared" si="6"/>
        <v>Friday</v>
      </c>
      <c r="H245">
        <f t="shared" si="7"/>
        <v>0.90909090909090906</v>
      </c>
    </row>
    <row r="246" spans="1:8" x14ac:dyDescent="0.25">
      <c r="A246">
        <v>5553957443</v>
      </c>
      <c r="B246" s="8">
        <v>42490</v>
      </c>
      <c r="C246">
        <v>2</v>
      </c>
      <c r="D246">
        <v>775</v>
      </c>
      <c r="E246">
        <v>843</v>
      </c>
      <c r="F246">
        <v>12.916666666666666</v>
      </c>
      <c r="G246" t="str">
        <f t="shared" si="6"/>
        <v>Saturday</v>
      </c>
      <c r="H246">
        <f t="shared" si="7"/>
        <v>0.91933570581257418</v>
      </c>
    </row>
    <row r="247" spans="1:8" x14ac:dyDescent="0.25">
      <c r="A247">
        <v>5553957443</v>
      </c>
      <c r="B247" s="8">
        <v>42491</v>
      </c>
      <c r="C247">
        <v>2</v>
      </c>
      <c r="D247">
        <v>622</v>
      </c>
      <c r="E247">
        <v>686</v>
      </c>
      <c r="F247">
        <v>10.366666666666667</v>
      </c>
      <c r="G247" t="str">
        <f t="shared" si="6"/>
        <v>Sunday</v>
      </c>
      <c r="H247">
        <f t="shared" si="7"/>
        <v>0.90670553935860054</v>
      </c>
    </row>
    <row r="248" spans="1:8" x14ac:dyDescent="0.25">
      <c r="A248">
        <v>5553957443</v>
      </c>
      <c r="B248" s="8">
        <v>42492</v>
      </c>
      <c r="C248">
        <v>1</v>
      </c>
      <c r="D248">
        <v>409</v>
      </c>
      <c r="E248">
        <v>471</v>
      </c>
      <c r="F248">
        <v>6.8166666666666664</v>
      </c>
      <c r="G248" t="str">
        <f t="shared" si="6"/>
        <v>Monday</v>
      </c>
      <c r="H248">
        <f t="shared" si="7"/>
        <v>0.86836518046709132</v>
      </c>
    </row>
    <row r="249" spans="1:8" x14ac:dyDescent="0.25">
      <c r="A249">
        <v>5553957443</v>
      </c>
      <c r="B249" s="8">
        <v>42493</v>
      </c>
      <c r="C249">
        <v>1</v>
      </c>
      <c r="D249">
        <v>380</v>
      </c>
      <c r="E249">
        <v>429</v>
      </c>
      <c r="F249">
        <v>6.333333333333333</v>
      </c>
      <c r="G249" t="str">
        <f t="shared" si="6"/>
        <v>Tuesday</v>
      </c>
      <c r="H249">
        <f t="shared" si="7"/>
        <v>0.88578088578088576</v>
      </c>
    </row>
    <row r="250" spans="1:8" x14ac:dyDescent="0.25">
      <c r="A250">
        <v>5553957443</v>
      </c>
      <c r="B250" s="8">
        <v>42494</v>
      </c>
      <c r="C250">
        <v>1</v>
      </c>
      <c r="D250">
        <v>447</v>
      </c>
      <c r="E250">
        <v>470</v>
      </c>
      <c r="F250">
        <v>7.45</v>
      </c>
      <c r="G250" t="str">
        <f t="shared" si="6"/>
        <v>Wednesday</v>
      </c>
      <c r="H250">
        <f t="shared" si="7"/>
        <v>0.95106382978723403</v>
      </c>
    </row>
    <row r="251" spans="1:8" x14ac:dyDescent="0.25">
      <c r="A251">
        <v>5553957443</v>
      </c>
      <c r="B251" s="8">
        <v>42495</v>
      </c>
      <c r="C251">
        <v>1</v>
      </c>
      <c r="D251">
        <v>419</v>
      </c>
      <c r="E251">
        <v>464</v>
      </c>
      <c r="F251">
        <v>6.9833333333333334</v>
      </c>
      <c r="G251" t="str">
        <f t="shared" si="6"/>
        <v>Thursday</v>
      </c>
      <c r="H251">
        <f t="shared" si="7"/>
        <v>0.90301724137931039</v>
      </c>
    </row>
    <row r="252" spans="1:8" x14ac:dyDescent="0.25">
      <c r="A252">
        <v>5553957443</v>
      </c>
      <c r="B252" s="8">
        <v>42496</v>
      </c>
      <c r="C252">
        <v>1</v>
      </c>
      <c r="D252">
        <v>400</v>
      </c>
      <c r="E252">
        <v>434</v>
      </c>
      <c r="F252">
        <v>6.666666666666667</v>
      </c>
      <c r="G252" t="str">
        <f t="shared" si="6"/>
        <v>Friday</v>
      </c>
      <c r="H252">
        <f t="shared" si="7"/>
        <v>0.92165898617511521</v>
      </c>
    </row>
    <row r="253" spans="1:8" x14ac:dyDescent="0.25">
      <c r="A253">
        <v>5553957443</v>
      </c>
      <c r="B253" s="8">
        <v>42497</v>
      </c>
      <c r="C253">
        <v>1</v>
      </c>
      <c r="D253">
        <v>442</v>
      </c>
      <c r="E253">
        <v>470</v>
      </c>
      <c r="F253">
        <v>7.3666666666666663</v>
      </c>
      <c r="G253" t="str">
        <f t="shared" si="6"/>
        <v>Saturday</v>
      </c>
      <c r="H253">
        <f t="shared" si="7"/>
        <v>0.94042553191489364</v>
      </c>
    </row>
    <row r="254" spans="1:8" x14ac:dyDescent="0.25">
      <c r="A254">
        <v>5553957443</v>
      </c>
      <c r="B254" s="8">
        <v>42498</v>
      </c>
      <c r="C254">
        <v>1</v>
      </c>
      <c r="D254">
        <v>568</v>
      </c>
      <c r="E254">
        <v>608</v>
      </c>
      <c r="F254">
        <v>9.4666666666666668</v>
      </c>
      <c r="G254" t="str">
        <f t="shared" si="6"/>
        <v>Sunday</v>
      </c>
      <c r="H254">
        <f t="shared" si="7"/>
        <v>0.93421052631578949</v>
      </c>
    </row>
    <row r="255" spans="1:8" x14ac:dyDescent="0.25">
      <c r="A255">
        <v>5553957443</v>
      </c>
      <c r="B255" s="8">
        <v>42499</v>
      </c>
      <c r="C255">
        <v>1</v>
      </c>
      <c r="D255">
        <v>453</v>
      </c>
      <c r="E255">
        <v>494</v>
      </c>
      <c r="F255">
        <v>7.55</v>
      </c>
      <c r="G255" t="str">
        <f t="shared" si="6"/>
        <v>Monday</v>
      </c>
      <c r="H255">
        <f t="shared" si="7"/>
        <v>0.917004048582996</v>
      </c>
    </row>
    <row r="256" spans="1:8" x14ac:dyDescent="0.25">
      <c r="A256">
        <v>5553957443</v>
      </c>
      <c r="B256" s="8">
        <v>42500</v>
      </c>
      <c r="C256">
        <v>1</v>
      </c>
      <c r="D256">
        <v>418</v>
      </c>
      <c r="E256">
        <v>443</v>
      </c>
      <c r="F256">
        <v>6.9666666666666668</v>
      </c>
      <c r="G256" t="str">
        <f t="shared" si="6"/>
        <v>Tuesday</v>
      </c>
      <c r="H256">
        <f t="shared" si="7"/>
        <v>0.94356659142212185</v>
      </c>
    </row>
    <row r="257" spans="1:8" x14ac:dyDescent="0.25">
      <c r="A257">
        <v>5553957443</v>
      </c>
      <c r="B257" s="8">
        <v>42501</v>
      </c>
      <c r="C257">
        <v>1</v>
      </c>
      <c r="D257">
        <v>463</v>
      </c>
      <c r="E257">
        <v>486</v>
      </c>
      <c r="F257">
        <v>7.7166666666666668</v>
      </c>
      <c r="G257" t="str">
        <f t="shared" si="6"/>
        <v>Wednesday</v>
      </c>
      <c r="H257">
        <f t="shared" si="7"/>
        <v>0.95267489711934161</v>
      </c>
    </row>
    <row r="258" spans="1:8" x14ac:dyDescent="0.25">
      <c r="A258">
        <v>5553957443</v>
      </c>
      <c r="B258" s="8">
        <v>42502</v>
      </c>
      <c r="C258">
        <v>1</v>
      </c>
      <c r="D258">
        <v>438</v>
      </c>
      <c r="E258">
        <v>475</v>
      </c>
      <c r="F258">
        <v>7.3</v>
      </c>
      <c r="G258" t="str">
        <f t="shared" ref="G258:G321" si="8">TEXT(B258,"dddd")</f>
        <v>Thursday</v>
      </c>
      <c r="H258">
        <f t="shared" ref="H258:H321" si="9">D258/E258</f>
        <v>0.92210526315789476</v>
      </c>
    </row>
    <row r="259" spans="1:8" x14ac:dyDescent="0.25">
      <c r="A259">
        <v>5577150313</v>
      </c>
      <c r="B259" s="8">
        <v>42472</v>
      </c>
      <c r="C259">
        <v>1</v>
      </c>
      <c r="D259">
        <v>419</v>
      </c>
      <c r="E259">
        <v>438</v>
      </c>
      <c r="F259">
        <v>6.9833333333333334</v>
      </c>
      <c r="G259" t="str">
        <f t="shared" si="8"/>
        <v>Tuesday</v>
      </c>
      <c r="H259">
        <f t="shared" si="9"/>
        <v>0.95662100456621002</v>
      </c>
    </row>
    <row r="260" spans="1:8" x14ac:dyDescent="0.25">
      <c r="A260">
        <v>5577150313</v>
      </c>
      <c r="B260" s="8">
        <v>42473</v>
      </c>
      <c r="C260">
        <v>1</v>
      </c>
      <c r="D260">
        <v>432</v>
      </c>
      <c r="E260">
        <v>458</v>
      </c>
      <c r="F260">
        <v>7.2</v>
      </c>
      <c r="G260" t="str">
        <f t="shared" si="8"/>
        <v>Wednesday</v>
      </c>
      <c r="H260">
        <f t="shared" si="9"/>
        <v>0.94323144104803491</v>
      </c>
    </row>
    <row r="261" spans="1:8" x14ac:dyDescent="0.25">
      <c r="A261">
        <v>5577150313</v>
      </c>
      <c r="B261" s="8">
        <v>42474</v>
      </c>
      <c r="C261">
        <v>1</v>
      </c>
      <c r="D261">
        <v>477</v>
      </c>
      <c r="E261">
        <v>497</v>
      </c>
      <c r="F261">
        <v>7.95</v>
      </c>
      <c r="G261" t="str">
        <f t="shared" si="8"/>
        <v>Thursday</v>
      </c>
      <c r="H261">
        <f t="shared" si="9"/>
        <v>0.95975855130784704</v>
      </c>
    </row>
    <row r="262" spans="1:8" x14ac:dyDescent="0.25">
      <c r="A262">
        <v>5577150313</v>
      </c>
      <c r="B262" s="8">
        <v>42475</v>
      </c>
      <c r="C262">
        <v>1</v>
      </c>
      <c r="D262">
        <v>392</v>
      </c>
      <c r="E262">
        <v>413</v>
      </c>
      <c r="F262">
        <v>6.5333333333333332</v>
      </c>
      <c r="G262" t="str">
        <f t="shared" si="8"/>
        <v>Friday</v>
      </c>
      <c r="H262">
        <f t="shared" si="9"/>
        <v>0.94915254237288138</v>
      </c>
    </row>
    <row r="263" spans="1:8" x14ac:dyDescent="0.25">
      <c r="A263">
        <v>5577150313</v>
      </c>
      <c r="B263" s="8">
        <v>42476</v>
      </c>
      <c r="C263">
        <v>1</v>
      </c>
      <c r="D263">
        <v>406</v>
      </c>
      <c r="E263">
        <v>445</v>
      </c>
      <c r="F263">
        <v>6.7666666666666666</v>
      </c>
      <c r="G263" t="str">
        <f t="shared" si="8"/>
        <v>Saturday</v>
      </c>
      <c r="H263">
        <f t="shared" si="9"/>
        <v>0.91235955056179774</v>
      </c>
    </row>
    <row r="264" spans="1:8" x14ac:dyDescent="0.25">
      <c r="A264">
        <v>5577150313</v>
      </c>
      <c r="B264" s="8">
        <v>42477</v>
      </c>
      <c r="C264">
        <v>1</v>
      </c>
      <c r="D264">
        <v>549</v>
      </c>
      <c r="E264">
        <v>583</v>
      </c>
      <c r="F264">
        <v>9.15</v>
      </c>
      <c r="G264" t="str">
        <f t="shared" si="8"/>
        <v>Sunday</v>
      </c>
      <c r="H264">
        <f t="shared" si="9"/>
        <v>0.94168096054888506</v>
      </c>
    </row>
    <row r="265" spans="1:8" x14ac:dyDescent="0.25">
      <c r="A265">
        <v>5577150313</v>
      </c>
      <c r="B265" s="8">
        <v>42478</v>
      </c>
      <c r="C265">
        <v>1</v>
      </c>
      <c r="D265">
        <v>527</v>
      </c>
      <c r="E265">
        <v>553</v>
      </c>
      <c r="F265">
        <v>8.7833333333333332</v>
      </c>
      <c r="G265" t="str">
        <f t="shared" si="8"/>
        <v>Monday</v>
      </c>
      <c r="H265">
        <f t="shared" si="9"/>
        <v>0.9529837251356239</v>
      </c>
    </row>
    <row r="266" spans="1:8" x14ac:dyDescent="0.25">
      <c r="A266">
        <v>5577150313</v>
      </c>
      <c r="B266" s="8">
        <v>42479</v>
      </c>
      <c r="C266">
        <v>1</v>
      </c>
      <c r="D266">
        <v>449</v>
      </c>
      <c r="E266">
        <v>465</v>
      </c>
      <c r="F266">
        <v>7.4833333333333334</v>
      </c>
      <c r="G266" t="str">
        <f t="shared" si="8"/>
        <v>Tuesday</v>
      </c>
      <c r="H266">
        <f t="shared" si="9"/>
        <v>0.96559139784946235</v>
      </c>
    </row>
    <row r="267" spans="1:8" x14ac:dyDescent="0.25">
      <c r="A267">
        <v>5577150313</v>
      </c>
      <c r="B267" s="8">
        <v>42480</v>
      </c>
      <c r="C267">
        <v>1</v>
      </c>
      <c r="D267">
        <v>447</v>
      </c>
      <c r="E267">
        <v>480</v>
      </c>
      <c r="F267">
        <v>7.45</v>
      </c>
      <c r="G267" t="str">
        <f t="shared" si="8"/>
        <v>Wednesday</v>
      </c>
      <c r="H267">
        <f t="shared" si="9"/>
        <v>0.93125000000000002</v>
      </c>
    </row>
    <row r="268" spans="1:8" x14ac:dyDescent="0.25">
      <c r="A268">
        <v>5577150313</v>
      </c>
      <c r="B268" s="8">
        <v>42481</v>
      </c>
      <c r="C268">
        <v>1</v>
      </c>
      <c r="D268">
        <v>414</v>
      </c>
      <c r="E268">
        <v>437</v>
      </c>
      <c r="F268">
        <v>6.9</v>
      </c>
      <c r="G268" t="str">
        <f t="shared" si="8"/>
        <v>Thursday</v>
      </c>
      <c r="H268">
        <f t="shared" si="9"/>
        <v>0.94736842105263153</v>
      </c>
    </row>
    <row r="269" spans="1:8" x14ac:dyDescent="0.25">
      <c r="A269">
        <v>5577150313</v>
      </c>
      <c r="B269" s="8">
        <v>42482</v>
      </c>
      <c r="C269">
        <v>1</v>
      </c>
      <c r="D269">
        <v>338</v>
      </c>
      <c r="E269">
        <v>366</v>
      </c>
      <c r="F269">
        <v>5.6333333333333337</v>
      </c>
      <c r="G269" t="str">
        <f t="shared" si="8"/>
        <v>Friday</v>
      </c>
      <c r="H269">
        <f t="shared" si="9"/>
        <v>0.92349726775956287</v>
      </c>
    </row>
    <row r="270" spans="1:8" x14ac:dyDescent="0.25">
      <c r="A270">
        <v>5577150313</v>
      </c>
      <c r="B270" s="8">
        <v>42483</v>
      </c>
      <c r="C270">
        <v>1</v>
      </c>
      <c r="D270">
        <v>384</v>
      </c>
      <c r="E270">
        <v>402</v>
      </c>
      <c r="F270">
        <v>6.4</v>
      </c>
      <c r="G270" t="str">
        <f t="shared" si="8"/>
        <v>Saturday</v>
      </c>
      <c r="H270">
        <f t="shared" si="9"/>
        <v>0.95522388059701491</v>
      </c>
    </row>
    <row r="271" spans="1:8" x14ac:dyDescent="0.25">
      <c r="A271">
        <v>5577150313</v>
      </c>
      <c r="B271" s="8">
        <v>42484</v>
      </c>
      <c r="C271">
        <v>1</v>
      </c>
      <c r="D271">
        <v>543</v>
      </c>
      <c r="E271">
        <v>615</v>
      </c>
      <c r="F271">
        <v>9.0500000000000007</v>
      </c>
      <c r="G271" t="str">
        <f t="shared" si="8"/>
        <v>Sunday</v>
      </c>
      <c r="H271">
        <f t="shared" si="9"/>
        <v>0.88292682926829269</v>
      </c>
    </row>
    <row r="272" spans="1:8" x14ac:dyDescent="0.25">
      <c r="A272">
        <v>5577150313</v>
      </c>
      <c r="B272" s="8">
        <v>42485</v>
      </c>
      <c r="C272">
        <v>1</v>
      </c>
      <c r="D272">
        <v>421</v>
      </c>
      <c r="E272">
        <v>461</v>
      </c>
      <c r="F272">
        <v>7.0166666666666666</v>
      </c>
      <c r="G272" t="str">
        <f t="shared" si="8"/>
        <v>Monday</v>
      </c>
      <c r="H272">
        <f t="shared" si="9"/>
        <v>0.91323210412147504</v>
      </c>
    </row>
    <row r="273" spans="1:8" x14ac:dyDescent="0.25">
      <c r="A273">
        <v>5577150313</v>
      </c>
      <c r="B273" s="8">
        <v>42486</v>
      </c>
      <c r="C273">
        <v>1</v>
      </c>
      <c r="D273">
        <v>354</v>
      </c>
      <c r="E273">
        <v>377</v>
      </c>
      <c r="F273">
        <v>5.9</v>
      </c>
      <c r="G273" t="str">
        <f t="shared" si="8"/>
        <v>Tuesday</v>
      </c>
      <c r="H273">
        <f t="shared" si="9"/>
        <v>0.93899204244031831</v>
      </c>
    </row>
    <row r="274" spans="1:8" x14ac:dyDescent="0.25">
      <c r="A274">
        <v>5577150313</v>
      </c>
      <c r="B274" s="8">
        <v>42487</v>
      </c>
      <c r="C274">
        <v>1</v>
      </c>
      <c r="D274">
        <v>424</v>
      </c>
      <c r="E274">
        <v>452</v>
      </c>
      <c r="F274">
        <v>7.0666666666666664</v>
      </c>
      <c r="G274" t="str">
        <f t="shared" si="8"/>
        <v>Wednesday</v>
      </c>
      <c r="H274">
        <f t="shared" si="9"/>
        <v>0.93805309734513276</v>
      </c>
    </row>
    <row r="275" spans="1:8" x14ac:dyDescent="0.25">
      <c r="A275">
        <v>5577150313</v>
      </c>
      <c r="B275" s="8">
        <v>42488</v>
      </c>
      <c r="C275">
        <v>1</v>
      </c>
      <c r="D275">
        <v>361</v>
      </c>
      <c r="E275">
        <v>372</v>
      </c>
      <c r="F275">
        <v>6.0166666666666666</v>
      </c>
      <c r="G275" t="str">
        <f t="shared" si="8"/>
        <v>Thursday</v>
      </c>
      <c r="H275">
        <f t="shared" si="9"/>
        <v>0.97043010752688175</v>
      </c>
    </row>
    <row r="276" spans="1:8" x14ac:dyDescent="0.25">
      <c r="A276">
        <v>5577150313</v>
      </c>
      <c r="B276" s="8">
        <v>42489</v>
      </c>
      <c r="C276">
        <v>1</v>
      </c>
      <c r="D276">
        <v>459</v>
      </c>
      <c r="E276">
        <v>485</v>
      </c>
      <c r="F276">
        <v>7.65</v>
      </c>
      <c r="G276" t="str">
        <f t="shared" si="8"/>
        <v>Friday</v>
      </c>
      <c r="H276">
        <f t="shared" si="9"/>
        <v>0.94639175257731956</v>
      </c>
    </row>
    <row r="277" spans="1:8" x14ac:dyDescent="0.25">
      <c r="A277">
        <v>5577150313</v>
      </c>
      <c r="B277" s="8">
        <v>42490</v>
      </c>
      <c r="C277">
        <v>1</v>
      </c>
      <c r="D277">
        <v>412</v>
      </c>
      <c r="E277">
        <v>433</v>
      </c>
      <c r="F277">
        <v>6.8666666666666663</v>
      </c>
      <c r="G277" t="str">
        <f t="shared" si="8"/>
        <v>Saturday</v>
      </c>
      <c r="H277">
        <f t="shared" si="9"/>
        <v>0.9515011547344111</v>
      </c>
    </row>
    <row r="278" spans="1:8" x14ac:dyDescent="0.25">
      <c r="A278">
        <v>5577150313</v>
      </c>
      <c r="B278" s="8">
        <v>42491</v>
      </c>
      <c r="C278">
        <v>1</v>
      </c>
      <c r="D278">
        <v>379</v>
      </c>
      <c r="E278">
        <v>398</v>
      </c>
      <c r="F278">
        <v>6.3166666666666664</v>
      </c>
      <c r="G278" t="str">
        <f t="shared" si="8"/>
        <v>Sunday</v>
      </c>
      <c r="H278">
        <f t="shared" si="9"/>
        <v>0.95226130653266328</v>
      </c>
    </row>
    <row r="279" spans="1:8" x14ac:dyDescent="0.25">
      <c r="A279">
        <v>5577150313</v>
      </c>
      <c r="B279" s="8">
        <v>42492</v>
      </c>
      <c r="C279">
        <v>2</v>
      </c>
      <c r="D279">
        <v>525</v>
      </c>
      <c r="E279">
        <v>553</v>
      </c>
      <c r="F279">
        <v>8.75</v>
      </c>
      <c r="G279" t="str">
        <f t="shared" si="8"/>
        <v>Monday</v>
      </c>
      <c r="H279">
        <f t="shared" si="9"/>
        <v>0.94936708860759489</v>
      </c>
    </row>
    <row r="280" spans="1:8" x14ac:dyDescent="0.25">
      <c r="A280">
        <v>5577150313</v>
      </c>
      <c r="B280" s="8">
        <v>42493</v>
      </c>
      <c r="C280">
        <v>1</v>
      </c>
      <c r="D280">
        <v>508</v>
      </c>
      <c r="E280">
        <v>543</v>
      </c>
      <c r="F280">
        <v>8.4666666666666668</v>
      </c>
      <c r="G280" t="str">
        <f t="shared" si="8"/>
        <v>Tuesday</v>
      </c>
      <c r="H280">
        <f t="shared" si="9"/>
        <v>0.9355432780847146</v>
      </c>
    </row>
    <row r="281" spans="1:8" x14ac:dyDescent="0.25">
      <c r="A281">
        <v>5577150313</v>
      </c>
      <c r="B281" s="8">
        <v>42494</v>
      </c>
      <c r="C281">
        <v>1</v>
      </c>
      <c r="D281">
        <v>603</v>
      </c>
      <c r="E281">
        <v>634</v>
      </c>
      <c r="F281">
        <v>10.050000000000001</v>
      </c>
      <c r="G281" t="str">
        <f t="shared" si="8"/>
        <v>Wednesday</v>
      </c>
      <c r="H281">
        <f t="shared" si="9"/>
        <v>0.95110410094637221</v>
      </c>
    </row>
    <row r="282" spans="1:8" x14ac:dyDescent="0.25">
      <c r="A282">
        <v>5577150313</v>
      </c>
      <c r="B282" s="8">
        <v>42495</v>
      </c>
      <c r="C282">
        <v>1</v>
      </c>
      <c r="D282">
        <v>74</v>
      </c>
      <c r="E282">
        <v>78</v>
      </c>
      <c r="F282">
        <v>1.2333333333333334</v>
      </c>
      <c r="G282" t="str">
        <f t="shared" si="8"/>
        <v>Thursday</v>
      </c>
      <c r="H282">
        <f t="shared" si="9"/>
        <v>0.94871794871794868</v>
      </c>
    </row>
    <row r="283" spans="1:8" x14ac:dyDescent="0.25">
      <c r="A283">
        <v>5577150313</v>
      </c>
      <c r="B283" s="8">
        <v>42500</v>
      </c>
      <c r="C283">
        <v>1</v>
      </c>
      <c r="D283">
        <v>504</v>
      </c>
      <c r="E283">
        <v>562</v>
      </c>
      <c r="F283">
        <v>8.4</v>
      </c>
      <c r="G283" t="str">
        <f t="shared" si="8"/>
        <v>Tuesday</v>
      </c>
      <c r="H283">
        <f t="shared" si="9"/>
        <v>0.89679715302491103</v>
      </c>
    </row>
    <row r="284" spans="1:8" x14ac:dyDescent="0.25">
      <c r="A284">
        <v>5577150313</v>
      </c>
      <c r="B284" s="8">
        <v>42501</v>
      </c>
      <c r="C284">
        <v>1</v>
      </c>
      <c r="D284">
        <v>431</v>
      </c>
      <c r="E284">
        <v>476</v>
      </c>
      <c r="F284">
        <v>7.1833333333333336</v>
      </c>
      <c r="G284" t="str">
        <f t="shared" si="8"/>
        <v>Wednesday</v>
      </c>
      <c r="H284">
        <f t="shared" si="9"/>
        <v>0.90546218487394958</v>
      </c>
    </row>
    <row r="285" spans="1:8" x14ac:dyDescent="0.25">
      <c r="A285">
        <v>6117666160</v>
      </c>
      <c r="B285" s="8">
        <v>42476</v>
      </c>
      <c r="C285">
        <v>1</v>
      </c>
      <c r="D285">
        <v>380</v>
      </c>
      <c r="E285">
        <v>398</v>
      </c>
      <c r="F285">
        <v>6.333333333333333</v>
      </c>
      <c r="G285" t="str">
        <f t="shared" si="8"/>
        <v>Saturday</v>
      </c>
      <c r="H285">
        <f t="shared" si="9"/>
        <v>0.95477386934673369</v>
      </c>
    </row>
    <row r="286" spans="1:8" x14ac:dyDescent="0.25">
      <c r="A286">
        <v>6117666160</v>
      </c>
      <c r="B286" s="8">
        <v>42477</v>
      </c>
      <c r="C286">
        <v>2</v>
      </c>
      <c r="D286">
        <v>336</v>
      </c>
      <c r="E286">
        <v>350</v>
      </c>
      <c r="F286">
        <v>5.6</v>
      </c>
      <c r="G286" t="str">
        <f t="shared" si="8"/>
        <v>Sunday</v>
      </c>
      <c r="H286">
        <f t="shared" si="9"/>
        <v>0.96</v>
      </c>
    </row>
    <row r="287" spans="1:8" x14ac:dyDescent="0.25">
      <c r="A287">
        <v>6117666160</v>
      </c>
      <c r="B287" s="8">
        <v>42478</v>
      </c>
      <c r="C287">
        <v>2</v>
      </c>
      <c r="D287">
        <v>493</v>
      </c>
      <c r="E287">
        <v>510</v>
      </c>
      <c r="F287">
        <v>8.2166666666666668</v>
      </c>
      <c r="G287" t="str">
        <f t="shared" si="8"/>
        <v>Monday</v>
      </c>
      <c r="H287">
        <f t="shared" si="9"/>
        <v>0.96666666666666667</v>
      </c>
    </row>
    <row r="288" spans="1:8" x14ac:dyDescent="0.25">
      <c r="A288">
        <v>6117666160</v>
      </c>
      <c r="B288" s="8">
        <v>42479</v>
      </c>
      <c r="C288">
        <v>1</v>
      </c>
      <c r="D288">
        <v>465</v>
      </c>
      <c r="E288">
        <v>492</v>
      </c>
      <c r="F288">
        <v>7.75</v>
      </c>
      <c r="G288" t="str">
        <f t="shared" si="8"/>
        <v>Tuesday</v>
      </c>
      <c r="H288">
        <f t="shared" si="9"/>
        <v>0.94512195121951215</v>
      </c>
    </row>
    <row r="289" spans="1:8" x14ac:dyDescent="0.25">
      <c r="A289">
        <v>6117666160</v>
      </c>
      <c r="B289" s="8">
        <v>42480</v>
      </c>
      <c r="C289">
        <v>1</v>
      </c>
      <c r="D289">
        <v>474</v>
      </c>
      <c r="E289">
        <v>502</v>
      </c>
      <c r="F289">
        <v>7.9</v>
      </c>
      <c r="G289" t="str">
        <f t="shared" si="8"/>
        <v>Wednesday</v>
      </c>
      <c r="H289">
        <f t="shared" si="9"/>
        <v>0.94422310756972117</v>
      </c>
    </row>
    <row r="290" spans="1:8" x14ac:dyDescent="0.25">
      <c r="A290">
        <v>6117666160</v>
      </c>
      <c r="B290" s="8">
        <v>42481</v>
      </c>
      <c r="C290">
        <v>1</v>
      </c>
      <c r="D290">
        <v>508</v>
      </c>
      <c r="E290">
        <v>550</v>
      </c>
      <c r="F290">
        <v>8.4666666666666668</v>
      </c>
      <c r="G290" t="str">
        <f t="shared" si="8"/>
        <v>Thursday</v>
      </c>
      <c r="H290">
        <f t="shared" si="9"/>
        <v>0.92363636363636359</v>
      </c>
    </row>
    <row r="291" spans="1:8" x14ac:dyDescent="0.25">
      <c r="A291">
        <v>6117666160</v>
      </c>
      <c r="B291" s="8">
        <v>42482</v>
      </c>
      <c r="C291">
        <v>1</v>
      </c>
      <c r="D291">
        <v>480</v>
      </c>
      <c r="E291">
        <v>546</v>
      </c>
      <c r="F291">
        <v>8</v>
      </c>
      <c r="G291" t="str">
        <f t="shared" si="8"/>
        <v>Friday</v>
      </c>
      <c r="H291">
        <f t="shared" si="9"/>
        <v>0.87912087912087911</v>
      </c>
    </row>
    <row r="292" spans="1:8" x14ac:dyDescent="0.25">
      <c r="A292">
        <v>6117666160</v>
      </c>
      <c r="B292" s="8">
        <v>42483</v>
      </c>
      <c r="C292">
        <v>1</v>
      </c>
      <c r="D292">
        <v>492</v>
      </c>
      <c r="E292">
        <v>539</v>
      </c>
      <c r="F292">
        <v>8.1999999999999993</v>
      </c>
      <c r="G292" t="str">
        <f t="shared" si="8"/>
        <v>Saturday</v>
      </c>
      <c r="H292">
        <f t="shared" si="9"/>
        <v>0.91280148423005569</v>
      </c>
    </row>
    <row r="293" spans="1:8" x14ac:dyDescent="0.25">
      <c r="A293">
        <v>6117666160</v>
      </c>
      <c r="B293" s="8">
        <v>42484</v>
      </c>
      <c r="C293">
        <v>1</v>
      </c>
      <c r="D293">
        <v>353</v>
      </c>
      <c r="E293">
        <v>367</v>
      </c>
      <c r="F293">
        <v>5.8833333333333337</v>
      </c>
      <c r="G293" t="str">
        <f t="shared" si="8"/>
        <v>Sunday</v>
      </c>
      <c r="H293">
        <f t="shared" si="9"/>
        <v>0.96185286103542234</v>
      </c>
    </row>
    <row r="294" spans="1:8" x14ac:dyDescent="0.25">
      <c r="A294">
        <v>6117666160</v>
      </c>
      <c r="B294" s="8">
        <v>42487</v>
      </c>
      <c r="C294">
        <v>1</v>
      </c>
      <c r="D294">
        <v>542</v>
      </c>
      <c r="E294">
        <v>557</v>
      </c>
      <c r="F294">
        <v>9.0333333333333332</v>
      </c>
      <c r="G294" t="str">
        <f t="shared" si="8"/>
        <v>Wednesday</v>
      </c>
      <c r="H294">
        <f t="shared" si="9"/>
        <v>0.97307001795332138</v>
      </c>
    </row>
    <row r="295" spans="1:8" x14ac:dyDescent="0.25">
      <c r="A295">
        <v>6117666160</v>
      </c>
      <c r="B295" s="8">
        <v>42488</v>
      </c>
      <c r="C295">
        <v>1</v>
      </c>
      <c r="D295">
        <v>393</v>
      </c>
      <c r="E295">
        <v>416</v>
      </c>
      <c r="F295">
        <v>6.55</v>
      </c>
      <c r="G295" t="str">
        <f t="shared" si="8"/>
        <v>Thursday</v>
      </c>
      <c r="H295">
        <f t="shared" si="9"/>
        <v>0.94471153846153844</v>
      </c>
    </row>
    <row r="296" spans="1:8" x14ac:dyDescent="0.25">
      <c r="A296">
        <v>6117666160</v>
      </c>
      <c r="B296" s="8">
        <v>42489</v>
      </c>
      <c r="C296">
        <v>1</v>
      </c>
      <c r="D296">
        <v>600</v>
      </c>
      <c r="E296">
        <v>636</v>
      </c>
      <c r="F296">
        <v>10</v>
      </c>
      <c r="G296" t="str">
        <f t="shared" si="8"/>
        <v>Friday</v>
      </c>
      <c r="H296">
        <f t="shared" si="9"/>
        <v>0.94339622641509435</v>
      </c>
    </row>
    <row r="297" spans="1:8" x14ac:dyDescent="0.25">
      <c r="A297">
        <v>6117666160</v>
      </c>
      <c r="B297" s="8">
        <v>42491</v>
      </c>
      <c r="C297">
        <v>1</v>
      </c>
      <c r="D297">
        <v>507</v>
      </c>
      <c r="E297">
        <v>575</v>
      </c>
      <c r="F297">
        <v>8.4499999999999993</v>
      </c>
      <c r="G297" t="str">
        <f t="shared" si="8"/>
        <v>Sunday</v>
      </c>
      <c r="H297">
        <f t="shared" si="9"/>
        <v>0.88173913043478258</v>
      </c>
    </row>
    <row r="298" spans="1:8" x14ac:dyDescent="0.25">
      <c r="A298">
        <v>6117666160</v>
      </c>
      <c r="B298" s="8">
        <v>42495</v>
      </c>
      <c r="C298">
        <v>1</v>
      </c>
      <c r="D298">
        <v>392</v>
      </c>
      <c r="E298">
        <v>415</v>
      </c>
      <c r="F298">
        <v>6.5333333333333332</v>
      </c>
      <c r="G298" t="str">
        <f t="shared" si="8"/>
        <v>Thursday</v>
      </c>
      <c r="H298">
        <f t="shared" si="9"/>
        <v>0.944578313253012</v>
      </c>
    </row>
    <row r="299" spans="1:8" x14ac:dyDescent="0.25">
      <c r="A299">
        <v>6117666160</v>
      </c>
      <c r="B299" s="8">
        <v>42496</v>
      </c>
      <c r="C299">
        <v>2</v>
      </c>
      <c r="D299">
        <v>658</v>
      </c>
      <c r="E299">
        <v>698</v>
      </c>
      <c r="F299">
        <v>10.966666666666667</v>
      </c>
      <c r="G299" t="str">
        <f t="shared" si="8"/>
        <v>Friday</v>
      </c>
      <c r="H299">
        <f t="shared" si="9"/>
        <v>0.94269340974212035</v>
      </c>
    </row>
    <row r="300" spans="1:8" x14ac:dyDescent="0.25">
      <c r="A300">
        <v>6117666160</v>
      </c>
      <c r="B300" s="8">
        <v>42497</v>
      </c>
      <c r="C300">
        <v>2</v>
      </c>
      <c r="D300">
        <v>498</v>
      </c>
      <c r="E300">
        <v>507</v>
      </c>
      <c r="F300">
        <v>8.3000000000000007</v>
      </c>
      <c r="G300" t="str">
        <f t="shared" si="8"/>
        <v>Saturday</v>
      </c>
      <c r="H300">
        <f t="shared" si="9"/>
        <v>0.98224852071005919</v>
      </c>
    </row>
    <row r="301" spans="1:8" x14ac:dyDescent="0.25">
      <c r="A301">
        <v>6117666160</v>
      </c>
      <c r="B301" s="8">
        <v>42498</v>
      </c>
      <c r="C301">
        <v>1</v>
      </c>
      <c r="D301">
        <v>555</v>
      </c>
      <c r="E301">
        <v>603</v>
      </c>
      <c r="F301">
        <v>9.25</v>
      </c>
      <c r="G301" t="str">
        <f t="shared" si="8"/>
        <v>Sunday</v>
      </c>
      <c r="H301">
        <f t="shared" si="9"/>
        <v>0.92039800995024879</v>
      </c>
    </row>
    <row r="302" spans="1:8" x14ac:dyDescent="0.25">
      <c r="A302">
        <v>6117666160</v>
      </c>
      <c r="B302" s="8">
        <v>42499</v>
      </c>
      <c r="C302">
        <v>1</v>
      </c>
      <c r="D302">
        <v>492</v>
      </c>
      <c r="E302">
        <v>522</v>
      </c>
      <c r="F302">
        <v>8.1999999999999993</v>
      </c>
      <c r="G302" t="str">
        <f t="shared" si="8"/>
        <v>Monday</v>
      </c>
      <c r="H302">
        <f t="shared" si="9"/>
        <v>0.94252873563218387</v>
      </c>
    </row>
    <row r="303" spans="1:8" x14ac:dyDescent="0.25">
      <c r="A303">
        <v>6775888955</v>
      </c>
      <c r="B303" s="8">
        <v>42473</v>
      </c>
      <c r="C303">
        <v>1</v>
      </c>
      <c r="D303">
        <v>235</v>
      </c>
      <c r="E303">
        <v>260</v>
      </c>
      <c r="F303">
        <v>3.9166666666666665</v>
      </c>
      <c r="G303" t="str">
        <f t="shared" si="8"/>
        <v>Wednesday</v>
      </c>
      <c r="H303">
        <f t="shared" si="9"/>
        <v>0.90384615384615385</v>
      </c>
    </row>
    <row r="304" spans="1:8" x14ac:dyDescent="0.25">
      <c r="A304">
        <v>6775888955</v>
      </c>
      <c r="B304" s="8">
        <v>42474</v>
      </c>
      <c r="C304">
        <v>1</v>
      </c>
      <c r="D304">
        <v>423</v>
      </c>
      <c r="E304">
        <v>441</v>
      </c>
      <c r="F304">
        <v>7.05</v>
      </c>
      <c r="G304" t="str">
        <f t="shared" si="8"/>
        <v>Thursday</v>
      </c>
      <c r="H304">
        <f t="shared" si="9"/>
        <v>0.95918367346938771</v>
      </c>
    </row>
    <row r="305" spans="1:8" x14ac:dyDescent="0.25">
      <c r="A305">
        <v>6775888955</v>
      </c>
      <c r="B305" s="8">
        <v>42475</v>
      </c>
      <c r="C305">
        <v>1</v>
      </c>
      <c r="D305">
        <v>391</v>
      </c>
      <c r="E305">
        <v>406</v>
      </c>
      <c r="F305">
        <v>6.5166666666666666</v>
      </c>
      <c r="G305" t="str">
        <f t="shared" si="8"/>
        <v>Friday</v>
      </c>
      <c r="H305">
        <f t="shared" si="9"/>
        <v>0.96305418719211822</v>
      </c>
    </row>
    <row r="306" spans="1:8" x14ac:dyDescent="0.25">
      <c r="A306">
        <v>6962181067</v>
      </c>
      <c r="B306" s="8">
        <v>42472</v>
      </c>
      <c r="C306">
        <v>1</v>
      </c>
      <c r="D306">
        <v>366</v>
      </c>
      <c r="E306">
        <v>387</v>
      </c>
      <c r="F306">
        <v>6.1</v>
      </c>
      <c r="G306" t="str">
        <f t="shared" si="8"/>
        <v>Tuesday</v>
      </c>
      <c r="H306">
        <f t="shared" si="9"/>
        <v>0.94573643410852715</v>
      </c>
    </row>
    <row r="307" spans="1:8" x14ac:dyDescent="0.25">
      <c r="A307">
        <v>6962181067</v>
      </c>
      <c r="B307" s="8">
        <v>42473</v>
      </c>
      <c r="C307">
        <v>3</v>
      </c>
      <c r="D307">
        <v>630</v>
      </c>
      <c r="E307">
        <v>679</v>
      </c>
      <c r="F307">
        <v>10.5</v>
      </c>
      <c r="G307" t="str">
        <f t="shared" si="8"/>
        <v>Wednesday</v>
      </c>
      <c r="H307">
        <f t="shared" si="9"/>
        <v>0.92783505154639179</v>
      </c>
    </row>
    <row r="308" spans="1:8" x14ac:dyDescent="0.25">
      <c r="A308">
        <v>6962181067</v>
      </c>
      <c r="B308" s="8">
        <v>42474</v>
      </c>
      <c r="C308">
        <v>2</v>
      </c>
      <c r="D308">
        <v>508</v>
      </c>
      <c r="E308">
        <v>535</v>
      </c>
      <c r="F308">
        <v>8.4666666666666668</v>
      </c>
      <c r="G308" t="str">
        <f t="shared" si="8"/>
        <v>Thursday</v>
      </c>
      <c r="H308">
        <f t="shared" si="9"/>
        <v>0.94953271028037378</v>
      </c>
    </row>
    <row r="309" spans="1:8" x14ac:dyDescent="0.25">
      <c r="A309">
        <v>6962181067</v>
      </c>
      <c r="B309" s="8">
        <v>42475</v>
      </c>
      <c r="C309">
        <v>1</v>
      </c>
      <c r="D309">
        <v>370</v>
      </c>
      <c r="E309">
        <v>386</v>
      </c>
      <c r="F309">
        <v>6.166666666666667</v>
      </c>
      <c r="G309" t="str">
        <f t="shared" si="8"/>
        <v>Friday</v>
      </c>
      <c r="H309">
        <f t="shared" si="9"/>
        <v>0.95854922279792742</v>
      </c>
    </row>
    <row r="310" spans="1:8" x14ac:dyDescent="0.25">
      <c r="A310">
        <v>6962181067</v>
      </c>
      <c r="B310" s="8">
        <v>42476</v>
      </c>
      <c r="C310">
        <v>1</v>
      </c>
      <c r="D310">
        <v>357</v>
      </c>
      <c r="E310">
        <v>366</v>
      </c>
      <c r="F310">
        <v>5.95</v>
      </c>
      <c r="G310" t="str">
        <f t="shared" si="8"/>
        <v>Saturday</v>
      </c>
      <c r="H310">
        <f t="shared" si="9"/>
        <v>0.97540983606557374</v>
      </c>
    </row>
    <row r="311" spans="1:8" x14ac:dyDescent="0.25">
      <c r="A311">
        <v>6962181067</v>
      </c>
      <c r="B311" s="8">
        <v>42477</v>
      </c>
      <c r="C311">
        <v>1</v>
      </c>
      <c r="D311">
        <v>427</v>
      </c>
      <c r="E311">
        <v>446</v>
      </c>
      <c r="F311">
        <v>7.1166666666666663</v>
      </c>
      <c r="G311" t="str">
        <f t="shared" si="8"/>
        <v>Sunday</v>
      </c>
      <c r="H311">
        <f t="shared" si="9"/>
        <v>0.95739910313901344</v>
      </c>
    </row>
    <row r="312" spans="1:8" x14ac:dyDescent="0.25">
      <c r="A312">
        <v>6962181067</v>
      </c>
      <c r="B312" s="8">
        <v>42478</v>
      </c>
      <c r="C312">
        <v>1</v>
      </c>
      <c r="D312">
        <v>442</v>
      </c>
      <c r="E312">
        <v>458</v>
      </c>
      <c r="F312">
        <v>7.3666666666666663</v>
      </c>
      <c r="G312" t="str">
        <f t="shared" si="8"/>
        <v>Monday</v>
      </c>
      <c r="H312">
        <f t="shared" si="9"/>
        <v>0.96506550218340614</v>
      </c>
    </row>
    <row r="313" spans="1:8" x14ac:dyDescent="0.25">
      <c r="A313">
        <v>6962181067</v>
      </c>
      <c r="B313" s="8">
        <v>42479</v>
      </c>
      <c r="C313">
        <v>1</v>
      </c>
      <c r="D313">
        <v>476</v>
      </c>
      <c r="E313">
        <v>535</v>
      </c>
      <c r="F313">
        <v>7.9333333333333336</v>
      </c>
      <c r="G313" t="str">
        <f t="shared" si="8"/>
        <v>Tuesday</v>
      </c>
      <c r="H313">
        <f t="shared" si="9"/>
        <v>0.88971962616822431</v>
      </c>
    </row>
    <row r="314" spans="1:8" x14ac:dyDescent="0.25">
      <c r="A314">
        <v>6962181067</v>
      </c>
      <c r="B314" s="8">
        <v>42480</v>
      </c>
      <c r="C314">
        <v>1</v>
      </c>
      <c r="D314">
        <v>418</v>
      </c>
      <c r="E314">
        <v>424</v>
      </c>
      <c r="F314">
        <v>6.9666666666666668</v>
      </c>
      <c r="G314" t="str">
        <f t="shared" si="8"/>
        <v>Wednesday</v>
      </c>
      <c r="H314">
        <f t="shared" si="9"/>
        <v>0.98584905660377353</v>
      </c>
    </row>
    <row r="315" spans="1:8" x14ac:dyDescent="0.25">
      <c r="A315">
        <v>6962181067</v>
      </c>
      <c r="B315" s="8">
        <v>42481</v>
      </c>
      <c r="C315">
        <v>1</v>
      </c>
      <c r="D315">
        <v>451</v>
      </c>
      <c r="E315">
        <v>457</v>
      </c>
      <c r="F315">
        <v>7.5166666666666666</v>
      </c>
      <c r="G315" t="str">
        <f t="shared" si="8"/>
        <v>Thursday</v>
      </c>
      <c r="H315">
        <f t="shared" si="9"/>
        <v>0.98687089715536103</v>
      </c>
    </row>
    <row r="316" spans="1:8" x14ac:dyDescent="0.25">
      <c r="A316">
        <v>6962181067</v>
      </c>
      <c r="B316" s="8">
        <v>42482</v>
      </c>
      <c r="C316">
        <v>1</v>
      </c>
      <c r="D316">
        <v>425</v>
      </c>
      <c r="E316">
        <v>435</v>
      </c>
      <c r="F316">
        <v>7.083333333333333</v>
      </c>
      <c r="G316" t="str">
        <f t="shared" si="8"/>
        <v>Friday</v>
      </c>
      <c r="H316">
        <f t="shared" si="9"/>
        <v>0.97701149425287359</v>
      </c>
    </row>
    <row r="317" spans="1:8" x14ac:dyDescent="0.25">
      <c r="A317">
        <v>6962181067</v>
      </c>
      <c r="B317" s="8">
        <v>42483</v>
      </c>
      <c r="C317">
        <v>1</v>
      </c>
      <c r="D317">
        <v>528</v>
      </c>
      <c r="E317">
        <v>546</v>
      </c>
      <c r="F317">
        <v>8.8000000000000007</v>
      </c>
      <c r="G317" t="str">
        <f t="shared" si="8"/>
        <v>Saturday</v>
      </c>
      <c r="H317">
        <f t="shared" si="9"/>
        <v>0.96703296703296704</v>
      </c>
    </row>
    <row r="318" spans="1:8" x14ac:dyDescent="0.25">
      <c r="A318">
        <v>6962181067</v>
      </c>
      <c r="B318" s="8">
        <v>42484</v>
      </c>
      <c r="C318">
        <v>1</v>
      </c>
      <c r="D318">
        <v>511</v>
      </c>
      <c r="E318">
        <v>514</v>
      </c>
      <c r="F318">
        <v>8.5166666666666675</v>
      </c>
      <c r="G318" t="str">
        <f t="shared" si="8"/>
        <v>Sunday</v>
      </c>
      <c r="H318">
        <f t="shared" si="9"/>
        <v>0.99416342412451364</v>
      </c>
    </row>
    <row r="319" spans="1:8" x14ac:dyDescent="0.25">
      <c r="A319">
        <v>6962181067</v>
      </c>
      <c r="B319" s="8">
        <v>42485</v>
      </c>
      <c r="C319">
        <v>1</v>
      </c>
      <c r="D319">
        <v>400</v>
      </c>
      <c r="E319">
        <v>415</v>
      </c>
      <c r="F319">
        <v>6.666666666666667</v>
      </c>
      <c r="G319" t="str">
        <f t="shared" si="8"/>
        <v>Monday</v>
      </c>
      <c r="H319">
        <f t="shared" si="9"/>
        <v>0.96385542168674698</v>
      </c>
    </row>
    <row r="320" spans="1:8" x14ac:dyDescent="0.25">
      <c r="A320">
        <v>6962181067</v>
      </c>
      <c r="B320" s="8">
        <v>42486</v>
      </c>
      <c r="C320">
        <v>1</v>
      </c>
      <c r="D320">
        <v>441</v>
      </c>
      <c r="E320">
        <v>446</v>
      </c>
      <c r="F320">
        <v>7.35</v>
      </c>
      <c r="G320" t="str">
        <f t="shared" si="8"/>
        <v>Tuesday</v>
      </c>
      <c r="H320">
        <f t="shared" si="9"/>
        <v>0.9887892376681614</v>
      </c>
    </row>
    <row r="321" spans="1:8" x14ac:dyDescent="0.25">
      <c r="A321">
        <v>6962181067</v>
      </c>
      <c r="B321" s="8">
        <v>42487</v>
      </c>
      <c r="C321">
        <v>1</v>
      </c>
      <c r="D321">
        <v>455</v>
      </c>
      <c r="E321">
        <v>467</v>
      </c>
      <c r="F321">
        <v>7.583333333333333</v>
      </c>
      <c r="G321" t="str">
        <f t="shared" si="8"/>
        <v>Wednesday</v>
      </c>
      <c r="H321">
        <f t="shared" si="9"/>
        <v>0.97430406852248397</v>
      </c>
    </row>
    <row r="322" spans="1:8" x14ac:dyDescent="0.25">
      <c r="A322">
        <v>6962181067</v>
      </c>
      <c r="B322" s="8">
        <v>42488</v>
      </c>
      <c r="C322">
        <v>1</v>
      </c>
      <c r="D322">
        <v>440</v>
      </c>
      <c r="E322">
        <v>453</v>
      </c>
      <c r="F322">
        <v>7.333333333333333</v>
      </c>
      <c r="G322" t="str">
        <f t="shared" ref="G322:G385" si="10">TEXT(B322,"dddd")</f>
        <v>Thursday</v>
      </c>
      <c r="H322">
        <f t="shared" ref="H322:H385" si="11">D322/E322</f>
        <v>0.9713024282560706</v>
      </c>
    </row>
    <row r="323" spans="1:8" x14ac:dyDescent="0.25">
      <c r="A323">
        <v>6962181067</v>
      </c>
      <c r="B323" s="8">
        <v>42489</v>
      </c>
      <c r="C323">
        <v>1</v>
      </c>
      <c r="D323">
        <v>433</v>
      </c>
      <c r="E323">
        <v>447</v>
      </c>
      <c r="F323">
        <v>7.2166666666666668</v>
      </c>
      <c r="G323" t="str">
        <f t="shared" si="10"/>
        <v>Friday</v>
      </c>
      <c r="H323">
        <f t="shared" si="11"/>
        <v>0.96868008948545858</v>
      </c>
    </row>
    <row r="324" spans="1:8" x14ac:dyDescent="0.25">
      <c r="A324">
        <v>6962181067</v>
      </c>
      <c r="B324" s="8">
        <v>42490</v>
      </c>
      <c r="C324">
        <v>1</v>
      </c>
      <c r="D324">
        <v>422</v>
      </c>
      <c r="E324">
        <v>424</v>
      </c>
      <c r="F324">
        <v>7.0333333333333332</v>
      </c>
      <c r="G324" t="str">
        <f t="shared" si="10"/>
        <v>Saturday</v>
      </c>
      <c r="H324">
        <f t="shared" si="11"/>
        <v>0.99528301886792447</v>
      </c>
    </row>
    <row r="325" spans="1:8" x14ac:dyDescent="0.25">
      <c r="A325">
        <v>6962181067</v>
      </c>
      <c r="B325" s="8">
        <v>42491</v>
      </c>
      <c r="C325">
        <v>1</v>
      </c>
      <c r="D325">
        <v>411</v>
      </c>
      <c r="E325">
        <v>426</v>
      </c>
      <c r="F325">
        <v>6.85</v>
      </c>
      <c r="G325" t="str">
        <f t="shared" si="10"/>
        <v>Sunday</v>
      </c>
      <c r="H325">
        <f t="shared" si="11"/>
        <v>0.96478873239436624</v>
      </c>
    </row>
    <row r="326" spans="1:8" x14ac:dyDescent="0.25">
      <c r="A326">
        <v>6962181067</v>
      </c>
      <c r="B326" s="8">
        <v>42492</v>
      </c>
      <c r="C326">
        <v>1</v>
      </c>
      <c r="D326">
        <v>466</v>
      </c>
      <c r="E326">
        <v>482</v>
      </c>
      <c r="F326">
        <v>7.7666666666666666</v>
      </c>
      <c r="G326" t="str">
        <f t="shared" si="10"/>
        <v>Monday</v>
      </c>
      <c r="H326">
        <f t="shared" si="11"/>
        <v>0.96680497925311204</v>
      </c>
    </row>
    <row r="327" spans="1:8" x14ac:dyDescent="0.25">
      <c r="A327">
        <v>6962181067</v>
      </c>
      <c r="B327" s="8">
        <v>42493</v>
      </c>
      <c r="C327">
        <v>1</v>
      </c>
      <c r="D327">
        <v>394</v>
      </c>
      <c r="E327">
        <v>418</v>
      </c>
      <c r="F327">
        <v>6.5666666666666664</v>
      </c>
      <c r="G327" t="str">
        <f t="shared" si="10"/>
        <v>Tuesday</v>
      </c>
      <c r="H327">
        <f t="shared" si="11"/>
        <v>0.9425837320574163</v>
      </c>
    </row>
    <row r="328" spans="1:8" x14ac:dyDescent="0.25">
      <c r="A328">
        <v>6962181067</v>
      </c>
      <c r="B328" s="8">
        <v>42494</v>
      </c>
      <c r="C328">
        <v>1</v>
      </c>
      <c r="D328">
        <v>442</v>
      </c>
      <c r="E328">
        <v>455</v>
      </c>
      <c r="F328">
        <v>7.3666666666666663</v>
      </c>
      <c r="G328" t="str">
        <f t="shared" si="10"/>
        <v>Wednesday</v>
      </c>
      <c r="H328">
        <f t="shared" si="11"/>
        <v>0.97142857142857142</v>
      </c>
    </row>
    <row r="329" spans="1:8" x14ac:dyDescent="0.25">
      <c r="A329">
        <v>6962181067</v>
      </c>
      <c r="B329" s="8">
        <v>42495</v>
      </c>
      <c r="C329">
        <v>1</v>
      </c>
      <c r="D329">
        <v>467</v>
      </c>
      <c r="E329">
        <v>491</v>
      </c>
      <c r="F329">
        <v>7.7833333333333332</v>
      </c>
      <c r="G329" t="str">
        <f t="shared" si="10"/>
        <v>Thursday</v>
      </c>
      <c r="H329">
        <f t="shared" si="11"/>
        <v>0.95112016293279023</v>
      </c>
    </row>
    <row r="330" spans="1:8" x14ac:dyDescent="0.25">
      <c r="A330">
        <v>6962181067</v>
      </c>
      <c r="B330" s="8">
        <v>42496</v>
      </c>
      <c r="C330">
        <v>1</v>
      </c>
      <c r="D330">
        <v>443</v>
      </c>
      <c r="E330">
        <v>462</v>
      </c>
      <c r="F330">
        <v>7.3833333333333337</v>
      </c>
      <c r="G330" t="str">
        <f t="shared" si="10"/>
        <v>Friday</v>
      </c>
      <c r="H330">
        <f t="shared" si="11"/>
        <v>0.95887445887445888</v>
      </c>
    </row>
    <row r="331" spans="1:8" x14ac:dyDescent="0.25">
      <c r="A331">
        <v>6962181067</v>
      </c>
      <c r="B331" s="8">
        <v>42497</v>
      </c>
      <c r="C331">
        <v>1</v>
      </c>
      <c r="D331">
        <v>298</v>
      </c>
      <c r="E331">
        <v>334</v>
      </c>
      <c r="F331">
        <v>4.9666666666666668</v>
      </c>
      <c r="G331" t="str">
        <f t="shared" si="10"/>
        <v>Saturday</v>
      </c>
      <c r="H331">
        <f t="shared" si="11"/>
        <v>0.89221556886227549</v>
      </c>
    </row>
    <row r="332" spans="1:8" x14ac:dyDescent="0.25">
      <c r="A332">
        <v>6962181067</v>
      </c>
      <c r="B332" s="8">
        <v>42498</v>
      </c>
      <c r="C332">
        <v>1</v>
      </c>
      <c r="D332">
        <v>541</v>
      </c>
      <c r="E332">
        <v>569</v>
      </c>
      <c r="F332">
        <v>9.0166666666666675</v>
      </c>
      <c r="G332" t="str">
        <f t="shared" si="10"/>
        <v>Sunday</v>
      </c>
      <c r="H332">
        <f t="shared" si="11"/>
        <v>0.95079086115992972</v>
      </c>
    </row>
    <row r="333" spans="1:8" x14ac:dyDescent="0.25">
      <c r="A333">
        <v>6962181067</v>
      </c>
      <c r="B333" s="8">
        <v>42499</v>
      </c>
      <c r="C333">
        <v>1</v>
      </c>
      <c r="D333">
        <v>489</v>
      </c>
      <c r="E333">
        <v>497</v>
      </c>
      <c r="F333">
        <v>8.15</v>
      </c>
      <c r="G333" t="str">
        <f t="shared" si="10"/>
        <v>Monday</v>
      </c>
      <c r="H333">
        <f t="shared" si="11"/>
        <v>0.98390342052313884</v>
      </c>
    </row>
    <row r="334" spans="1:8" x14ac:dyDescent="0.25">
      <c r="A334">
        <v>6962181067</v>
      </c>
      <c r="B334" s="8">
        <v>42500</v>
      </c>
      <c r="C334">
        <v>1</v>
      </c>
      <c r="D334">
        <v>469</v>
      </c>
      <c r="E334">
        <v>481</v>
      </c>
      <c r="F334">
        <v>7.8166666666666664</v>
      </c>
      <c r="G334" t="str">
        <f t="shared" si="10"/>
        <v>Tuesday</v>
      </c>
      <c r="H334">
        <f t="shared" si="11"/>
        <v>0.97505197505197505</v>
      </c>
    </row>
    <row r="335" spans="1:8" x14ac:dyDescent="0.25">
      <c r="A335">
        <v>6962181067</v>
      </c>
      <c r="B335" s="8">
        <v>42501</v>
      </c>
      <c r="C335">
        <v>1</v>
      </c>
      <c r="D335">
        <v>452</v>
      </c>
      <c r="E335">
        <v>480</v>
      </c>
      <c r="F335">
        <v>7.5333333333333332</v>
      </c>
      <c r="G335" t="str">
        <f t="shared" si="10"/>
        <v>Wednesday</v>
      </c>
      <c r="H335">
        <f t="shared" si="11"/>
        <v>0.94166666666666665</v>
      </c>
    </row>
    <row r="336" spans="1:8" x14ac:dyDescent="0.25">
      <c r="A336">
        <v>6962181067</v>
      </c>
      <c r="B336" s="8">
        <v>42502</v>
      </c>
      <c r="C336">
        <v>1</v>
      </c>
      <c r="D336">
        <v>516</v>
      </c>
      <c r="E336">
        <v>535</v>
      </c>
      <c r="F336">
        <v>8.6</v>
      </c>
      <c r="G336" t="str">
        <f t="shared" si="10"/>
        <v>Thursday</v>
      </c>
      <c r="H336">
        <f t="shared" si="11"/>
        <v>0.96448598130841123</v>
      </c>
    </row>
    <row r="337" spans="1:8" x14ac:dyDescent="0.25">
      <c r="A337">
        <v>7007744171</v>
      </c>
      <c r="B337" s="8">
        <v>42476</v>
      </c>
      <c r="C337">
        <v>1</v>
      </c>
      <c r="D337">
        <v>79</v>
      </c>
      <c r="E337">
        <v>82</v>
      </c>
      <c r="F337">
        <v>1.3166666666666667</v>
      </c>
      <c r="G337" t="str">
        <f t="shared" si="10"/>
        <v>Saturday</v>
      </c>
      <c r="H337">
        <f t="shared" si="11"/>
        <v>0.96341463414634143</v>
      </c>
    </row>
    <row r="338" spans="1:8" x14ac:dyDescent="0.25">
      <c r="A338">
        <v>7007744171</v>
      </c>
      <c r="B338" s="8">
        <v>42491</v>
      </c>
      <c r="C338">
        <v>1</v>
      </c>
      <c r="D338">
        <v>58</v>
      </c>
      <c r="E338">
        <v>61</v>
      </c>
      <c r="F338">
        <v>0.96666666666666667</v>
      </c>
      <c r="G338" t="str">
        <f t="shared" si="10"/>
        <v>Sunday</v>
      </c>
      <c r="H338">
        <f t="shared" si="11"/>
        <v>0.95081967213114749</v>
      </c>
    </row>
    <row r="339" spans="1:8" x14ac:dyDescent="0.25">
      <c r="A339">
        <v>7086361926</v>
      </c>
      <c r="B339" s="8">
        <v>42472</v>
      </c>
      <c r="C339">
        <v>1</v>
      </c>
      <c r="D339">
        <v>514</v>
      </c>
      <c r="E339">
        <v>525</v>
      </c>
      <c r="F339">
        <v>8.5666666666666664</v>
      </c>
      <c r="G339" t="str">
        <f t="shared" si="10"/>
        <v>Tuesday</v>
      </c>
      <c r="H339">
        <f t="shared" si="11"/>
        <v>0.97904761904761906</v>
      </c>
    </row>
    <row r="340" spans="1:8" x14ac:dyDescent="0.25">
      <c r="A340">
        <v>7086361926</v>
      </c>
      <c r="B340" s="8">
        <v>42473</v>
      </c>
      <c r="C340">
        <v>1</v>
      </c>
      <c r="D340">
        <v>451</v>
      </c>
      <c r="E340">
        <v>465</v>
      </c>
      <c r="F340">
        <v>7.5166666666666666</v>
      </c>
      <c r="G340" t="str">
        <f t="shared" si="10"/>
        <v>Wednesday</v>
      </c>
      <c r="H340">
        <f t="shared" si="11"/>
        <v>0.96989247311827953</v>
      </c>
    </row>
    <row r="341" spans="1:8" x14ac:dyDescent="0.25">
      <c r="A341">
        <v>7086361926</v>
      </c>
      <c r="B341" s="8">
        <v>42474</v>
      </c>
      <c r="C341">
        <v>1</v>
      </c>
      <c r="D341">
        <v>472</v>
      </c>
      <c r="E341">
        <v>476</v>
      </c>
      <c r="F341">
        <v>7.8666666666666663</v>
      </c>
      <c r="G341" t="str">
        <f t="shared" si="10"/>
        <v>Thursday</v>
      </c>
      <c r="H341">
        <f t="shared" si="11"/>
        <v>0.99159663865546221</v>
      </c>
    </row>
    <row r="342" spans="1:8" x14ac:dyDescent="0.25">
      <c r="A342">
        <v>7086361926</v>
      </c>
      <c r="B342" s="8">
        <v>42475</v>
      </c>
      <c r="C342">
        <v>1</v>
      </c>
      <c r="D342">
        <v>377</v>
      </c>
      <c r="E342">
        <v>386</v>
      </c>
      <c r="F342">
        <v>6.2833333333333332</v>
      </c>
      <c r="G342" t="str">
        <f t="shared" si="10"/>
        <v>Friday</v>
      </c>
      <c r="H342">
        <f t="shared" si="11"/>
        <v>0.97668393782383423</v>
      </c>
    </row>
    <row r="343" spans="1:8" x14ac:dyDescent="0.25">
      <c r="A343">
        <v>7086361926</v>
      </c>
      <c r="B343" s="8">
        <v>42479</v>
      </c>
      <c r="C343">
        <v>1</v>
      </c>
      <c r="D343">
        <v>472</v>
      </c>
      <c r="E343">
        <v>483</v>
      </c>
      <c r="F343">
        <v>7.8666666666666663</v>
      </c>
      <c r="G343" t="str">
        <f t="shared" si="10"/>
        <v>Tuesday</v>
      </c>
      <c r="H343">
        <f t="shared" si="11"/>
        <v>0.97722567287784678</v>
      </c>
    </row>
    <row r="344" spans="1:8" x14ac:dyDescent="0.25">
      <c r="A344">
        <v>7086361926</v>
      </c>
      <c r="B344" s="8">
        <v>42480</v>
      </c>
      <c r="C344">
        <v>1</v>
      </c>
      <c r="D344">
        <v>492</v>
      </c>
      <c r="E344">
        <v>502</v>
      </c>
      <c r="F344">
        <v>8.1999999999999993</v>
      </c>
      <c r="G344" t="str">
        <f t="shared" si="10"/>
        <v>Wednesday</v>
      </c>
      <c r="H344">
        <f t="shared" si="11"/>
        <v>0.98007968127490042</v>
      </c>
    </row>
    <row r="345" spans="1:8" x14ac:dyDescent="0.25">
      <c r="A345">
        <v>7086361926</v>
      </c>
      <c r="B345" s="8">
        <v>42481</v>
      </c>
      <c r="C345">
        <v>1</v>
      </c>
      <c r="D345">
        <v>390</v>
      </c>
      <c r="E345">
        <v>411</v>
      </c>
      <c r="F345">
        <v>6.5</v>
      </c>
      <c r="G345" t="str">
        <f t="shared" si="10"/>
        <v>Thursday</v>
      </c>
      <c r="H345">
        <f t="shared" si="11"/>
        <v>0.94890510948905105</v>
      </c>
    </row>
    <row r="346" spans="1:8" x14ac:dyDescent="0.25">
      <c r="A346">
        <v>7086361926</v>
      </c>
      <c r="B346" s="8">
        <v>42482</v>
      </c>
      <c r="C346">
        <v>1</v>
      </c>
      <c r="D346">
        <v>428</v>
      </c>
      <c r="E346">
        <v>448</v>
      </c>
      <c r="F346">
        <v>7.1333333333333337</v>
      </c>
      <c r="G346" t="str">
        <f t="shared" si="10"/>
        <v>Friday</v>
      </c>
      <c r="H346">
        <f t="shared" si="11"/>
        <v>0.9553571428571429</v>
      </c>
    </row>
    <row r="347" spans="1:8" x14ac:dyDescent="0.25">
      <c r="A347">
        <v>7086361926</v>
      </c>
      <c r="B347" s="8">
        <v>42484</v>
      </c>
      <c r="C347">
        <v>1</v>
      </c>
      <c r="D347">
        <v>681</v>
      </c>
      <c r="E347">
        <v>704</v>
      </c>
      <c r="F347">
        <v>11.35</v>
      </c>
      <c r="G347" t="str">
        <f t="shared" si="10"/>
        <v>Sunday</v>
      </c>
      <c r="H347">
        <f t="shared" si="11"/>
        <v>0.96732954545454541</v>
      </c>
    </row>
    <row r="348" spans="1:8" x14ac:dyDescent="0.25">
      <c r="A348">
        <v>7086361926</v>
      </c>
      <c r="B348" s="8">
        <v>42485</v>
      </c>
      <c r="C348">
        <v>1</v>
      </c>
      <c r="D348">
        <v>446</v>
      </c>
      <c r="E348">
        <v>447</v>
      </c>
      <c r="F348">
        <v>7.4333333333333336</v>
      </c>
      <c r="G348" t="str">
        <f t="shared" si="10"/>
        <v>Monday</v>
      </c>
      <c r="H348">
        <f t="shared" si="11"/>
        <v>0.99776286353467558</v>
      </c>
    </row>
    <row r="349" spans="1:8" x14ac:dyDescent="0.25">
      <c r="A349">
        <v>7086361926</v>
      </c>
      <c r="B349" s="8">
        <v>42486</v>
      </c>
      <c r="C349">
        <v>1</v>
      </c>
      <c r="D349">
        <v>485</v>
      </c>
      <c r="E349">
        <v>500</v>
      </c>
      <c r="F349">
        <v>8.0833333333333339</v>
      </c>
      <c r="G349" t="str">
        <f t="shared" si="10"/>
        <v>Tuesday</v>
      </c>
      <c r="H349">
        <f t="shared" si="11"/>
        <v>0.97</v>
      </c>
    </row>
    <row r="350" spans="1:8" x14ac:dyDescent="0.25">
      <c r="A350">
        <v>7086361926</v>
      </c>
      <c r="B350" s="8">
        <v>42487</v>
      </c>
      <c r="C350">
        <v>1</v>
      </c>
      <c r="D350">
        <v>469</v>
      </c>
      <c r="E350">
        <v>479</v>
      </c>
      <c r="F350">
        <v>7.8166666666666664</v>
      </c>
      <c r="G350" t="str">
        <f t="shared" si="10"/>
        <v>Wednesday</v>
      </c>
      <c r="H350">
        <f t="shared" si="11"/>
        <v>0.97912317327766174</v>
      </c>
    </row>
    <row r="351" spans="1:8" x14ac:dyDescent="0.25">
      <c r="A351">
        <v>7086361926</v>
      </c>
      <c r="B351" s="8">
        <v>42488</v>
      </c>
      <c r="C351">
        <v>1</v>
      </c>
      <c r="D351">
        <v>354</v>
      </c>
      <c r="E351">
        <v>367</v>
      </c>
      <c r="F351">
        <v>5.9</v>
      </c>
      <c r="G351" t="str">
        <f t="shared" si="10"/>
        <v>Thursday</v>
      </c>
      <c r="H351">
        <f t="shared" si="11"/>
        <v>0.96457765667574935</v>
      </c>
    </row>
    <row r="352" spans="1:8" x14ac:dyDescent="0.25">
      <c r="A352">
        <v>7086361926</v>
      </c>
      <c r="B352" s="8">
        <v>42490</v>
      </c>
      <c r="C352">
        <v>1</v>
      </c>
      <c r="D352">
        <v>485</v>
      </c>
      <c r="E352">
        <v>489</v>
      </c>
      <c r="F352">
        <v>8.0833333333333339</v>
      </c>
      <c r="G352" t="str">
        <f t="shared" si="10"/>
        <v>Saturday</v>
      </c>
      <c r="H352">
        <f t="shared" si="11"/>
        <v>0.99182004089979547</v>
      </c>
    </row>
    <row r="353" spans="1:8" x14ac:dyDescent="0.25">
      <c r="A353">
        <v>7086361926</v>
      </c>
      <c r="B353" s="8">
        <v>42491</v>
      </c>
      <c r="C353">
        <v>1</v>
      </c>
      <c r="D353">
        <v>388</v>
      </c>
      <c r="E353">
        <v>407</v>
      </c>
      <c r="F353">
        <v>6.4666666666666668</v>
      </c>
      <c r="G353" t="str">
        <f t="shared" si="10"/>
        <v>Sunday</v>
      </c>
      <c r="H353">
        <f t="shared" si="11"/>
        <v>0.95331695331695332</v>
      </c>
    </row>
    <row r="354" spans="1:8" x14ac:dyDescent="0.25">
      <c r="A354">
        <v>7086361926</v>
      </c>
      <c r="B354" s="8">
        <v>42492</v>
      </c>
      <c r="C354">
        <v>1</v>
      </c>
      <c r="D354">
        <v>440</v>
      </c>
      <c r="E354">
        <v>459</v>
      </c>
      <c r="F354">
        <v>7.333333333333333</v>
      </c>
      <c r="G354" t="str">
        <f t="shared" si="10"/>
        <v>Monday</v>
      </c>
      <c r="H354">
        <f t="shared" si="11"/>
        <v>0.95860566448801743</v>
      </c>
    </row>
    <row r="355" spans="1:8" x14ac:dyDescent="0.25">
      <c r="A355">
        <v>7086361926</v>
      </c>
      <c r="B355" s="8">
        <v>42493</v>
      </c>
      <c r="C355">
        <v>1</v>
      </c>
      <c r="D355">
        <v>456</v>
      </c>
      <c r="E355">
        <v>461</v>
      </c>
      <c r="F355">
        <v>7.6</v>
      </c>
      <c r="G355" t="str">
        <f t="shared" si="10"/>
        <v>Tuesday</v>
      </c>
      <c r="H355">
        <f t="shared" si="11"/>
        <v>0.98915401301518435</v>
      </c>
    </row>
    <row r="356" spans="1:8" x14ac:dyDescent="0.25">
      <c r="A356">
        <v>7086361926</v>
      </c>
      <c r="B356" s="8">
        <v>42494</v>
      </c>
      <c r="C356">
        <v>1</v>
      </c>
      <c r="D356">
        <v>420</v>
      </c>
      <c r="E356">
        <v>436</v>
      </c>
      <c r="F356">
        <v>7</v>
      </c>
      <c r="G356" t="str">
        <f t="shared" si="10"/>
        <v>Wednesday</v>
      </c>
      <c r="H356">
        <f t="shared" si="11"/>
        <v>0.96330275229357798</v>
      </c>
    </row>
    <row r="357" spans="1:8" x14ac:dyDescent="0.25">
      <c r="A357">
        <v>7086361926</v>
      </c>
      <c r="B357" s="8">
        <v>42496</v>
      </c>
      <c r="C357">
        <v>1</v>
      </c>
      <c r="D357">
        <v>322</v>
      </c>
      <c r="E357">
        <v>333</v>
      </c>
      <c r="F357">
        <v>5.3666666666666663</v>
      </c>
      <c r="G357" t="str">
        <f t="shared" si="10"/>
        <v>Friday</v>
      </c>
      <c r="H357">
        <f t="shared" si="11"/>
        <v>0.96696696696696693</v>
      </c>
    </row>
    <row r="358" spans="1:8" x14ac:dyDescent="0.25">
      <c r="A358">
        <v>7086361926</v>
      </c>
      <c r="B358" s="8">
        <v>42497</v>
      </c>
      <c r="C358">
        <v>1</v>
      </c>
      <c r="D358">
        <v>530</v>
      </c>
      <c r="E358">
        <v>548</v>
      </c>
      <c r="F358">
        <v>8.8333333333333339</v>
      </c>
      <c r="G358" t="str">
        <f t="shared" si="10"/>
        <v>Saturday</v>
      </c>
      <c r="H358">
        <f t="shared" si="11"/>
        <v>0.96715328467153283</v>
      </c>
    </row>
    <row r="359" spans="1:8" x14ac:dyDescent="0.25">
      <c r="A359">
        <v>7086361926</v>
      </c>
      <c r="B359" s="8">
        <v>42498</v>
      </c>
      <c r="C359">
        <v>1</v>
      </c>
      <c r="D359">
        <v>481</v>
      </c>
      <c r="E359">
        <v>510</v>
      </c>
      <c r="F359">
        <v>8.0166666666666675</v>
      </c>
      <c r="G359" t="str">
        <f t="shared" si="10"/>
        <v>Sunday</v>
      </c>
      <c r="H359">
        <f t="shared" si="11"/>
        <v>0.94313725490196076</v>
      </c>
    </row>
    <row r="360" spans="1:8" x14ac:dyDescent="0.25">
      <c r="A360">
        <v>7086361926</v>
      </c>
      <c r="B360" s="8">
        <v>42499</v>
      </c>
      <c r="C360">
        <v>1</v>
      </c>
      <c r="D360">
        <v>427</v>
      </c>
      <c r="E360">
        <v>438</v>
      </c>
      <c r="F360">
        <v>7.1166666666666663</v>
      </c>
      <c r="G360" t="str">
        <f t="shared" si="10"/>
        <v>Monday</v>
      </c>
      <c r="H360">
        <f t="shared" si="11"/>
        <v>0.97488584474885842</v>
      </c>
    </row>
    <row r="361" spans="1:8" x14ac:dyDescent="0.25">
      <c r="A361">
        <v>7086361926</v>
      </c>
      <c r="B361" s="8">
        <v>42501</v>
      </c>
      <c r="C361">
        <v>1</v>
      </c>
      <c r="D361">
        <v>451</v>
      </c>
      <c r="E361">
        <v>463</v>
      </c>
      <c r="F361">
        <v>7.5166666666666666</v>
      </c>
      <c r="G361" t="str">
        <f t="shared" si="10"/>
        <v>Wednesday</v>
      </c>
      <c r="H361">
        <f t="shared" si="11"/>
        <v>0.97408207343412523</v>
      </c>
    </row>
    <row r="362" spans="1:8" x14ac:dyDescent="0.25">
      <c r="A362">
        <v>7086361926</v>
      </c>
      <c r="B362" s="8">
        <v>42502</v>
      </c>
      <c r="C362">
        <v>1</v>
      </c>
      <c r="D362">
        <v>444</v>
      </c>
      <c r="E362">
        <v>457</v>
      </c>
      <c r="F362">
        <v>7.4</v>
      </c>
      <c r="G362" t="str">
        <f t="shared" si="10"/>
        <v>Thursday</v>
      </c>
      <c r="H362">
        <f t="shared" si="11"/>
        <v>0.97155361050328226</v>
      </c>
    </row>
    <row r="363" spans="1:8" x14ac:dyDescent="0.25">
      <c r="A363">
        <v>8053475328</v>
      </c>
      <c r="B363" s="8">
        <v>42480</v>
      </c>
      <c r="C363">
        <v>1</v>
      </c>
      <c r="D363">
        <v>486</v>
      </c>
      <c r="E363">
        <v>493</v>
      </c>
      <c r="F363">
        <v>8.1</v>
      </c>
      <c r="G363" t="str">
        <f t="shared" si="10"/>
        <v>Wednesday</v>
      </c>
      <c r="H363">
        <f t="shared" si="11"/>
        <v>0.98580121703853951</v>
      </c>
    </row>
    <row r="364" spans="1:8" x14ac:dyDescent="0.25">
      <c r="A364">
        <v>8053475328</v>
      </c>
      <c r="B364" s="8">
        <v>42483</v>
      </c>
      <c r="C364">
        <v>1</v>
      </c>
      <c r="D364">
        <v>331</v>
      </c>
      <c r="E364">
        <v>337</v>
      </c>
      <c r="F364">
        <v>5.5166666666666666</v>
      </c>
      <c r="G364" t="str">
        <f t="shared" si="10"/>
        <v>Saturday</v>
      </c>
      <c r="H364">
        <f t="shared" si="11"/>
        <v>0.98219584569732943</v>
      </c>
    </row>
    <row r="365" spans="1:8" x14ac:dyDescent="0.25">
      <c r="A365">
        <v>8053475328</v>
      </c>
      <c r="B365" s="8">
        <v>42497</v>
      </c>
      <c r="C365">
        <v>1</v>
      </c>
      <c r="D365">
        <v>74</v>
      </c>
      <c r="E365">
        <v>75</v>
      </c>
      <c r="F365">
        <v>1.2333333333333334</v>
      </c>
      <c r="G365" t="str">
        <f t="shared" si="10"/>
        <v>Saturday</v>
      </c>
      <c r="H365">
        <f t="shared" si="11"/>
        <v>0.98666666666666669</v>
      </c>
    </row>
    <row r="366" spans="1:8" x14ac:dyDescent="0.25">
      <c r="A366">
        <v>8378563200</v>
      </c>
      <c r="B366" s="8">
        <v>42472</v>
      </c>
      <c r="C366">
        <v>1</v>
      </c>
      <c r="D366">
        <v>338</v>
      </c>
      <c r="E366">
        <v>356</v>
      </c>
      <c r="F366">
        <v>5.6333333333333337</v>
      </c>
      <c r="G366" t="str">
        <f t="shared" si="10"/>
        <v>Tuesday</v>
      </c>
      <c r="H366">
        <f t="shared" si="11"/>
        <v>0.949438202247191</v>
      </c>
    </row>
    <row r="367" spans="1:8" x14ac:dyDescent="0.25">
      <c r="A367">
        <v>8378563200</v>
      </c>
      <c r="B367" s="8">
        <v>42473</v>
      </c>
      <c r="C367">
        <v>2</v>
      </c>
      <c r="D367">
        <v>447</v>
      </c>
      <c r="E367">
        <v>487</v>
      </c>
      <c r="F367">
        <v>7.45</v>
      </c>
      <c r="G367" t="str">
        <f t="shared" si="10"/>
        <v>Wednesday</v>
      </c>
      <c r="H367">
        <f t="shared" si="11"/>
        <v>0.91786447638603696</v>
      </c>
    </row>
    <row r="368" spans="1:8" x14ac:dyDescent="0.25">
      <c r="A368">
        <v>8378563200</v>
      </c>
      <c r="B368" s="8">
        <v>42474</v>
      </c>
      <c r="C368">
        <v>1</v>
      </c>
      <c r="D368">
        <v>424</v>
      </c>
      <c r="E368">
        <v>455</v>
      </c>
      <c r="F368">
        <v>7.0666666666666664</v>
      </c>
      <c r="G368" t="str">
        <f t="shared" si="10"/>
        <v>Thursday</v>
      </c>
      <c r="H368">
        <f t="shared" si="11"/>
        <v>0.93186813186813189</v>
      </c>
    </row>
    <row r="369" spans="1:8" x14ac:dyDescent="0.25">
      <c r="A369">
        <v>8378563200</v>
      </c>
      <c r="B369" s="8">
        <v>42475</v>
      </c>
      <c r="C369">
        <v>1</v>
      </c>
      <c r="D369">
        <v>513</v>
      </c>
      <c r="E369">
        <v>533</v>
      </c>
      <c r="F369">
        <v>8.5500000000000007</v>
      </c>
      <c r="G369" t="str">
        <f t="shared" si="10"/>
        <v>Friday</v>
      </c>
      <c r="H369">
        <f t="shared" si="11"/>
        <v>0.96247654784240155</v>
      </c>
    </row>
    <row r="370" spans="1:8" x14ac:dyDescent="0.25">
      <c r="A370">
        <v>8378563200</v>
      </c>
      <c r="B370" s="8">
        <v>42476</v>
      </c>
      <c r="C370">
        <v>2</v>
      </c>
      <c r="D370">
        <v>611</v>
      </c>
      <c r="E370">
        <v>689</v>
      </c>
      <c r="F370">
        <v>10.183333333333334</v>
      </c>
      <c r="G370" t="str">
        <f t="shared" si="10"/>
        <v>Saturday</v>
      </c>
      <c r="H370">
        <f t="shared" si="11"/>
        <v>0.8867924528301887</v>
      </c>
    </row>
    <row r="371" spans="1:8" x14ac:dyDescent="0.25">
      <c r="A371">
        <v>8378563200</v>
      </c>
      <c r="B371" s="8">
        <v>42477</v>
      </c>
      <c r="C371">
        <v>2</v>
      </c>
      <c r="D371">
        <v>525</v>
      </c>
      <c r="E371">
        <v>591</v>
      </c>
      <c r="F371">
        <v>8.75</v>
      </c>
      <c r="G371" t="str">
        <f t="shared" si="10"/>
        <v>Sunday</v>
      </c>
      <c r="H371">
        <f t="shared" si="11"/>
        <v>0.8883248730964467</v>
      </c>
    </row>
    <row r="372" spans="1:8" x14ac:dyDescent="0.25">
      <c r="A372">
        <v>8378563200</v>
      </c>
      <c r="B372" s="8">
        <v>42478</v>
      </c>
      <c r="C372">
        <v>1</v>
      </c>
      <c r="D372">
        <v>398</v>
      </c>
      <c r="E372">
        <v>451</v>
      </c>
      <c r="F372">
        <v>6.6333333333333337</v>
      </c>
      <c r="G372" t="str">
        <f t="shared" si="10"/>
        <v>Monday</v>
      </c>
      <c r="H372">
        <f t="shared" si="11"/>
        <v>0.8824833702882483</v>
      </c>
    </row>
    <row r="373" spans="1:8" x14ac:dyDescent="0.25">
      <c r="A373">
        <v>8378563200</v>
      </c>
      <c r="B373" s="8">
        <v>42479</v>
      </c>
      <c r="C373">
        <v>1</v>
      </c>
      <c r="D373">
        <v>387</v>
      </c>
      <c r="E373">
        <v>421</v>
      </c>
      <c r="F373">
        <v>6.45</v>
      </c>
      <c r="G373" t="str">
        <f t="shared" si="10"/>
        <v>Tuesday</v>
      </c>
      <c r="H373">
        <f t="shared" si="11"/>
        <v>0.91923990498812347</v>
      </c>
    </row>
    <row r="374" spans="1:8" x14ac:dyDescent="0.25">
      <c r="A374">
        <v>8378563200</v>
      </c>
      <c r="B374" s="8">
        <v>42480</v>
      </c>
      <c r="C374">
        <v>1</v>
      </c>
      <c r="D374">
        <v>381</v>
      </c>
      <c r="E374">
        <v>409</v>
      </c>
      <c r="F374">
        <v>6.35</v>
      </c>
      <c r="G374" t="str">
        <f t="shared" si="10"/>
        <v>Wednesday</v>
      </c>
      <c r="H374">
        <f t="shared" si="11"/>
        <v>0.93154034229828853</v>
      </c>
    </row>
    <row r="375" spans="1:8" x14ac:dyDescent="0.25">
      <c r="A375">
        <v>8378563200</v>
      </c>
      <c r="B375" s="8">
        <v>42481</v>
      </c>
      <c r="C375">
        <v>1</v>
      </c>
      <c r="D375">
        <v>396</v>
      </c>
      <c r="E375">
        <v>417</v>
      </c>
      <c r="F375">
        <v>6.6</v>
      </c>
      <c r="G375" t="str">
        <f t="shared" si="10"/>
        <v>Thursday</v>
      </c>
      <c r="H375">
        <f t="shared" si="11"/>
        <v>0.94964028776978415</v>
      </c>
    </row>
    <row r="376" spans="1:8" x14ac:dyDescent="0.25">
      <c r="A376">
        <v>8378563200</v>
      </c>
      <c r="B376" s="8">
        <v>42482</v>
      </c>
      <c r="C376">
        <v>1</v>
      </c>
      <c r="D376">
        <v>441</v>
      </c>
      <c r="E376">
        <v>469</v>
      </c>
      <c r="F376">
        <v>7.35</v>
      </c>
      <c r="G376" t="str">
        <f t="shared" si="10"/>
        <v>Friday</v>
      </c>
      <c r="H376">
        <f t="shared" si="11"/>
        <v>0.94029850746268662</v>
      </c>
    </row>
    <row r="377" spans="1:8" x14ac:dyDescent="0.25">
      <c r="A377">
        <v>8378563200</v>
      </c>
      <c r="B377" s="8">
        <v>42483</v>
      </c>
      <c r="C377">
        <v>1</v>
      </c>
      <c r="D377">
        <v>565</v>
      </c>
      <c r="E377">
        <v>591</v>
      </c>
      <c r="F377">
        <v>9.4166666666666661</v>
      </c>
      <c r="G377" t="str">
        <f t="shared" si="10"/>
        <v>Saturday</v>
      </c>
      <c r="H377">
        <f t="shared" si="11"/>
        <v>0.95600676818950936</v>
      </c>
    </row>
    <row r="378" spans="1:8" x14ac:dyDescent="0.25">
      <c r="A378">
        <v>8378563200</v>
      </c>
      <c r="B378" s="8">
        <v>42484</v>
      </c>
      <c r="C378">
        <v>1</v>
      </c>
      <c r="D378">
        <v>458</v>
      </c>
      <c r="E378">
        <v>492</v>
      </c>
      <c r="F378">
        <v>7.6333333333333337</v>
      </c>
      <c r="G378" t="str">
        <f t="shared" si="10"/>
        <v>Sunday</v>
      </c>
      <c r="H378">
        <f t="shared" si="11"/>
        <v>0.93089430894308944</v>
      </c>
    </row>
    <row r="379" spans="1:8" x14ac:dyDescent="0.25">
      <c r="A379">
        <v>8378563200</v>
      </c>
      <c r="B379" s="8">
        <v>42485</v>
      </c>
      <c r="C379">
        <v>1</v>
      </c>
      <c r="D379">
        <v>388</v>
      </c>
      <c r="E379">
        <v>402</v>
      </c>
      <c r="F379">
        <v>6.4666666666666668</v>
      </c>
      <c r="G379" t="str">
        <f t="shared" si="10"/>
        <v>Monday</v>
      </c>
      <c r="H379">
        <f t="shared" si="11"/>
        <v>0.96517412935323388</v>
      </c>
    </row>
    <row r="380" spans="1:8" x14ac:dyDescent="0.25">
      <c r="A380">
        <v>8378563200</v>
      </c>
      <c r="B380" s="8">
        <v>42486</v>
      </c>
      <c r="C380">
        <v>1</v>
      </c>
      <c r="D380">
        <v>550</v>
      </c>
      <c r="E380">
        <v>584</v>
      </c>
      <c r="F380">
        <v>9.1666666666666661</v>
      </c>
      <c r="G380" t="str">
        <f t="shared" si="10"/>
        <v>Tuesday</v>
      </c>
      <c r="H380">
        <f t="shared" si="11"/>
        <v>0.94178082191780821</v>
      </c>
    </row>
    <row r="381" spans="1:8" x14ac:dyDescent="0.25">
      <c r="A381">
        <v>8378563200</v>
      </c>
      <c r="B381" s="8">
        <v>42487</v>
      </c>
      <c r="C381">
        <v>1</v>
      </c>
      <c r="D381">
        <v>531</v>
      </c>
      <c r="E381">
        <v>600</v>
      </c>
      <c r="F381">
        <v>8.85</v>
      </c>
      <c r="G381" t="str">
        <f t="shared" si="10"/>
        <v>Wednesday</v>
      </c>
      <c r="H381">
        <f t="shared" si="11"/>
        <v>0.88500000000000001</v>
      </c>
    </row>
    <row r="382" spans="1:8" x14ac:dyDescent="0.25">
      <c r="A382">
        <v>8378563200</v>
      </c>
      <c r="B382" s="8">
        <v>42488</v>
      </c>
      <c r="C382">
        <v>1</v>
      </c>
      <c r="D382">
        <v>506</v>
      </c>
      <c r="E382">
        <v>556</v>
      </c>
      <c r="F382">
        <v>8.4333333333333336</v>
      </c>
      <c r="G382" t="str">
        <f t="shared" si="10"/>
        <v>Thursday</v>
      </c>
      <c r="H382">
        <f t="shared" si="11"/>
        <v>0.91007194244604317</v>
      </c>
    </row>
    <row r="383" spans="1:8" x14ac:dyDescent="0.25">
      <c r="A383">
        <v>8378563200</v>
      </c>
      <c r="B383" s="8">
        <v>42489</v>
      </c>
      <c r="C383">
        <v>1</v>
      </c>
      <c r="D383">
        <v>527</v>
      </c>
      <c r="E383">
        <v>562</v>
      </c>
      <c r="F383">
        <v>8.7833333333333332</v>
      </c>
      <c r="G383" t="str">
        <f t="shared" si="10"/>
        <v>Friday</v>
      </c>
      <c r="H383">
        <f t="shared" si="11"/>
        <v>0.93772241992882566</v>
      </c>
    </row>
    <row r="384" spans="1:8" x14ac:dyDescent="0.25">
      <c r="A384">
        <v>8378563200</v>
      </c>
      <c r="B384" s="8">
        <v>42490</v>
      </c>
      <c r="C384">
        <v>1</v>
      </c>
      <c r="D384">
        <v>468</v>
      </c>
      <c r="E384">
        <v>555</v>
      </c>
      <c r="F384">
        <v>7.8</v>
      </c>
      <c r="G384" t="str">
        <f t="shared" si="10"/>
        <v>Saturday</v>
      </c>
      <c r="H384">
        <f t="shared" si="11"/>
        <v>0.84324324324324329</v>
      </c>
    </row>
    <row r="385" spans="1:8" x14ac:dyDescent="0.25">
      <c r="A385">
        <v>8378563200</v>
      </c>
      <c r="B385" s="8">
        <v>42491</v>
      </c>
      <c r="C385">
        <v>1</v>
      </c>
      <c r="D385">
        <v>475</v>
      </c>
      <c r="E385">
        <v>539</v>
      </c>
      <c r="F385">
        <v>7.916666666666667</v>
      </c>
      <c r="G385" t="str">
        <f t="shared" si="10"/>
        <v>Sunday</v>
      </c>
      <c r="H385">
        <f t="shared" si="11"/>
        <v>0.88126159554730987</v>
      </c>
    </row>
    <row r="386" spans="1:8" x14ac:dyDescent="0.25">
      <c r="A386">
        <v>8378563200</v>
      </c>
      <c r="B386" s="8">
        <v>42492</v>
      </c>
      <c r="C386">
        <v>1</v>
      </c>
      <c r="D386">
        <v>351</v>
      </c>
      <c r="E386">
        <v>385</v>
      </c>
      <c r="F386">
        <v>5.85</v>
      </c>
      <c r="G386" t="str">
        <f t="shared" ref="G386:G411" si="12">TEXT(B386,"dddd")</f>
        <v>Monday</v>
      </c>
      <c r="H386">
        <f t="shared" ref="H386:H411" si="13">D386/E386</f>
        <v>0.91168831168831166</v>
      </c>
    </row>
    <row r="387" spans="1:8" x14ac:dyDescent="0.25">
      <c r="A387">
        <v>8378563200</v>
      </c>
      <c r="B387" s="8">
        <v>42493</v>
      </c>
      <c r="C387">
        <v>1</v>
      </c>
      <c r="D387">
        <v>405</v>
      </c>
      <c r="E387">
        <v>429</v>
      </c>
      <c r="F387">
        <v>6.75</v>
      </c>
      <c r="G387" t="str">
        <f t="shared" si="12"/>
        <v>Tuesday</v>
      </c>
      <c r="H387">
        <f t="shared" si="13"/>
        <v>0.94405594405594406</v>
      </c>
    </row>
    <row r="388" spans="1:8" x14ac:dyDescent="0.25">
      <c r="A388">
        <v>8378563200</v>
      </c>
      <c r="B388" s="8">
        <v>42494</v>
      </c>
      <c r="C388">
        <v>1</v>
      </c>
      <c r="D388">
        <v>441</v>
      </c>
      <c r="E388">
        <v>477</v>
      </c>
      <c r="F388">
        <v>7.35</v>
      </c>
      <c r="G388" t="str">
        <f t="shared" si="12"/>
        <v>Wednesday</v>
      </c>
      <c r="H388">
        <f t="shared" si="13"/>
        <v>0.92452830188679247</v>
      </c>
    </row>
    <row r="389" spans="1:8" x14ac:dyDescent="0.25">
      <c r="A389">
        <v>8378563200</v>
      </c>
      <c r="B389" s="8">
        <v>42495</v>
      </c>
      <c r="C389">
        <v>1</v>
      </c>
      <c r="D389">
        <v>381</v>
      </c>
      <c r="E389">
        <v>417</v>
      </c>
      <c r="F389">
        <v>6.35</v>
      </c>
      <c r="G389" t="str">
        <f t="shared" si="12"/>
        <v>Thursday</v>
      </c>
      <c r="H389">
        <f t="shared" si="13"/>
        <v>0.91366906474820142</v>
      </c>
    </row>
    <row r="390" spans="1:8" x14ac:dyDescent="0.25">
      <c r="A390">
        <v>8378563200</v>
      </c>
      <c r="B390" s="8">
        <v>42496</v>
      </c>
      <c r="C390">
        <v>1</v>
      </c>
      <c r="D390">
        <v>323</v>
      </c>
      <c r="E390">
        <v>355</v>
      </c>
      <c r="F390">
        <v>5.3833333333333337</v>
      </c>
      <c r="G390" t="str">
        <f t="shared" si="12"/>
        <v>Friday</v>
      </c>
      <c r="H390">
        <f t="shared" si="13"/>
        <v>0.90985915492957747</v>
      </c>
    </row>
    <row r="391" spans="1:8" x14ac:dyDescent="0.25">
      <c r="A391">
        <v>8378563200</v>
      </c>
      <c r="B391" s="8">
        <v>42497</v>
      </c>
      <c r="C391">
        <v>2</v>
      </c>
      <c r="D391">
        <v>459</v>
      </c>
      <c r="E391">
        <v>513</v>
      </c>
      <c r="F391">
        <v>7.65</v>
      </c>
      <c r="G391" t="str">
        <f t="shared" si="12"/>
        <v>Saturday</v>
      </c>
      <c r="H391">
        <f t="shared" si="13"/>
        <v>0.89473684210526316</v>
      </c>
    </row>
    <row r="392" spans="1:8" x14ac:dyDescent="0.25">
      <c r="A392">
        <v>8378563200</v>
      </c>
      <c r="B392" s="8">
        <v>42498</v>
      </c>
      <c r="C392">
        <v>1</v>
      </c>
      <c r="D392">
        <v>545</v>
      </c>
      <c r="E392">
        <v>606</v>
      </c>
      <c r="F392">
        <v>9.0833333333333339</v>
      </c>
      <c r="G392" t="str">
        <f t="shared" si="12"/>
        <v>Sunday</v>
      </c>
      <c r="H392">
        <f t="shared" si="13"/>
        <v>0.89933993399339929</v>
      </c>
    </row>
    <row r="393" spans="1:8" x14ac:dyDescent="0.25">
      <c r="A393">
        <v>8378563200</v>
      </c>
      <c r="B393" s="8">
        <v>42499</v>
      </c>
      <c r="C393">
        <v>1</v>
      </c>
      <c r="D393">
        <v>359</v>
      </c>
      <c r="E393">
        <v>399</v>
      </c>
      <c r="F393">
        <v>5.9833333333333334</v>
      </c>
      <c r="G393" t="str">
        <f t="shared" si="12"/>
        <v>Monday</v>
      </c>
      <c r="H393">
        <f t="shared" si="13"/>
        <v>0.89974937343358397</v>
      </c>
    </row>
    <row r="394" spans="1:8" x14ac:dyDescent="0.25">
      <c r="A394">
        <v>8378563200</v>
      </c>
      <c r="B394" s="8">
        <v>42500</v>
      </c>
      <c r="C394">
        <v>1</v>
      </c>
      <c r="D394">
        <v>342</v>
      </c>
      <c r="E394">
        <v>391</v>
      </c>
      <c r="F394">
        <v>5.7</v>
      </c>
      <c r="G394" t="str">
        <f t="shared" si="12"/>
        <v>Tuesday</v>
      </c>
      <c r="H394">
        <f t="shared" si="13"/>
        <v>0.8746803069053708</v>
      </c>
    </row>
    <row r="395" spans="1:8" x14ac:dyDescent="0.25">
      <c r="A395">
        <v>8378563200</v>
      </c>
      <c r="B395" s="8">
        <v>42501</v>
      </c>
      <c r="C395">
        <v>1</v>
      </c>
      <c r="D395">
        <v>368</v>
      </c>
      <c r="E395">
        <v>387</v>
      </c>
      <c r="F395">
        <v>6.1333333333333337</v>
      </c>
      <c r="G395" t="str">
        <f t="shared" si="12"/>
        <v>Wednesday</v>
      </c>
      <c r="H395">
        <f t="shared" si="13"/>
        <v>0.95090439276485783</v>
      </c>
    </row>
    <row r="396" spans="1:8" x14ac:dyDescent="0.25">
      <c r="A396">
        <v>8378563200</v>
      </c>
      <c r="B396" s="8">
        <v>42502</v>
      </c>
      <c r="C396">
        <v>1</v>
      </c>
      <c r="D396">
        <v>496</v>
      </c>
      <c r="E396">
        <v>546</v>
      </c>
      <c r="F396">
        <v>8.2666666666666675</v>
      </c>
      <c r="G396" t="str">
        <f t="shared" si="12"/>
        <v>Thursday</v>
      </c>
      <c r="H396">
        <f t="shared" si="13"/>
        <v>0.90842490842490842</v>
      </c>
    </row>
    <row r="397" spans="1:8" x14ac:dyDescent="0.25">
      <c r="A397">
        <v>8792009665</v>
      </c>
      <c r="B397" s="8">
        <v>42472</v>
      </c>
      <c r="C397">
        <v>1</v>
      </c>
      <c r="D397">
        <v>458</v>
      </c>
      <c r="E397">
        <v>493</v>
      </c>
      <c r="F397">
        <v>7.6333333333333337</v>
      </c>
      <c r="G397" t="str">
        <f t="shared" si="12"/>
        <v>Tuesday</v>
      </c>
      <c r="H397">
        <f t="shared" si="13"/>
        <v>0.92900608519269778</v>
      </c>
    </row>
    <row r="398" spans="1:8" x14ac:dyDescent="0.25">
      <c r="A398">
        <v>8792009665</v>
      </c>
      <c r="B398" s="8">
        <v>42473</v>
      </c>
      <c r="C398">
        <v>1</v>
      </c>
      <c r="D398">
        <v>531</v>
      </c>
      <c r="E398">
        <v>552</v>
      </c>
      <c r="F398">
        <v>8.85</v>
      </c>
      <c r="G398" t="str">
        <f t="shared" si="12"/>
        <v>Wednesday</v>
      </c>
      <c r="H398">
        <f t="shared" si="13"/>
        <v>0.96195652173913049</v>
      </c>
    </row>
    <row r="399" spans="1:8" x14ac:dyDescent="0.25">
      <c r="A399">
        <v>8792009665</v>
      </c>
      <c r="B399" s="8">
        <v>42474</v>
      </c>
      <c r="C399">
        <v>1</v>
      </c>
      <c r="D399">
        <v>486</v>
      </c>
      <c r="E399">
        <v>503</v>
      </c>
      <c r="F399">
        <v>8.1</v>
      </c>
      <c r="G399" t="str">
        <f t="shared" si="12"/>
        <v>Thursday</v>
      </c>
      <c r="H399">
        <f t="shared" si="13"/>
        <v>0.96620278330019882</v>
      </c>
    </row>
    <row r="400" spans="1:8" x14ac:dyDescent="0.25">
      <c r="A400">
        <v>8792009665</v>
      </c>
      <c r="B400" s="8">
        <v>42475</v>
      </c>
      <c r="C400">
        <v>1</v>
      </c>
      <c r="D400">
        <v>363</v>
      </c>
      <c r="E400">
        <v>377</v>
      </c>
      <c r="F400">
        <v>6.05</v>
      </c>
      <c r="G400" t="str">
        <f t="shared" si="12"/>
        <v>Friday</v>
      </c>
      <c r="H400">
        <f t="shared" si="13"/>
        <v>0.96286472148541113</v>
      </c>
    </row>
    <row r="401" spans="1:8" x14ac:dyDescent="0.25">
      <c r="A401">
        <v>8792009665</v>
      </c>
      <c r="B401" s="8">
        <v>42480</v>
      </c>
      <c r="C401">
        <v>1</v>
      </c>
      <c r="D401">
        <v>528</v>
      </c>
      <c r="E401">
        <v>547</v>
      </c>
      <c r="F401">
        <v>8.8000000000000007</v>
      </c>
      <c r="G401" t="str">
        <f t="shared" si="12"/>
        <v>Wednesday</v>
      </c>
      <c r="H401">
        <f t="shared" si="13"/>
        <v>0.96526508226691043</v>
      </c>
    </row>
    <row r="402" spans="1:8" x14ac:dyDescent="0.25">
      <c r="A402">
        <v>8792009665</v>
      </c>
      <c r="B402" s="8">
        <v>42482</v>
      </c>
      <c r="C402">
        <v>1</v>
      </c>
      <c r="D402">
        <v>391</v>
      </c>
      <c r="E402">
        <v>407</v>
      </c>
      <c r="F402">
        <v>6.5166666666666666</v>
      </c>
      <c r="G402" t="str">
        <f t="shared" si="12"/>
        <v>Friday</v>
      </c>
      <c r="H402">
        <f t="shared" si="13"/>
        <v>0.9606879606879607</v>
      </c>
    </row>
    <row r="403" spans="1:8" x14ac:dyDescent="0.25">
      <c r="A403">
        <v>8792009665</v>
      </c>
      <c r="B403" s="8">
        <v>42483</v>
      </c>
      <c r="C403">
        <v>1</v>
      </c>
      <c r="D403">
        <v>339</v>
      </c>
      <c r="E403">
        <v>360</v>
      </c>
      <c r="F403">
        <v>5.65</v>
      </c>
      <c r="G403" t="str">
        <f t="shared" si="12"/>
        <v>Saturday</v>
      </c>
      <c r="H403">
        <f t="shared" si="13"/>
        <v>0.94166666666666665</v>
      </c>
    </row>
    <row r="404" spans="1:8" x14ac:dyDescent="0.25">
      <c r="A404">
        <v>8792009665</v>
      </c>
      <c r="B404" s="8">
        <v>42487</v>
      </c>
      <c r="C404">
        <v>1</v>
      </c>
      <c r="D404">
        <v>423</v>
      </c>
      <c r="E404">
        <v>428</v>
      </c>
      <c r="F404">
        <v>7.05</v>
      </c>
      <c r="G404" t="str">
        <f t="shared" si="12"/>
        <v>Wednesday</v>
      </c>
      <c r="H404">
        <f t="shared" si="13"/>
        <v>0.98831775700934577</v>
      </c>
    </row>
    <row r="405" spans="1:8" x14ac:dyDescent="0.25">
      <c r="A405">
        <v>8792009665</v>
      </c>
      <c r="B405" s="8">
        <v>42488</v>
      </c>
      <c r="C405">
        <v>1</v>
      </c>
      <c r="D405">
        <v>402</v>
      </c>
      <c r="E405">
        <v>416</v>
      </c>
      <c r="F405">
        <v>6.7</v>
      </c>
      <c r="G405" t="str">
        <f t="shared" si="12"/>
        <v>Thursday</v>
      </c>
      <c r="H405">
        <f t="shared" si="13"/>
        <v>0.96634615384615385</v>
      </c>
    </row>
    <row r="406" spans="1:8" x14ac:dyDescent="0.25">
      <c r="A406">
        <v>8792009665</v>
      </c>
      <c r="B406" s="8">
        <v>42489</v>
      </c>
      <c r="C406">
        <v>1</v>
      </c>
      <c r="D406">
        <v>398</v>
      </c>
      <c r="E406">
        <v>406</v>
      </c>
      <c r="F406">
        <v>6.6333333333333337</v>
      </c>
      <c r="G406" t="str">
        <f t="shared" si="12"/>
        <v>Friday</v>
      </c>
      <c r="H406">
        <f t="shared" si="13"/>
        <v>0.98029556650246308</v>
      </c>
    </row>
    <row r="407" spans="1:8" x14ac:dyDescent="0.25">
      <c r="A407">
        <v>8792009665</v>
      </c>
      <c r="B407" s="8">
        <v>42490</v>
      </c>
      <c r="C407">
        <v>1</v>
      </c>
      <c r="D407">
        <v>343</v>
      </c>
      <c r="E407">
        <v>360</v>
      </c>
      <c r="F407">
        <v>5.7166666666666668</v>
      </c>
      <c r="G407" t="str">
        <f t="shared" si="12"/>
        <v>Saturday</v>
      </c>
      <c r="H407">
        <f t="shared" si="13"/>
        <v>0.95277777777777772</v>
      </c>
    </row>
    <row r="408" spans="1:8" x14ac:dyDescent="0.25">
      <c r="A408">
        <v>8792009665</v>
      </c>
      <c r="B408" s="8">
        <v>42491</v>
      </c>
      <c r="C408">
        <v>1</v>
      </c>
      <c r="D408">
        <v>503</v>
      </c>
      <c r="E408">
        <v>527</v>
      </c>
      <c r="F408">
        <v>8.3833333333333329</v>
      </c>
      <c r="G408" t="str">
        <f t="shared" si="12"/>
        <v>Sunday</v>
      </c>
      <c r="H408">
        <f t="shared" si="13"/>
        <v>0.95445920303605314</v>
      </c>
    </row>
    <row r="409" spans="1:8" x14ac:dyDescent="0.25">
      <c r="A409">
        <v>8792009665</v>
      </c>
      <c r="B409" s="8">
        <v>42492</v>
      </c>
      <c r="C409">
        <v>1</v>
      </c>
      <c r="D409">
        <v>415</v>
      </c>
      <c r="E409">
        <v>423</v>
      </c>
      <c r="F409">
        <v>6.916666666666667</v>
      </c>
      <c r="G409" t="str">
        <f t="shared" si="12"/>
        <v>Monday</v>
      </c>
      <c r="H409">
        <f t="shared" si="13"/>
        <v>0.98108747044917255</v>
      </c>
    </row>
    <row r="410" spans="1:8" x14ac:dyDescent="0.25">
      <c r="A410">
        <v>8792009665</v>
      </c>
      <c r="B410" s="8">
        <v>42493</v>
      </c>
      <c r="C410">
        <v>1</v>
      </c>
      <c r="D410">
        <v>516</v>
      </c>
      <c r="E410">
        <v>545</v>
      </c>
      <c r="F410">
        <v>8.6</v>
      </c>
      <c r="G410" t="str">
        <f t="shared" si="12"/>
        <v>Tuesday</v>
      </c>
      <c r="H410">
        <f t="shared" si="13"/>
        <v>0.94678899082568813</v>
      </c>
    </row>
    <row r="411" spans="1:8" x14ac:dyDescent="0.25">
      <c r="A411">
        <v>8792009665</v>
      </c>
      <c r="B411" s="8">
        <v>42494</v>
      </c>
      <c r="C411">
        <v>1</v>
      </c>
      <c r="D411">
        <v>439</v>
      </c>
      <c r="E411">
        <v>463</v>
      </c>
      <c r="F411">
        <v>7.3166666666666664</v>
      </c>
      <c r="G411" t="str">
        <f t="shared" si="12"/>
        <v>Wednesday</v>
      </c>
      <c r="H411">
        <f t="shared" si="13"/>
        <v>0.94816414686825057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3329-7DDB-46E2-A47A-C4A8E8638FF7}">
  <dimension ref="A3:B8"/>
  <sheetViews>
    <sheetView workbookViewId="0">
      <selection activeCell="A3" sqref="A3"/>
    </sheetView>
  </sheetViews>
  <sheetFormatPr defaultRowHeight="13.8" x14ac:dyDescent="0.25"/>
  <cols>
    <col min="1" max="1" width="13.09765625" bestFit="1" customWidth="1"/>
    <col min="2" max="2" width="21.59765625" bestFit="1" customWidth="1"/>
  </cols>
  <sheetData>
    <row r="3" spans="1:2" x14ac:dyDescent="0.25">
      <c r="A3" s="6" t="s">
        <v>19</v>
      </c>
      <c r="B3" t="s">
        <v>39</v>
      </c>
    </row>
    <row r="4" spans="1:2" x14ac:dyDescent="0.25">
      <c r="A4" s="7" t="s">
        <v>28</v>
      </c>
      <c r="B4" s="11">
        <v>163</v>
      </c>
    </row>
    <row r="5" spans="1:2" x14ac:dyDescent="0.25">
      <c r="A5" s="7" t="s">
        <v>29</v>
      </c>
      <c r="B5" s="11">
        <v>171</v>
      </c>
    </row>
    <row r="6" spans="1:2" x14ac:dyDescent="0.25">
      <c r="A6" s="7" t="s">
        <v>30</v>
      </c>
      <c r="B6" s="11">
        <v>303</v>
      </c>
    </row>
    <row r="7" spans="1:2" x14ac:dyDescent="0.25">
      <c r="A7" s="7" t="s">
        <v>31</v>
      </c>
      <c r="B7" s="11">
        <v>303</v>
      </c>
    </row>
    <row r="8" spans="1:2" x14ac:dyDescent="0.25">
      <c r="A8" s="7" t="s">
        <v>27</v>
      </c>
      <c r="B8" s="11">
        <v>940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2D72-AABF-4031-8C6C-8D64E1A1A642}">
  <dimension ref="A3:B11"/>
  <sheetViews>
    <sheetView workbookViewId="0">
      <selection activeCell="A3" sqref="A3"/>
    </sheetView>
  </sheetViews>
  <sheetFormatPr defaultRowHeight="13.8" x14ac:dyDescent="0.25"/>
  <cols>
    <col min="1" max="1" width="13.09765625" bestFit="1" customWidth="1"/>
    <col min="2" max="2" width="29.3984375" bestFit="1" customWidth="1"/>
  </cols>
  <sheetData>
    <row r="3" spans="1:2" x14ac:dyDescent="0.25">
      <c r="A3" s="6" t="s">
        <v>19</v>
      </c>
      <c r="B3" t="s">
        <v>41</v>
      </c>
    </row>
    <row r="4" spans="1:2" x14ac:dyDescent="0.25">
      <c r="A4" s="7" t="s">
        <v>20</v>
      </c>
      <c r="B4" s="11">
        <v>20.682539682539684</v>
      </c>
    </row>
    <row r="5" spans="1:2" x14ac:dyDescent="0.25">
      <c r="A5" s="7" t="s">
        <v>21</v>
      </c>
      <c r="B5" s="11">
        <v>21.383928571428573</v>
      </c>
    </row>
    <row r="6" spans="1:2" x14ac:dyDescent="0.25">
      <c r="A6" s="7" t="s">
        <v>22</v>
      </c>
      <c r="B6" s="11">
        <v>20.282894736842106</v>
      </c>
    </row>
    <row r="7" spans="1:2" x14ac:dyDescent="0.25">
      <c r="A7" s="7" t="s">
        <v>23</v>
      </c>
      <c r="B7" s="11">
        <v>23.016260162601625</v>
      </c>
    </row>
    <row r="8" spans="1:2" x14ac:dyDescent="0.25">
      <c r="A8" s="7" t="s">
        <v>24</v>
      </c>
      <c r="B8" s="11">
        <v>21.944444444444443</v>
      </c>
    </row>
    <row r="9" spans="1:2" x14ac:dyDescent="0.25">
      <c r="A9" s="7" t="s">
        <v>25</v>
      </c>
      <c r="B9" s="11">
        <v>18.705882352941178</v>
      </c>
    </row>
    <row r="10" spans="1:2" x14ac:dyDescent="0.25">
      <c r="A10" s="7" t="s">
        <v>26</v>
      </c>
      <c r="B10" s="11">
        <v>22.655405405405407</v>
      </c>
    </row>
    <row r="11" spans="1:2" x14ac:dyDescent="0.25">
      <c r="A11" s="7" t="s">
        <v>27</v>
      </c>
      <c r="B11" s="11">
        <v>21.164893617021278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2370-BC57-4A34-B722-6949CC1E5793}">
  <dimension ref="A1:S942"/>
  <sheetViews>
    <sheetView zoomScale="70" zoomScaleNormal="70" workbookViewId="0">
      <selection sqref="A1:XFD1048576"/>
    </sheetView>
  </sheetViews>
  <sheetFormatPr defaultColWidth="13.5" defaultRowHeight="13.8" x14ac:dyDescent="0.25"/>
  <cols>
    <col min="2" max="2" width="30.3984375" style="4" customWidth="1"/>
  </cols>
  <sheetData>
    <row r="1" spans="1:19" ht="18.600000000000001" customHeight="1" x14ac:dyDescent="0.25">
      <c r="A1" t="s">
        <v>0</v>
      </c>
      <c r="B1" s="4"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3">
        <v>1503960366</v>
      </c>
      <c r="B2" s="5">
        <v>42709</v>
      </c>
      <c r="C2" s="3">
        <v>0</v>
      </c>
      <c r="D2" s="2">
        <v>0</v>
      </c>
      <c r="E2" s="2">
        <v>0</v>
      </c>
      <c r="F2" s="2">
        <v>0</v>
      </c>
      <c r="G2" s="2">
        <v>0</v>
      </c>
      <c r="H2" s="2">
        <v>0</v>
      </c>
      <c r="I2" s="2">
        <v>0</v>
      </c>
      <c r="J2" s="2">
        <v>0</v>
      </c>
      <c r="K2" s="3">
        <v>0</v>
      </c>
      <c r="L2" s="3">
        <v>0</v>
      </c>
      <c r="M2" s="3">
        <v>0</v>
      </c>
      <c r="N2" s="3">
        <v>1440</v>
      </c>
      <c r="O2" s="3">
        <v>0</v>
      </c>
      <c r="P2" s="3" t="str">
        <f t="shared" ref="P2:P65" si="0">TEXT(B2,"dddd")</f>
        <v>Monday</v>
      </c>
      <c r="Q2" s="3">
        <f t="shared" ref="Q2:Q65" si="1">SUM(K2:N2)</f>
        <v>1440</v>
      </c>
      <c r="R2" s="3" t="str">
        <f t="shared" ref="R2:R65" si="2">IF(WEEKDAY(B2,2)&lt;=5,"Weekday","Weekend")</f>
        <v>Weekday</v>
      </c>
      <c r="S2" s="3" t="str">
        <f t="shared" ref="S2:S65" si="3">IF(C2&lt;5000,"Sedentary",IF(C2&lt;7500,"Lightly Active",IF(C2&lt;10000,"Fairly Active","Very_Active")))</f>
        <v>Sedentary</v>
      </c>
    </row>
    <row r="3" spans="1:19" x14ac:dyDescent="0.25">
      <c r="A3" s="3">
        <v>6290855005</v>
      </c>
      <c r="B3" s="5">
        <v>42648</v>
      </c>
      <c r="C3" s="3">
        <v>0</v>
      </c>
      <c r="D3" s="2">
        <v>0</v>
      </c>
      <c r="E3" s="2">
        <v>0</v>
      </c>
      <c r="F3" s="2">
        <v>0</v>
      </c>
      <c r="G3" s="2">
        <v>0</v>
      </c>
      <c r="H3" s="2">
        <v>0</v>
      </c>
      <c r="I3" s="2">
        <v>0</v>
      </c>
      <c r="J3" s="2">
        <v>0</v>
      </c>
      <c r="K3" s="3">
        <v>0</v>
      </c>
      <c r="L3" s="3">
        <v>0</v>
      </c>
      <c r="M3" s="3">
        <v>0</v>
      </c>
      <c r="N3" s="3">
        <v>1440</v>
      </c>
      <c r="O3" s="3">
        <v>0</v>
      </c>
      <c r="P3" s="3" t="str">
        <f t="shared" si="0"/>
        <v>Wednesday</v>
      </c>
      <c r="Q3" s="3">
        <f t="shared" si="1"/>
        <v>1440</v>
      </c>
      <c r="R3" s="3" t="str">
        <f t="shared" si="2"/>
        <v>Weekday</v>
      </c>
      <c r="S3" s="3" t="str">
        <f t="shared" si="3"/>
        <v>Sedentary</v>
      </c>
    </row>
    <row r="4" spans="1:19" x14ac:dyDescent="0.25">
      <c r="A4" s="3">
        <v>8253242879</v>
      </c>
      <c r="B4" s="5">
        <v>42490</v>
      </c>
      <c r="C4" s="3">
        <v>0</v>
      </c>
      <c r="D4" s="2">
        <v>0</v>
      </c>
      <c r="E4" s="2">
        <v>0</v>
      </c>
      <c r="F4" s="2">
        <v>0</v>
      </c>
      <c r="G4" s="2">
        <v>0</v>
      </c>
      <c r="H4" s="2">
        <v>0</v>
      </c>
      <c r="I4" s="2">
        <v>0</v>
      </c>
      <c r="J4" s="2">
        <v>0</v>
      </c>
      <c r="K4" s="3">
        <v>0</v>
      </c>
      <c r="L4" s="3">
        <v>0</v>
      </c>
      <c r="M4" s="3">
        <v>0</v>
      </c>
      <c r="N4" s="3">
        <v>1440</v>
      </c>
      <c r="O4" s="3">
        <v>0</v>
      </c>
      <c r="P4" s="3" t="str">
        <f t="shared" si="0"/>
        <v>Saturday</v>
      </c>
      <c r="Q4" s="3">
        <f t="shared" si="1"/>
        <v>1440</v>
      </c>
      <c r="R4" s="3" t="str">
        <f t="shared" si="2"/>
        <v>Weekend</v>
      </c>
      <c r="S4" s="3" t="str">
        <f t="shared" si="3"/>
        <v>Sedentary</v>
      </c>
    </row>
    <row r="5" spans="1:19" x14ac:dyDescent="0.25">
      <c r="A5" s="3">
        <v>8583815059</v>
      </c>
      <c r="B5" s="5">
        <v>42709</v>
      </c>
      <c r="C5" s="3">
        <v>0</v>
      </c>
      <c r="D5" s="2">
        <v>0</v>
      </c>
      <c r="E5" s="2">
        <v>0</v>
      </c>
      <c r="F5" s="2">
        <v>0</v>
      </c>
      <c r="G5" s="2">
        <v>0</v>
      </c>
      <c r="H5" s="2">
        <v>0</v>
      </c>
      <c r="I5" s="2">
        <v>0</v>
      </c>
      <c r="J5" s="2">
        <v>0</v>
      </c>
      <c r="K5" s="3">
        <v>0</v>
      </c>
      <c r="L5" s="3">
        <v>0</v>
      </c>
      <c r="M5" s="3">
        <v>0</v>
      </c>
      <c r="N5" s="3">
        <v>1440</v>
      </c>
      <c r="O5" s="3">
        <v>0</v>
      </c>
      <c r="P5" s="3" t="str">
        <f t="shared" si="0"/>
        <v>Monday</v>
      </c>
      <c r="Q5" s="3">
        <f t="shared" si="1"/>
        <v>1440</v>
      </c>
      <c r="R5" s="3" t="str">
        <f t="shared" si="2"/>
        <v>Weekday</v>
      </c>
      <c r="S5" s="3" t="str">
        <f t="shared" si="3"/>
        <v>Sedentary</v>
      </c>
    </row>
    <row r="6" spans="1:19" x14ac:dyDescent="0.25">
      <c r="A6">
        <v>3977333714</v>
      </c>
      <c r="B6" s="4">
        <v>42679</v>
      </c>
      <c r="C6">
        <v>746</v>
      </c>
      <c r="D6" s="1">
        <v>0.5</v>
      </c>
      <c r="E6" s="1">
        <v>0.5</v>
      </c>
      <c r="F6" s="1">
        <v>0</v>
      </c>
      <c r="G6" s="1">
        <v>0.37000000476837203</v>
      </c>
      <c r="H6" s="1">
        <v>0</v>
      </c>
      <c r="I6" s="1">
        <v>0.129999995231628</v>
      </c>
      <c r="J6" s="1">
        <v>0</v>
      </c>
      <c r="K6">
        <v>4</v>
      </c>
      <c r="L6">
        <v>0</v>
      </c>
      <c r="M6">
        <v>9</v>
      </c>
      <c r="N6">
        <v>13</v>
      </c>
      <c r="O6">
        <v>52</v>
      </c>
      <c r="P6" t="str">
        <f t="shared" si="0"/>
        <v>Saturday</v>
      </c>
      <c r="Q6">
        <f t="shared" si="1"/>
        <v>26</v>
      </c>
      <c r="R6" t="str">
        <f t="shared" si="2"/>
        <v>Weekend</v>
      </c>
      <c r="S6" t="str">
        <f t="shared" si="3"/>
        <v>Sedentary</v>
      </c>
    </row>
    <row r="7" spans="1:19" x14ac:dyDescent="0.25">
      <c r="A7">
        <v>8792009665</v>
      </c>
      <c r="B7" s="4">
        <v>42648</v>
      </c>
      <c r="C7">
        <v>0</v>
      </c>
      <c r="D7" s="1">
        <v>0</v>
      </c>
      <c r="E7" s="1">
        <v>0</v>
      </c>
      <c r="F7" s="1">
        <v>0</v>
      </c>
      <c r="G7" s="1">
        <v>0</v>
      </c>
      <c r="H7" s="1">
        <v>0</v>
      </c>
      <c r="I7" s="1">
        <v>0</v>
      </c>
      <c r="J7" s="1">
        <v>0</v>
      </c>
      <c r="K7">
        <v>0</v>
      </c>
      <c r="L7">
        <v>0</v>
      </c>
      <c r="M7">
        <v>0</v>
      </c>
      <c r="N7">
        <v>48</v>
      </c>
      <c r="O7">
        <v>57</v>
      </c>
      <c r="P7" t="str">
        <f t="shared" si="0"/>
        <v>Wednesday</v>
      </c>
      <c r="Q7">
        <f t="shared" si="1"/>
        <v>48</v>
      </c>
      <c r="R7" t="str">
        <f t="shared" si="2"/>
        <v>Weekday</v>
      </c>
      <c r="S7" t="str">
        <f t="shared" si="3"/>
        <v>Sedentary</v>
      </c>
    </row>
    <row r="8" spans="1:19" x14ac:dyDescent="0.25">
      <c r="A8">
        <v>7007744171</v>
      </c>
      <c r="B8" s="4">
        <v>42556</v>
      </c>
      <c r="C8">
        <v>0</v>
      </c>
      <c r="D8" s="1">
        <v>0</v>
      </c>
      <c r="E8" s="1">
        <v>0</v>
      </c>
      <c r="F8" s="1">
        <v>0</v>
      </c>
      <c r="G8" s="1">
        <v>0</v>
      </c>
      <c r="H8" s="1">
        <v>0</v>
      </c>
      <c r="I8" s="1">
        <v>0</v>
      </c>
      <c r="J8" s="1">
        <v>0</v>
      </c>
      <c r="K8">
        <v>0</v>
      </c>
      <c r="L8">
        <v>0</v>
      </c>
      <c r="M8">
        <v>0</v>
      </c>
      <c r="N8">
        <v>111</v>
      </c>
      <c r="O8">
        <v>120</v>
      </c>
      <c r="P8" t="str">
        <f t="shared" si="0"/>
        <v>Tuesday</v>
      </c>
      <c r="Q8">
        <f t="shared" si="1"/>
        <v>111</v>
      </c>
      <c r="R8" t="str">
        <f t="shared" si="2"/>
        <v>Weekday</v>
      </c>
      <c r="S8" t="str">
        <f t="shared" si="3"/>
        <v>Sedentary</v>
      </c>
    </row>
    <row r="9" spans="1:19" x14ac:dyDescent="0.25">
      <c r="A9">
        <v>4319703577</v>
      </c>
      <c r="B9" s="4">
        <v>42709</v>
      </c>
      <c r="C9">
        <v>17</v>
      </c>
      <c r="D9" s="1">
        <v>9.9999997764825804E-3</v>
      </c>
      <c r="E9" s="1">
        <v>9.9999997764825804E-3</v>
      </c>
      <c r="F9" s="1">
        <v>0</v>
      </c>
      <c r="G9" s="1">
        <v>0</v>
      </c>
      <c r="H9" s="1">
        <v>0</v>
      </c>
      <c r="I9" s="1">
        <v>9.9999997764825804E-3</v>
      </c>
      <c r="J9" s="1">
        <v>0</v>
      </c>
      <c r="K9">
        <v>0</v>
      </c>
      <c r="L9">
        <v>0</v>
      </c>
      <c r="M9">
        <v>2</v>
      </c>
      <c r="N9">
        <v>0</v>
      </c>
      <c r="O9">
        <v>257</v>
      </c>
      <c r="P9" t="str">
        <f t="shared" si="0"/>
        <v>Monday</v>
      </c>
      <c r="Q9">
        <f t="shared" si="1"/>
        <v>2</v>
      </c>
      <c r="R9" t="str">
        <f t="shared" si="2"/>
        <v>Weekday</v>
      </c>
      <c r="S9" t="str">
        <f t="shared" si="3"/>
        <v>Sedentary</v>
      </c>
    </row>
    <row r="10" spans="1:19" x14ac:dyDescent="0.25">
      <c r="A10">
        <v>2347167796</v>
      </c>
      <c r="B10" s="4">
        <v>42489</v>
      </c>
      <c r="C10">
        <v>42</v>
      </c>
      <c r="D10" s="1">
        <v>2.9999999329447701E-2</v>
      </c>
      <c r="E10" s="1">
        <v>2.9999999329447701E-2</v>
      </c>
      <c r="F10" s="1">
        <v>0</v>
      </c>
      <c r="G10" s="1">
        <v>0</v>
      </c>
      <c r="H10" s="1">
        <v>0</v>
      </c>
      <c r="I10" s="1">
        <v>2.9999999329447701E-2</v>
      </c>
      <c r="J10" s="1">
        <v>0</v>
      </c>
      <c r="K10">
        <v>0</v>
      </c>
      <c r="L10">
        <v>0</v>
      </c>
      <c r="M10">
        <v>4</v>
      </c>
      <c r="N10">
        <v>2</v>
      </c>
      <c r="O10">
        <v>403</v>
      </c>
      <c r="P10" t="str">
        <f t="shared" si="0"/>
        <v>Friday</v>
      </c>
      <c r="Q10">
        <f t="shared" si="1"/>
        <v>6</v>
      </c>
      <c r="R10" t="str">
        <f t="shared" si="2"/>
        <v>Weekday</v>
      </c>
      <c r="S10" t="str">
        <f t="shared" si="3"/>
        <v>Sedentary</v>
      </c>
    </row>
    <row r="11" spans="1:19" x14ac:dyDescent="0.25">
      <c r="A11">
        <v>1844505072</v>
      </c>
      <c r="B11" s="4">
        <v>42709</v>
      </c>
      <c r="C11">
        <v>0</v>
      </c>
      <c r="D11" s="1">
        <v>0</v>
      </c>
      <c r="E11" s="1">
        <v>0</v>
      </c>
      <c r="F11" s="1">
        <v>0</v>
      </c>
      <c r="G11" s="1">
        <v>0</v>
      </c>
      <c r="H11" s="1">
        <v>0</v>
      </c>
      <c r="I11" s="1">
        <v>0</v>
      </c>
      <c r="J11" s="1">
        <v>0</v>
      </c>
      <c r="K11">
        <v>0</v>
      </c>
      <c r="L11">
        <v>0</v>
      </c>
      <c r="M11">
        <v>0</v>
      </c>
      <c r="N11">
        <v>711</v>
      </c>
      <c r="O11">
        <v>665</v>
      </c>
      <c r="P11" t="str">
        <f t="shared" si="0"/>
        <v>Monday</v>
      </c>
      <c r="Q11">
        <f t="shared" si="1"/>
        <v>711</v>
      </c>
      <c r="R11" t="str">
        <f t="shared" si="2"/>
        <v>Weekday</v>
      </c>
      <c r="S11" t="str">
        <f t="shared" si="3"/>
        <v>Sedentary</v>
      </c>
    </row>
    <row r="12" spans="1:19" x14ac:dyDescent="0.25">
      <c r="A12">
        <v>5553957443</v>
      </c>
      <c r="B12" s="4">
        <v>42709</v>
      </c>
      <c r="C12">
        <v>3121</v>
      </c>
      <c r="D12" s="1">
        <v>2.03999996185303</v>
      </c>
      <c r="E12" s="1">
        <v>2.03999996185303</v>
      </c>
      <c r="F12" s="1">
        <v>0</v>
      </c>
      <c r="G12" s="1">
        <v>0.57999998331069902</v>
      </c>
      <c r="H12" s="1">
        <v>0.40000000596046398</v>
      </c>
      <c r="I12" s="1">
        <v>1.0599999427795399</v>
      </c>
      <c r="J12" s="1">
        <v>0</v>
      </c>
      <c r="K12">
        <v>8</v>
      </c>
      <c r="L12">
        <v>6</v>
      </c>
      <c r="M12">
        <v>48</v>
      </c>
      <c r="N12">
        <v>222</v>
      </c>
      <c r="O12">
        <v>741</v>
      </c>
      <c r="P12" t="str">
        <f t="shared" si="0"/>
        <v>Monday</v>
      </c>
      <c r="Q12">
        <f t="shared" si="1"/>
        <v>284</v>
      </c>
      <c r="R12" t="str">
        <f t="shared" si="2"/>
        <v>Weekday</v>
      </c>
      <c r="S12" t="str">
        <f t="shared" si="3"/>
        <v>Sedentary</v>
      </c>
    </row>
    <row r="13" spans="1:19" x14ac:dyDescent="0.25">
      <c r="A13">
        <v>6962181067</v>
      </c>
      <c r="B13" s="4">
        <v>42709</v>
      </c>
      <c r="C13">
        <v>3587</v>
      </c>
      <c r="D13" s="1">
        <v>2.3699998855590798</v>
      </c>
      <c r="E13" s="1">
        <v>2.3699998855590798</v>
      </c>
      <c r="F13" s="1">
        <v>0</v>
      </c>
      <c r="G13" s="1">
        <v>0</v>
      </c>
      <c r="H13" s="1">
        <v>0.25</v>
      </c>
      <c r="I13" s="1">
        <v>2.1099998950958301</v>
      </c>
      <c r="J13" s="1">
        <v>0</v>
      </c>
      <c r="K13">
        <v>0</v>
      </c>
      <c r="L13">
        <v>8</v>
      </c>
      <c r="M13">
        <v>105</v>
      </c>
      <c r="N13">
        <v>127</v>
      </c>
      <c r="O13">
        <v>928</v>
      </c>
      <c r="P13" t="str">
        <f t="shared" si="0"/>
        <v>Monday</v>
      </c>
      <c r="Q13">
        <f t="shared" si="1"/>
        <v>240</v>
      </c>
      <c r="R13" t="str">
        <f t="shared" si="2"/>
        <v>Weekday</v>
      </c>
      <c r="S13" t="str">
        <f t="shared" si="3"/>
        <v>Sedentary</v>
      </c>
    </row>
    <row r="14" spans="1:19" x14ac:dyDescent="0.25">
      <c r="A14">
        <v>1624580081</v>
      </c>
      <c r="B14" s="4">
        <v>42709</v>
      </c>
      <c r="C14">
        <v>2971</v>
      </c>
      <c r="D14" s="1">
        <v>1.9299999475479099</v>
      </c>
      <c r="E14" s="1">
        <v>1.9299999475479099</v>
      </c>
      <c r="F14" s="1">
        <v>0</v>
      </c>
      <c r="G14" s="1">
        <v>0</v>
      </c>
      <c r="H14" s="1">
        <v>0</v>
      </c>
      <c r="I14" s="1">
        <v>1.91999995708466</v>
      </c>
      <c r="J14" s="1">
        <v>9.9999997764825804E-3</v>
      </c>
      <c r="K14">
        <v>0</v>
      </c>
      <c r="L14">
        <v>0</v>
      </c>
      <c r="M14">
        <v>107</v>
      </c>
      <c r="N14">
        <v>890</v>
      </c>
      <c r="O14">
        <v>1002</v>
      </c>
      <c r="P14" t="str">
        <f t="shared" si="0"/>
        <v>Monday</v>
      </c>
      <c r="Q14">
        <f t="shared" si="1"/>
        <v>997</v>
      </c>
      <c r="R14" t="str">
        <f t="shared" si="2"/>
        <v>Weekday</v>
      </c>
      <c r="S14" t="str">
        <f t="shared" si="3"/>
        <v>Sedentary</v>
      </c>
    </row>
    <row r="15" spans="1:19" x14ac:dyDescent="0.25">
      <c r="A15">
        <v>6775888955</v>
      </c>
      <c r="B15" s="4">
        <v>42556</v>
      </c>
      <c r="C15">
        <v>1967</v>
      </c>
      <c r="D15" s="1">
        <v>1.4099999666214</v>
      </c>
      <c r="E15" s="1">
        <v>1.4099999666214</v>
      </c>
      <c r="F15" s="1">
        <v>0</v>
      </c>
      <c r="G15" s="1">
        <v>0.129999995231628</v>
      </c>
      <c r="H15" s="1">
        <v>0.239999994635582</v>
      </c>
      <c r="I15" s="1">
        <v>1.04999995231628</v>
      </c>
      <c r="J15" s="1">
        <v>0</v>
      </c>
      <c r="K15">
        <v>2</v>
      </c>
      <c r="L15">
        <v>5</v>
      </c>
      <c r="M15">
        <v>49</v>
      </c>
      <c r="N15">
        <v>551</v>
      </c>
      <c r="O15">
        <v>1032</v>
      </c>
      <c r="P15" t="str">
        <f t="shared" si="0"/>
        <v>Tuesday</v>
      </c>
      <c r="Q15">
        <f t="shared" si="1"/>
        <v>607</v>
      </c>
      <c r="R15" t="str">
        <f t="shared" si="2"/>
        <v>Weekday</v>
      </c>
      <c r="S15" t="str">
        <f t="shared" si="3"/>
        <v>Sedentary</v>
      </c>
    </row>
    <row r="16" spans="1:19" x14ac:dyDescent="0.25">
      <c r="A16">
        <v>4020332650</v>
      </c>
      <c r="B16" s="4">
        <v>42709</v>
      </c>
      <c r="C16">
        <v>590</v>
      </c>
      <c r="D16" s="1">
        <v>0.41999998688697798</v>
      </c>
      <c r="E16" s="1">
        <v>0.41999998688697798</v>
      </c>
      <c r="F16" s="1">
        <v>0</v>
      </c>
      <c r="G16" s="1">
        <v>0</v>
      </c>
      <c r="H16" s="1">
        <v>0</v>
      </c>
      <c r="I16" s="1">
        <v>0.40999999642372098</v>
      </c>
      <c r="J16" s="1">
        <v>0</v>
      </c>
      <c r="K16">
        <v>0</v>
      </c>
      <c r="L16">
        <v>0</v>
      </c>
      <c r="M16">
        <v>21</v>
      </c>
      <c r="N16">
        <v>721</v>
      </c>
      <c r="O16">
        <v>1120</v>
      </c>
      <c r="P16" t="str">
        <f t="shared" si="0"/>
        <v>Monday</v>
      </c>
      <c r="Q16">
        <f t="shared" si="1"/>
        <v>742</v>
      </c>
      <c r="R16" t="str">
        <f t="shared" si="2"/>
        <v>Weekday</v>
      </c>
      <c r="S16" t="str">
        <f t="shared" si="3"/>
        <v>Sedentary</v>
      </c>
    </row>
    <row r="17" spans="1:19" x14ac:dyDescent="0.25">
      <c r="A17">
        <v>2320127002</v>
      </c>
      <c r="B17" s="4">
        <v>42709</v>
      </c>
      <c r="C17">
        <v>2661</v>
      </c>
      <c r="D17" s="1">
        <v>1.78999996185303</v>
      </c>
      <c r="E17" s="1">
        <v>1.78999996185303</v>
      </c>
      <c r="F17" s="1">
        <v>0</v>
      </c>
      <c r="G17" s="1">
        <v>0</v>
      </c>
      <c r="H17" s="1">
        <v>0</v>
      </c>
      <c r="I17" s="1">
        <v>1.78999996185303</v>
      </c>
      <c r="J17" s="1">
        <v>0</v>
      </c>
      <c r="K17">
        <v>0</v>
      </c>
      <c r="L17">
        <v>0</v>
      </c>
      <c r="M17">
        <v>128</v>
      </c>
      <c r="N17">
        <v>830</v>
      </c>
      <c r="O17">
        <v>1125</v>
      </c>
      <c r="P17" t="str">
        <f t="shared" si="0"/>
        <v>Monday</v>
      </c>
      <c r="Q17">
        <f t="shared" si="1"/>
        <v>958</v>
      </c>
      <c r="R17" t="str">
        <f t="shared" si="2"/>
        <v>Weekday</v>
      </c>
      <c r="S17" t="str">
        <f t="shared" si="3"/>
        <v>Sedentary</v>
      </c>
    </row>
    <row r="18" spans="1:19" x14ac:dyDescent="0.25">
      <c r="A18">
        <v>2026352035</v>
      </c>
      <c r="B18" s="4">
        <v>42648</v>
      </c>
      <c r="C18">
        <v>254</v>
      </c>
      <c r="D18" s="1">
        <v>0.15999999642372101</v>
      </c>
      <c r="E18" s="1">
        <v>0.15999999642372101</v>
      </c>
      <c r="F18" s="1">
        <v>0</v>
      </c>
      <c r="G18" s="1">
        <v>0</v>
      </c>
      <c r="H18" s="1">
        <v>0</v>
      </c>
      <c r="I18" s="1">
        <v>0.15999999642372101</v>
      </c>
      <c r="J18" s="1">
        <v>0</v>
      </c>
      <c r="K18">
        <v>0</v>
      </c>
      <c r="L18">
        <v>0</v>
      </c>
      <c r="M18">
        <v>17</v>
      </c>
      <c r="N18">
        <v>1002</v>
      </c>
      <c r="O18">
        <v>1141</v>
      </c>
      <c r="P18" t="str">
        <f t="shared" si="0"/>
        <v>Wednesday</v>
      </c>
      <c r="Q18">
        <f t="shared" si="1"/>
        <v>1019</v>
      </c>
      <c r="R18" t="str">
        <f t="shared" si="2"/>
        <v>Weekday</v>
      </c>
      <c r="S18" t="str">
        <f t="shared" si="3"/>
        <v>Sedentary</v>
      </c>
    </row>
    <row r="19" spans="1:19" x14ac:dyDescent="0.25">
      <c r="A19">
        <v>7086361926</v>
      </c>
      <c r="B19" s="4">
        <v>42709</v>
      </c>
      <c r="C19">
        <v>3789</v>
      </c>
      <c r="D19" s="1">
        <v>2.5599999427795401</v>
      </c>
      <c r="E19" s="1">
        <v>2.5599999427795401</v>
      </c>
      <c r="F19" s="1">
        <v>0</v>
      </c>
      <c r="G19" s="1">
        <v>0.37999999523162797</v>
      </c>
      <c r="H19" s="1">
        <v>0.270000010728836</v>
      </c>
      <c r="I19" s="1">
        <v>1.8899999856948899</v>
      </c>
      <c r="J19" s="1">
        <v>0</v>
      </c>
      <c r="K19">
        <v>5</v>
      </c>
      <c r="L19">
        <v>4</v>
      </c>
      <c r="M19">
        <v>58</v>
      </c>
      <c r="N19">
        <v>343</v>
      </c>
      <c r="O19">
        <v>1199</v>
      </c>
      <c r="P19" t="str">
        <f t="shared" si="0"/>
        <v>Monday</v>
      </c>
      <c r="Q19">
        <f t="shared" si="1"/>
        <v>410</v>
      </c>
      <c r="R19" t="str">
        <f t="shared" si="2"/>
        <v>Weekday</v>
      </c>
      <c r="S19" t="str">
        <f t="shared" si="3"/>
        <v>Sedentary</v>
      </c>
    </row>
    <row r="20" spans="1:19" x14ac:dyDescent="0.25">
      <c r="A20">
        <v>4445114986</v>
      </c>
      <c r="B20" s="4">
        <v>42709</v>
      </c>
      <c r="C20">
        <v>768</v>
      </c>
      <c r="D20" s="1">
        <v>0.519999980926514</v>
      </c>
      <c r="E20" s="1">
        <v>0.519999980926514</v>
      </c>
      <c r="F20" s="1">
        <v>0</v>
      </c>
      <c r="G20" s="1">
        <v>0</v>
      </c>
      <c r="H20" s="1">
        <v>0</v>
      </c>
      <c r="I20" s="1">
        <v>0.519999980926514</v>
      </c>
      <c r="J20" s="1">
        <v>0</v>
      </c>
      <c r="K20">
        <v>0</v>
      </c>
      <c r="L20">
        <v>0</v>
      </c>
      <c r="M20">
        <v>58</v>
      </c>
      <c r="N20">
        <v>380</v>
      </c>
      <c r="O20">
        <v>1212</v>
      </c>
      <c r="P20" t="str">
        <f t="shared" si="0"/>
        <v>Monday</v>
      </c>
      <c r="Q20">
        <f t="shared" si="1"/>
        <v>438</v>
      </c>
      <c r="R20" t="str">
        <f t="shared" si="2"/>
        <v>Weekday</v>
      </c>
      <c r="S20" t="str">
        <f t="shared" si="3"/>
        <v>Sedentary</v>
      </c>
    </row>
    <row r="21" spans="1:19" x14ac:dyDescent="0.25">
      <c r="A21">
        <v>2026352035</v>
      </c>
      <c r="B21" s="4">
        <v>42477</v>
      </c>
      <c r="C21">
        <v>838</v>
      </c>
      <c r="D21" s="1">
        <v>0.519999980926514</v>
      </c>
      <c r="E21" s="1">
        <v>0.519999980926514</v>
      </c>
      <c r="F21" s="1">
        <v>0</v>
      </c>
      <c r="G21" s="1">
        <v>0</v>
      </c>
      <c r="H21" s="1">
        <v>0</v>
      </c>
      <c r="I21" s="1">
        <v>0.519999980926514</v>
      </c>
      <c r="J21" s="1">
        <v>0</v>
      </c>
      <c r="K21">
        <v>0</v>
      </c>
      <c r="L21">
        <v>0</v>
      </c>
      <c r="M21">
        <v>60</v>
      </c>
      <c r="N21">
        <v>1053</v>
      </c>
      <c r="O21">
        <v>1214</v>
      </c>
      <c r="P21" t="str">
        <f t="shared" si="0"/>
        <v>Sunday</v>
      </c>
      <c r="Q21">
        <f t="shared" si="1"/>
        <v>1113</v>
      </c>
      <c r="R21" t="str">
        <f t="shared" si="2"/>
        <v>Weekend</v>
      </c>
      <c r="S21" t="str">
        <f t="shared" si="3"/>
        <v>Sedentary</v>
      </c>
    </row>
    <row r="22" spans="1:19" x14ac:dyDescent="0.25">
      <c r="A22">
        <v>3372868164</v>
      </c>
      <c r="B22" s="4">
        <v>42374</v>
      </c>
      <c r="C22">
        <v>3077</v>
      </c>
      <c r="D22" s="1">
        <v>2.0999999046325701</v>
      </c>
      <c r="E22" s="1">
        <v>2.0999999046325701</v>
      </c>
      <c r="F22" s="1">
        <v>0</v>
      </c>
      <c r="G22" s="1">
        <v>0</v>
      </c>
      <c r="H22" s="1">
        <v>0</v>
      </c>
      <c r="I22" s="1">
        <v>2.0899999141693102</v>
      </c>
      <c r="J22" s="1">
        <v>0</v>
      </c>
      <c r="K22">
        <v>0</v>
      </c>
      <c r="L22">
        <v>0</v>
      </c>
      <c r="M22">
        <v>172</v>
      </c>
      <c r="N22">
        <v>842</v>
      </c>
      <c r="O22">
        <v>1237</v>
      </c>
      <c r="P22" t="str">
        <f t="shared" si="0"/>
        <v>Tuesday</v>
      </c>
      <c r="Q22">
        <f t="shared" si="1"/>
        <v>1014</v>
      </c>
      <c r="R22" t="str">
        <f t="shared" si="2"/>
        <v>Weekday</v>
      </c>
      <c r="S22" t="str">
        <f t="shared" si="3"/>
        <v>Sedentary</v>
      </c>
    </row>
    <row r="23" spans="1:19" x14ac:dyDescent="0.25">
      <c r="A23">
        <v>4702921684</v>
      </c>
      <c r="B23" s="4">
        <v>42709</v>
      </c>
      <c r="C23">
        <v>2752</v>
      </c>
      <c r="D23" s="1">
        <v>2.2300000190734899</v>
      </c>
      <c r="E23" s="1">
        <v>2.2300000190734899</v>
      </c>
      <c r="F23" s="1">
        <v>0</v>
      </c>
      <c r="G23" s="1">
        <v>0</v>
      </c>
      <c r="H23" s="1">
        <v>0</v>
      </c>
      <c r="I23" s="1">
        <v>2.2300000190734899</v>
      </c>
      <c r="J23" s="1">
        <v>0</v>
      </c>
      <c r="K23">
        <v>0</v>
      </c>
      <c r="L23">
        <v>0</v>
      </c>
      <c r="M23">
        <v>68</v>
      </c>
      <c r="N23">
        <v>241</v>
      </c>
      <c r="O23">
        <v>1240</v>
      </c>
      <c r="P23" t="str">
        <f t="shared" si="0"/>
        <v>Monday</v>
      </c>
      <c r="Q23">
        <f t="shared" si="1"/>
        <v>309</v>
      </c>
      <c r="R23" t="str">
        <f t="shared" si="2"/>
        <v>Weekday</v>
      </c>
      <c r="S23" t="str">
        <f t="shared" si="3"/>
        <v>Sedentary</v>
      </c>
    </row>
    <row r="24" spans="1:19" x14ac:dyDescent="0.25">
      <c r="A24">
        <v>6117666160</v>
      </c>
      <c r="B24" s="4">
        <v>42618</v>
      </c>
      <c r="C24">
        <v>4477</v>
      </c>
      <c r="D24" s="1">
        <v>3.3800001144409202</v>
      </c>
      <c r="E24" s="1">
        <v>3.3800001144409202</v>
      </c>
      <c r="F24" s="1">
        <v>0</v>
      </c>
      <c r="G24" s="1">
        <v>0</v>
      </c>
      <c r="H24" s="1">
        <v>0</v>
      </c>
      <c r="I24" s="1">
        <v>3.3800001144409202</v>
      </c>
      <c r="J24" s="1">
        <v>0</v>
      </c>
      <c r="K24">
        <v>0</v>
      </c>
      <c r="L24">
        <v>0</v>
      </c>
      <c r="M24">
        <v>197</v>
      </c>
      <c r="N24">
        <v>125</v>
      </c>
      <c r="O24">
        <v>1248</v>
      </c>
      <c r="P24" t="str">
        <f t="shared" si="0"/>
        <v>Monday</v>
      </c>
      <c r="Q24">
        <f t="shared" si="1"/>
        <v>322</v>
      </c>
      <c r="R24" t="str">
        <f t="shared" si="2"/>
        <v>Weekday</v>
      </c>
      <c r="S24" t="str">
        <f t="shared" si="3"/>
        <v>Sedentary</v>
      </c>
    </row>
    <row r="25" spans="1:19" x14ac:dyDescent="0.25">
      <c r="A25">
        <v>1644430081</v>
      </c>
      <c r="B25" s="4">
        <v>42679</v>
      </c>
      <c r="C25">
        <v>1329</v>
      </c>
      <c r="D25" s="1">
        <v>0.97000002861022905</v>
      </c>
      <c r="E25" s="1">
        <v>0.97000002861022905</v>
      </c>
      <c r="F25" s="1">
        <v>0</v>
      </c>
      <c r="G25" s="1">
        <v>0</v>
      </c>
      <c r="H25" s="1">
        <v>0</v>
      </c>
      <c r="I25" s="1">
        <v>0.94999998807907104</v>
      </c>
      <c r="J25" s="1">
        <v>9.9999997764825804E-3</v>
      </c>
      <c r="K25">
        <v>0</v>
      </c>
      <c r="L25">
        <v>0</v>
      </c>
      <c r="M25">
        <v>49</v>
      </c>
      <c r="N25">
        <v>713</v>
      </c>
      <c r="O25">
        <v>1276</v>
      </c>
      <c r="P25" t="str">
        <f t="shared" si="0"/>
        <v>Saturday</v>
      </c>
      <c r="Q25">
        <f t="shared" si="1"/>
        <v>762</v>
      </c>
      <c r="R25" t="str">
        <f t="shared" si="2"/>
        <v>Weekend</v>
      </c>
      <c r="S25" t="str">
        <f t="shared" si="3"/>
        <v>Sedentary</v>
      </c>
    </row>
    <row r="26" spans="1:19" x14ac:dyDescent="0.25">
      <c r="A26">
        <v>1624580081</v>
      </c>
      <c r="B26" s="4">
        <v>42618</v>
      </c>
      <c r="C26">
        <v>1732</v>
      </c>
      <c r="D26" s="1">
        <v>1.12999999523163</v>
      </c>
      <c r="E26" s="1">
        <v>1.12999999523163</v>
      </c>
      <c r="F26" s="1">
        <v>0</v>
      </c>
      <c r="G26" s="1">
        <v>0</v>
      </c>
      <c r="H26" s="1">
        <v>0</v>
      </c>
      <c r="I26" s="1">
        <v>1.12999999523163</v>
      </c>
      <c r="J26" s="1">
        <v>0</v>
      </c>
      <c r="K26">
        <v>0</v>
      </c>
      <c r="L26">
        <v>0</v>
      </c>
      <c r="M26">
        <v>91</v>
      </c>
      <c r="N26">
        <v>1349</v>
      </c>
      <c r="O26">
        <v>1328</v>
      </c>
      <c r="P26" t="str">
        <f t="shared" si="0"/>
        <v>Monday</v>
      </c>
      <c r="Q26">
        <f t="shared" si="1"/>
        <v>1440</v>
      </c>
      <c r="R26" t="str">
        <f t="shared" si="2"/>
        <v>Weekday</v>
      </c>
      <c r="S26" t="str">
        <f t="shared" si="3"/>
        <v>Sedentary</v>
      </c>
    </row>
    <row r="27" spans="1:19" x14ac:dyDescent="0.25">
      <c r="A27">
        <v>1624580081</v>
      </c>
      <c r="B27" s="4">
        <v>42434</v>
      </c>
      <c r="C27">
        <v>2100</v>
      </c>
      <c r="D27" s="1">
        <v>1.37000000476837</v>
      </c>
      <c r="E27" s="1">
        <v>1.37000000476837</v>
      </c>
      <c r="F27" s="1">
        <v>0</v>
      </c>
      <c r="G27" s="1">
        <v>0</v>
      </c>
      <c r="H27" s="1">
        <v>0</v>
      </c>
      <c r="I27" s="1">
        <v>1.3400000333786</v>
      </c>
      <c r="J27" s="1">
        <v>1.9999999552965199E-2</v>
      </c>
      <c r="K27">
        <v>0</v>
      </c>
      <c r="L27">
        <v>0</v>
      </c>
      <c r="M27">
        <v>96</v>
      </c>
      <c r="N27">
        <v>1344</v>
      </c>
      <c r="O27">
        <v>1334</v>
      </c>
      <c r="P27" t="str">
        <f t="shared" si="0"/>
        <v>Saturday</v>
      </c>
      <c r="Q27">
        <f t="shared" si="1"/>
        <v>1440</v>
      </c>
      <c r="R27" t="str">
        <f t="shared" si="2"/>
        <v>Weekend</v>
      </c>
      <c r="S27" t="str">
        <f t="shared" si="3"/>
        <v>Sedentary</v>
      </c>
    </row>
    <row r="28" spans="1:19" x14ac:dyDescent="0.25">
      <c r="A28">
        <v>1624580081</v>
      </c>
      <c r="B28" s="4">
        <v>42526</v>
      </c>
      <c r="C28">
        <v>1727</v>
      </c>
      <c r="D28" s="1">
        <v>1.12000000476837</v>
      </c>
      <c r="E28" s="1">
        <v>1.12000000476837</v>
      </c>
      <c r="F28" s="1">
        <v>0</v>
      </c>
      <c r="G28" s="1">
        <v>0</v>
      </c>
      <c r="H28" s="1">
        <v>0</v>
      </c>
      <c r="I28" s="1">
        <v>1.12000000476837</v>
      </c>
      <c r="J28" s="1">
        <v>9.9999997764825804E-3</v>
      </c>
      <c r="K28">
        <v>0</v>
      </c>
      <c r="L28">
        <v>0</v>
      </c>
      <c r="M28">
        <v>102</v>
      </c>
      <c r="N28">
        <v>1338</v>
      </c>
      <c r="O28">
        <v>1341</v>
      </c>
      <c r="P28" t="str">
        <f t="shared" si="0"/>
        <v>Sunday</v>
      </c>
      <c r="Q28">
        <f t="shared" si="1"/>
        <v>1440</v>
      </c>
      <c r="R28" t="str">
        <f t="shared" si="2"/>
        <v>Weekend</v>
      </c>
      <c r="S28" t="str">
        <f t="shared" si="3"/>
        <v>Sedentary</v>
      </c>
    </row>
    <row r="29" spans="1:19" x14ac:dyDescent="0.25">
      <c r="A29">
        <v>1624580081</v>
      </c>
      <c r="B29" s="4">
        <v>42475</v>
      </c>
      <c r="C29">
        <v>1510</v>
      </c>
      <c r="D29" s="1">
        <v>0.980000019073486</v>
      </c>
      <c r="E29" s="1">
        <v>0.980000019073486</v>
      </c>
      <c r="F29" s="1">
        <v>0</v>
      </c>
      <c r="G29" s="1">
        <v>0</v>
      </c>
      <c r="H29" s="1">
        <v>0</v>
      </c>
      <c r="I29" s="1">
        <v>0.97000002861022905</v>
      </c>
      <c r="J29" s="1">
        <v>0</v>
      </c>
      <c r="K29">
        <v>0</v>
      </c>
      <c r="L29">
        <v>0</v>
      </c>
      <c r="M29">
        <v>96</v>
      </c>
      <c r="N29">
        <v>1344</v>
      </c>
      <c r="O29">
        <v>1344</v>
      </c>
      <c r="P29" t="str">
        <f t="shared" si="0"/>
        <v>Friday</v>
      </c>
      <c r="Q29">
        <f t="shared" si="1"/>
        <v>1440</v>
      </c>
      <c r="R29" t="str">
        <f t="shared" si="2"/>
        <v>Weekday</v>
      </c>
      <c r="S29" t="str">
        <f t="shared" si="3"/>
        <v>Sedentary</v>
      </c>
    </row>
    <row r="30" spans="1:19" x14ac:dyDescent="0.25">
      <c r="A30">
        <v>1844505072</v>
      </c>
      <c r="B30" s="4">
        <v>42484</v>
      </c>
      <c r="C30">
        <v>0</v>
      </c>
      <c r="D30" s="1">
        <v>0</v>
      </c>
      <c r="E30" s="1">
        <v>0</v>
      </c>
      <c r="F30" s="1">
        <v>0</v>
      </c>
      <c r="G30" s="1">
        <v>0</v>
      </c>
      <c r="H30" s="1">
        <v>0</v>
      </c>
      <c r="I30" s="1">
        <v>0</v>
      </c>
      <c r="J30" s="1">
        <v>0</v>
      </c>
      <c r="K30">
        <v>0</v>
      </c>
      <c r="L30">
        <v>0</v>
      </c>
      <c r="M30">
        <v>0</v>
      </c>
      <c r="N30">
        <v>1440</v>
      </c>
      <c r="O30">
        <v>1347</v>
      </c>
      <c r="P30" t="str">
        <f t="shared" si="0"/>
        <v>Sunday</v>
      </c>
      <c r="Q30">
        <f t="shared" si="1"/>
        <v>1440</v>
      </c>
      <c r="R30" t="str">
        <f t="shared" si="2"/>
        <v>Weekend</v>
      </c>
      <c r="S30" t="str">
        <f t="shared" si="3"/>
        <v>Sedentary</v>
      </c>
    </row>
    <row r="31" spans="1:19" x14ac:dyDescent="0.25">
      <c r="A31">
        <v>1844505072</v>
      </c>
      <c r="B31" s="4">
        <v>42485</v>
      </c>
      <c r="C31">
        <v>0</v>
      </c>
      <c r="D31" s="1">
        <v>0</v>
      </c>
      <c r="E31" s="1">
        <v>0</v>
      </c>
      <c r="F31" s="1">
        <v>0</v>
      </c>
      <c r="G31" s="1">
        <v>0</v>
      </c>
      <c r="H31" s="1">
        <v>0</v>
      </c>
      <c r="I31" s="1">
        <v>0</v>
      </c>
      <c r="J31" s="1">
        <v>0</v>
      </c>
      <c r="K31">
        <v>0</v>
      </c>
      <c r="L31">
        <v>0</v>
      </c>
      <c r="M31">
        <v>0</v>
      </c>
      <c r="N31">
        <v>1440</v>
      </c>
      <c r="O31">
        <v>1347</v>
      </c>
      <c r="P31" t="str">
        <f t="shared" si="0"/>
        <v>Monday</v>
      </c>
      <c r="Q31">
        <f t="shared" si="1"/>
        <v>1440</v>
      </c>
      <c r="R31" t="str">
        <f t="shared" si="2"/>
        <v>Weekday</v>
      </c>
      <c r="S31" t="str">
        <f t="shared" si="3"/>
        <v>Sedentary</v>
      </c>
    </row>
    <row r="32" spans="1:19" x14ac:dyDescent="0.25">
      <c r="A32">
        <v>1844505072</v>
      </c>
      <c r="B32" s="4">
        <v>42486</v>
      </c>
      <c r="C32">
        <v>0</v>
      </c>
      <c r="D32" s="1">
        <v>0</v>
      </c>
      <c r="E32" s="1">
        <v>0</v>
      </c>
      <c r="F32" s="1">
        <v>0</v>
      </c>
      <c r="G32" s="1">
        <v>0</v>
      </c>
      <c r="H32" s="1">
        <v>0</v>
      </c>
      <c r="I32" s="1">
        <v>0</v>
      </c>
      <c r="J32" s="1">
        <v>0</v>
      </c>
      <c r="K32">
        <v>0</v>
      </c>
      <c r="L32">
        <v>0</v>
      </c>
      <c r="M32">
        <v>0</v>
      </c>
      <c r="N32">
        <v>1440</v>
      </c>
      <c r="O32">
        <v>1347</v>
      </c>
      <c r="P32" t="str">
        <f t="shared" si="0"/>
        <v>Tuesday</v>
      </c>
      <c r="Q32">
        <f t="shared" si="1"/>
        <v>1440</v>
      </c>
      <c r="R32" t="str">
        <f t="shared" si="2"/>
        <v>Weekday</v>
      </c>
      <c r="S32" t="str">
        <f t="shared" si="3"/>
        <v>Sedentary</v>
      </c>
    </row>
    <row r="33" spans="1:19" x14ac:dyDescent="0.25">
      <c r="A33">
        <v>1844505072</v>
      </c>
      <c r="B33" s="4">
        <v>42556</v>
      </c>
      <c r="C33">
        <v>0</v>
      </c>
      <c r="D33" s="1">
        <v>0</v>
      </c>
      <c r="E33" s="1">
        <v>0</v>
      </c>
      <c r="F33" s="1">
        <v>0</v>
      </c>
      <c r="G33" s="1">
        <v>0</v>
      </c>
      <c r="H33" s="1">
        <v>0</v>
      </c>
      <c r="I33" s="1">
        <v>0</v>
      </c>
      <c r="J33" s="1">
        <v>0</v>
      </c>
      <c r="K33">
        <v>0</v>
      </c>
      <c r="L33">
        <v>0</v>
      </c>
      <c r="M33">
        <v>0</v>
      </c>
      <c r="N33">
        <v>1440</v>
      </c>
      <c r="O33">
        <v>1347</v>
      </c>
      <c r="P33" t="str">
        <f t="shared" si="0"/>
        <v>Tuesday</v>
      </c>
      <c r="Q33">
        <f t="shared" si="1"/>
        <v>1440</v>
      </c>
      <c r="R33" t="str">
        <f t="shared" si="2"/>
        <v>Weekday</v>
      </c>
      <c r="S33" t="str">
        <f t="shared" si="3"/>
        <v>Sedentary</v>
      </c>
    </row>
    <row r="34" spans="1:19" x14ac:dyDescent="0.25">
      <c r="A34">
        <v>1844505072</v>
      </c>
      <c r="B34" s="4">
        <v>42587</v>
      </c>
      <c r="C34">
        <v>0</v>
      </c>
      <c r="D34" s="1">
        <v>0</v>
      </c>
      <c r="E34" s="1">
        <v>0</v>
      </c>
      <c r="F34" s="1">
        <v>0</v>
      </c>
      <c r="G34" s="1">
        <v>0</v>
      </c>
      <c r="H34" s="1">
        <v>0</v>
      </c>
      <c r="I34" s="1">
        <v>0</v>
      </c>
      <c r="J34" s="1">
        <v>0</v>
      </c>
      <c r="K34">
        <v>0</v>
      </c>
      <c r="L34">
        <v>0</v>
      </c>
      <c r="M34">
        <v>0</v>
      </c>
      <c r="N34">
        <v>1440</v>
      </c>
      <c r="O34">
        <v>1347</v>
      </c>
      <c r="P34" t="str">
        <f t="shared" si="0"/>
        <v>Friday</v>
      </c>
      <c r="Q34">
        <f t="shared" si="1"/>
        <v>1440</v>
      </c>
      <c r="R34" t="str">
        <f t="shared" si="2"/>
        <v>Weekday</v>
      </c>
      <c r="S34" t="str">
        <f t="shared" si="3"/>
        <v>Sedentary</v>
      </c>
    </row>
    <row r="35" spans="1:19" x14ac:dyDescent="0.25">
      <c r="A35">
        <v>1844505072</v>
      </c>
      <c r="B35" s="4">
        <v>42618</v>
      </c>
      <c r="C35">
        <v>0</v>
      </c>
      <c r="D35" s="1">
        <v>0</v>
      </c>
      <c r="E35" s="1">
        <v>0</v>
      </c>
      <c r="F35" s="1">
        <v>0</v>
      </c>
      <c r="G35" s="1">
        <v>0</v>
      </c>
      <c r="H35" s="1">
        <v>0</v>
      </c>
      <c r="I35" s="1">
        <v>0</v>
      </c>
      <c r="J35" s="1">
        <v>0</v>
      </c>
      <c r="K35">
        <v>0</v>
      </c>
      <c r="L35">
        <v>0</v>
      </c>
      <c r="M35">
        <v>0</v>
      </c>
      <c r="N35">
        <v>1440</v>
      </c>
      <c r="O35">
        <v>1347</v>
      </c>
      <c r="P35" t="str">
        <f t="shared" si="0"/>
        <v>Monday</v>
      </c>
      <c r="Q35">
        <f t="shared" si="1"/>
        <v>1440</v>
      </c>
      <c r="R35" t="str">
        <f t="shared" si="2"/>
        <v>Weekday</v>
      </c>
      <c r="S35" t="str">
        <f t="shared" si="3"/>
        <v>Sedentary</v>
      </c>
    </row>
    <row r="36" spans="1:19" x14ac:dyDescent="0.25">
      <c r="A36">
        <v>1844505072</v>
      </c>
      <c r="B36" s="4">
        <v>42648</v>
      </c>
      <c r="C36">
        <v>0</v>
      </c>
      <c r="D36" s="1">
        <v>0</v>
      </c>
      <c r="E36" s="1">
        <v>0</v>
      </c>
      <c r="F36" s="1">
        <v>0</v>
      </c>
      <c r="G36" s="1">
        <v>0</v>
      </c>
      <c r="H36" s="1">
        <v>0</v>
      </c>
      <c r="I36" s="1">
        <v>0</v>
      </c>
      <c r="J36" s="1">
        <v>0</v>
      </c>
      <c r="K36">
        <v>0</v>
      </c>
      <c r="L36">
        <v>0</v>
      </c>
      <c r="M36">
        <v>0</v>
      </c>
      <c r="N36">
        <v>1440</v>
      </c>
      <c r="O36">
        <v>1347</v>
      </c>
      <c r="P36" t="str">
        <f t="shared" si="0"/>
        <v>Wednesday</v>
      </c>
      <c r="Q36">
        <f t="shared" si="1"/>
        <v>1440</v>
      </c>
      <c r="R36" t="str">
        <f t="shared" si="2"/>
        <v>Weekday</v>
      </c>
      <c r="S36" t="str">
        <f t="shared" si="3"/>
        <v>Sedentary</v>
      </c>
    </row>
    <row r="37" spans="1:19" x14ac:dyDescent="0.25">
      <c r="A37">
        <v>1844505072</v>
      </c>
      <c r="B37" s="4">
        <v>42679</v>
      </c>
      <c r="C37">
        <v>0</v>
      </c>
      <c r="D37" s="1">
        <v>0</v>
      </c>
      <c r="E37" s="1">
        <v>0</v>
      </c>
      <c r="F37" s="1">
        <v>0</v>
      </c>
      <c r="G37" s="1">
        <v>0</v>
      </c>
      <c r="H37" s="1">
        <v>0</v>
      </c>
      <c r="I37" s="1">
        <v>0</v>
      </c>
      <c r="J37" s="1">
        <v>0</v>
      </c>
      <c r="K37">
        <v>0</v>
      </c>
      <c r="L37">
        <v>0</v>
      </c>
      <c r="M37">
        <v>0</v>
      </c>
      <c r="N37">
        <v>1440</v>
      </c>
      <c r="O37">
        <v>1347</v>
      </c>
      <c r="P37" t="str">
        <f t="shared" si="0"/>
        <v>Saturday</v>
      </c>
      <c r="Q37">
        <f t="shared" si="1"/>
        <v>1440</v>
      </c>
      <c r="R37" t="str">
        <f t="shared" si="2"/>
        <v>Weekend</v>
      </c>
      <c r="S37" t="str">
        <f t="shared" si="3"/>
        <v>Sedentary</v>
      </c>
    </row>
    <row r="38" spans="1:19" x14ac:dyDescent="0.25">
      <c r="A38">
        <v>1844505072</v>
      </c>
      <c r="B38" s="4">
        <v>42405</v>
      </c>
      <c r="C38">
        <v>0</v>
      </c>
      <c r="D38" s="1">
        <v>0</v>
      </c>
      <c r="E38" s="1">
        <v>0</v>
      </c>
      <c r="F38" s="1">
        <v>0</v>
      </c>
      <c r="G38" s="1">
        <v>0</v>
      </c>
      <c r="H38" s="1">
        <v>0</v>
      </c>
      <c r="I38" s="1">
        <v>0</v>
      </c>
      <c r="J38" s="1">
        <v>0</v>
      </c>
      <c r="K38">
        <v>0</v>
      </c>
      <c r="L38">
        <v>0</v>
      </c>
      <c r="M38">
        <v>0</v>
      </c>
      <c r="N38">
        <v>1440</v>
      </c>
      <c r="O38">
        <v>1348</v>
      </c>
      <c r="P38" t="str">
        <f t="shared" si="0"/>
        <v>Friday</v>
      </c>
      <c r="Q38">
        <f t="shared" si="1"/>
        <v>1440</v>
      </c>
      <c r="R38" t="str">
        <f t="shared" si="2"/>
        <v>Weekday</v>
      </c>
      <c r="S38" t="str">
        <f t="shared" si="3"/>
        <v>Sedentary</v>
      </c>
    </row>
    <row r="39" spans="1:19" x14ac:dyDescent="0.25">
      <c r="A39">
        <v>1844505072</v>
      </c>
      <c r="B39" s="4">
        <v>42487</v>
      </c>
      <c r="C39">
        <v>4</v>
      </c>
      <c r="D39" s="1">
        <v>0</v>
      </c>
      <c r="E39" s="1">
        <v>0</v>
      </c>
      <c r="F39" s="1">
        <v>0</v>
      </c>
      <c r="G39" s="1">
        <v>0</v>
      </c>
      <c r="H39" s="1">
        <v>0</v>
      </c>
      <c r="I39" s="1">
        <v>0</v>
      </c>
      <c r="J39" s="1">
        <v>0</v>
      </c>
      <c r="K39">
        <v>0</v>
      </c>
      <c r="L39">
        <v>0</v>
      </c>
      <c r="M39">
        <v>1</v>
      </c>
      <c r="N39">
        <v>1439</v>
      </c>
      <c r="O39">
        <v>1348</v>
      </c>
      <c r="P39" t="str">
        <f t="shared" si="0"/>
        <v>Wednesday</v>
      </c>
      <c r="Q39">
        <f t="shared" si="1"/>
        <v>1440</v>
      </c>
      <c r="R39" t="str">
        <f t="shared" si="2"/>
        <v>Weekday</v>
      </c>
      <c r="S39" t="str">
        <f t="shared" si="3"/>
        <v>Sedentary</v>
      </c>
    </row>
    <row r="40" spans="1:19" x14ac:dyDescent="0.25">
      <c r="A40">
        <v>1844505072</v>
      </c>
      <c r="B40" s="4">
        <v>42480</v>
      </c>
      <c r="C40">
        <v>8</v>
      </c>
      <c r="D40" s="1">
        <v>9.9999997764825804E-3</v>
      </c>
      <c r="E40" s="1">
        <v>9.9999997764825804E-3</v>
      </c>
      <c r="F40" s="1">
        <v>0</v>
      </c>
      <c r="G40" s="1">
        <v>0</v>
      </c>
      <c r="H40" s="1">
        <v>0</v>
      </c>
      <c r="I40" s="1">
        <v>9.9999997764825804E-3</v>
      </c>
      <c r="J40" s="1">
        <v>0</v>
      </c>
      <c r="K40">
        <v>0</v>
      </c>
      <c r="L40">
        <v>0</v>
      </c>
      <c r="M40">
        <v>1</v>
      </c>
      <c r="N40">
        <v>1439</v>
      </c>
      <c r="O40">
        <v>1349</v>
      </c>
      <c r="P40" t="str">
        <f t="shared" si="0"/>
        <v>Wednesday</v>
      </c>
      <c r="Q40">
        <f t="shared" si="1"/>
        <v>1440</v>
      </c>
      <c r="R40" t="str">
        <f t="shared" si="2"/>
        <v>Weekday</v>
      </c>
      <c r="S40" t="str">
        <f t="shared" si="3"/>
        <v>Sedentary</v>
      </c>
    </row>
    <row r="41" spans="1:19" x14ac:dyDescent="0.25">
      <c r="A41">
        <v>1844505072</v>
      </c>
      <c r="B41" s="4">
        <v>42526</v>
      </c>
      <c r="C41">
        <v>44</v>
      </c>
      <c r="D41" s="1">
        <v>2.9999999329447701E-2</v>
      </c>
      <c r="E41" s="1">
        <v>2.9999999329447701E-2</v>
      </c>
      <c r="F41" s="1">
        <v>0</v>
      </c>
      <c r="G41" s="1">
        <v>0</v>
      </c>
      <c r="H41" s="1">
        <v>0</v>
      </c>
      <c r="I41" s="1">
        <v>2.9999999329447701E-2</v>
      </c>
      <c r="J41" s="1">
        <v>0</v>
      </c>
      <c r="K41">
        <v>0</v>
      </c>
      <c r="L41">
        <v>0</v>
      </c>
      <c r="M41">
        <v>2</v>
      </c>
      <c r="N41">
        <v>1438</v>
      </c>
      <c r="O41">
        <v>1351</v>
      </c>
      <c r="P41" t="str">
        <f t="shared" si="0"/>
        <v>Sunday</v>
      </c>
      <c r="Q41">
        <f t="shared" si="1"/>
        <v>1440</v>
      </c>
      <c r="R41" t="str">
        <f t="shared" si="2"/>
        <v>Weekend</v>
      </c>
      <c r="S41" t="str">
        <f t="shared" si="3"/>
        <v>Sedentary</v>
      </c>
    </row>
    <row r="42" spans="1:19" x14ac:dyDescent="0.25">
      <c r="A42">
        <v>2026352035</v>
      </c>
      <c r="B42" s="4">
        <v>42479</v>
      </c>
      <c r="C42">
        <v>2424</v>
      </c>
      <c r="D42" s="1">
        <v>1.5</v>
      </c>
      <c r="E42" s="1">
        <v>1.5</v>
      </c>
      <c r="F42" s="1">
        <v>0</v>
      </c>
      <c r="G42" s="1">
        <v>0</v>
      </c>
      <c r="H42" s="1">
        <v>0</v>
      </c>
      <c r="I42" s="1">
        <v>1.5</v>
      </c>
      <c r="J42" s="1">
        <v>0</v>
      </c>
      <c r="K42">
        <v>0</v>
      </c>
      <c r="L42">
        <v>0</v>
      </c>
      <c r="M42">
        <v>141</v>
      </c>
      <c r="N42">
        <v>785</v>
      </c>
      <c r="O42">
        <v>1356</v>
      </c>
      <c r="P42" t="str">
        <f t="shared" si="0"/>
        <v>Tuesday</v>
      </c>
      <c r="Q42">
        <f t="shared" si="1"/>
        <v>926</v>
      </c>
      <c r="R42" t="str">
        <f t="shared" si="2"/>
        <v>Weekday</v>
      </c>
      <c r="S42" t="str">
        <f t="shared" si="3"/>
        <v>Sedentary</v>
      </c>
    </row>
    <row r="43" spans="1:19" x14ac:dyDescent="0.25">
      <c r="A43">
        <v>1624580081</v>
      </c>
      <c r="B43" s="4">
        <v>42679</v>
      </c>
      <c r="C43">
        <v>3134</v>
      </c>
      <c r="D43" s="1">
        <v>2.03999996185303</v>
      </c>
      <c r="E43" s="1">
        <v>2.03999996185303</v>
      </c>
      <c r="F43" s="1">
        <v>0</v>
      </c>
      <c r="G43" s="1">
        <v>0</v>
      </c>
      <c r="H43" s="1">
        <v>0</v>
      </c>
      <c r="I43" s="1">
        <v>2.03999996185303</v>
      </c>
      <c r="J43" s="1">
        <v>0</v>
      </c>
      <c r="K43">
        <v>0</v>
      </c>
      <c r="L43">
        <v>0</v>
      </c>
      <c r="M43">
        <v>112</v>
      </c>
      <c r="N43">
        <v>1328</v>
      </c>
      <c r="O43">
        <v>1359</v>
      </c>
      <c r="P43" t="str">
        <f t="shared" si="0"/>
        <v>Saturday</v>
      </c>
      <c r="Q43">
        <f t="shared" si="1"/>
        <v>1440</v>
      </c>
      <c r="R43" t="str">
        <f t="shared" si="2"/>
        <v>Weekend</v>
      </c>
      <c r="S43" t="str">
        <f t="shared" si="3"/>
        <v>Sedentary</v>
      </c>
    </row>
    <row r="44" spans="1:19" x14ac:dyDescent="0.25">
      <c r="A44">
        <v>2026352035</v>
      </c>
      <c r="B44" s="4">
        <v>42709</v>
      </c>
      <c r="C44">
        <v>8891</v>
      </c>
      <c r="D44" s="1">
        <v>5.5100002288818404</v>
      </c>
      <c r="E44" s="1">
        <v>5.5100002288818404</v>
      </c>
      <c r="F44" s="1">
        <v>0</v>
      </c>
      <c r="G44" s="1">
        <v>0</v>
      </c>
      <c r="H44" s="1">
        <v>0</v>
      </c>
      <c r="I44" s="1">
        <v>5.5100002288818404</v>
      </c>
      <c r="J44" s="1">
        <v>0</v>
      </c>
      <c r="K44">
        <v>0</v>
      </c>
      <c r="L44">
        <v>0</v>
      </c>
      <c r="M44">
        <v>343</v>
      </c>
      <c r="N44">
        <v>330</v>
      </c>
      <c r="O44">
        <v>1364</v>
      </c>
      <c r="P44" t="str">
        <f t="shared" si="0"/>
        <v>Monday</v>
      </c>
      <c r="Q44">
        <f t="shared" si="1"/>
        <v>673</v>
      </c>
      <c r="R44" t="str">
        <f t="shared" si="2"/>
        <v>Weekday</v>
      </c>
      <c r="S44" t="str">
        <f t="shared" si="3"/>
        <v>Fairly Active</v>
      </c>
    </row>
    <row r="45" spans="1:19" x14ac:dyDescent="0.25">
      <c r="A45">
        <v>1844505072</v>
      </c>
      <c r="B45" s="4">
        <v>42479</v>
      </c>
      <c r="C45">
        <v>197</v>
      </c>
      <c r="D45" s="1">
        <v>0.129999995231628</v>
      </c>
      <c r="E45" s="1">
        <v>0.129999995231628</v>
      </c>
      <c r="F45" s="1">
        <v>0</v>
      </c>
      <c r="G45" s="1">
        <v>0</v>
      </c>
      <c r="H45" s="1">
        <v>0</v>
      </c>
      <c r="I45" s="1">
        <v>0.129999995231628</v>
      </c>
      <c r="J45" s="1">
        <v>0</v>
      </c>
      <c r="K45">
        <v>0</v>
      </c>
      <c r="L45">
        <v>0</v>
      </c>
      <c r="M45">
        <v>10</v>
      </c>
      <c r="N45">
        <v>1430</v>
      </c>
      <c r="O45">
        <v>1366</v>
      </c>
      <c r="P45" t="str">
        <f t="shared" si="0"/>
        <v>Tuesday</v>
      </c>
      <c r="Q45">
        <f t="shared" si="1"/>
        <v>1440</v>
      </c>
      <c r="R45" t="str">
        <f t="shared" si="2"/>
        <v>Weekday</v>
      </c>
      <c r="S45" t="str">
        <f t="shared" si="3"/>
        <v>Sedentary</v>
      </c>
    </row>
    <row r="46" spans="1:19" x14ac:dyDescent="0.25">
      <c r="A46">
        <v>1624580081</v>
      </c>
      <c r="B46" s="4">
        <v>42465</v>
      </c>
      <c r="C46">
        <v>2193</v>
      </c>
      <c r="D46" s="1">
        <v>1.4299999475479099</v>
      </c>
      <c r="E46" s="1">
        <v>1.4299999475479099</v>
      </c>
      <c r="F46" s="1">
        <v>0</v>
      </c>
      <c r="G46" s="1">
        <v>0</v>
      </c>
      <c r="H46" s="1">
        <v>0</v>
      </c>
      <c r="I46" s="1">
        <v>1.41999995708466</v>
      </c>
      <c r="J46" s="1">
        <v>0</v>
      </c>
      <c r="K46">
        <v>0</v>
      </c>
      <c r="L46">
        <v>0</v>
      </c>
      <c r="M46">
        <v>118</v>
      </c>
      <c r="N46">
        <v>1322</v>
      </c>
      <c r="O46">
        <v>1368</v>
      </c>
      <c r="P46" t="str">
        <f t="shared" si="0"/>
        <v>Tuesday</v>
      </c>
      <c r="Q46">
        <f t="shared" si="1"/>
        <v>1440</v>
      </c>
      <c r="R46" t="str">
        <f t="shared" si="2"/>
        <v>Weekday</v>
      </c>
      <c r="S46" t="str">
        <f t="shared" si="3"/>
        <v>Sedentary</v>
      </c>
    </row>
    <row r="47" spans="1:19" x14ac:dyDescent="0.25">
      <c r="A47">
        <v>2026352035</v>
      </c>
      <c r="B47" s="4">
        <v>42481</v>
      </c>
      <c r="C47">
        <v>2467</v>
      </c>
      <c r="D47" s="1">
        <v>1.5299999713897701</v>
      </c>
      <c r="E47" s="1">
        <v>1.5299999713897701</v>
      </c>
      <c r="F47" s="1">
        <v>0</v>
      </c>
      <c r="G47" s="1">
        <v>0</v>
      </c>
      <c r="H47" s="1">
        <v>0</v>
      </c>
      <c r="I47" s="1">
        <v>1.5299999713897701</v>
      </c>
      <c r="J47" s="1">
        <v>0</v>
      </c>
      <c r="K47">
        <v>0</v>
      </c>
      <c r="L47">
        <v>0</v>
      </c>
      <c r="M47">
        <v>153</v>
      </c>
      <c r="N47">
        <v>749</v>
      </c>
      <c r="O47">
        <v>1370</v>
      </c>
      <c r="P47" t="str">
        <f t="shared" si="0"/>
        <v>Thursday</v>
      </c>
      <c r="Q47">
        <f t="shared" si="1"/>
        <v>902</v>
      </c>
      <c r="R47" t="str">
        <f t="shared" si="2"/>
        <v>Weekday</v>
      </c>
      <c r="S47" t="str">
        <f t="shared" si="3"/>
        <v>Sedentary</v>
      </c>
    </row>
    <row r="48" spans="1:19" x14ac:dyDescent="0.25">
      <c r="A48">
        <v>1624580081</v>
      </c>
      <c r="B48" s="4">
        <v>42495</v>
      </c>
      <c r="C48">
        <v>2470</v>
      </c>
      <c r="D48" s="1">
        <v>1.6100000143051101</v>
      </c>
      <c r="E48" s="1">
        <v>1.6100000143051101</v>
      </c>
      <c r="F48" s="1">
        <v>0</v>
      </c>
      <c r="G48" s="1">
        <v>0</v>
      </c>
      <c r="H48" s="1">
        <v>0</v>
      </c>
      <c r="I48" s="1">
        <v>1.58000004291534</v>
      </c>
      <c r="J48" s="1">
        <v>1.9999999552965199E-2</v>
      </c>
      <c r="K48">
        <v>0</v>
      </c>
      <c r="L48">
        <v>0</v>
      </c>
      <c r="M48">
        <v>117</v>
      </c>
      <c r="N48">
        <v>1323</v>
      </c>
      <c r="O48">
        <v>1370</v>
      </c>
      <c r="P48" t="str">
        <f t="shared" si="0"/>
        <v>Thursday</v>
      </c>
      <c r="Q48">
        <f t="shared" si="1"/>
        <v>1440</v>
      </c>
      <c r="R48" t="str">
        <f t="shared" si="2"/>
        <v>Weekday</v>
      </c>
      <c r="S48" t="str">
        <f t="shared" si="3"/>
        <v>Sedentary</v>
      </c>
    </row>
    <row r="49" spans="1:19" x14ac:dyDescent="0.25">
      <c r="A49">
        <v>2026352035</v>
      </c>
      <c r="B49" s="4">
        <v>42476</v>
      </c>
      <c r="C49">
        <v>2547</v>
      </c>
      <c r="D49" s="1">
        <v>1.58000004291534</v>
      </c>
      <c r="E49" s="1">
        <v>1.58000004291534</v>
      </c>
      <c r="F49" s="1">
        <v>0</v>
      </c>
      <c r="G49" s="1">
        <v>0</v>
      </c>
      <c r="H49" s="1">
        <v>0</v>
      </c>
      <c r="I49" s="1">
        <v>1.58000004291534</v>
      </c>
      <c r="J49" s="1">
        <v>0</v>
      </c>
      <c r="K49">
        <v>0</v>
      </c>
      <c r="L49">
        <v>0</v>
      </c>
      <c r="M49">
        <v>150</v>
      </c>
      <c r="N49">
        <v>728</v>
      </c>
      <c r="O49">
        <v>1373</v>
      </c>
      <c r="P49" t="str">
        <f t="shared" si="0"/>
        <v>Saturday</v>
      </c>
      <c r="Q49">
        <f t="shared" si="1"/>
        <v>878</v>
      </c>
      <c r="R49" t="str">
        <f t="shared" si="2"/>
        <v>Weekend</v>
      </c>
      <c r="S49" t="str">
        <f t="shared" si="3"/>
        <v>Sedentary</v>
      </c>
    </row>
    <row r="50" spans="1:19" x14ac:dyDescent="0.25">
      <c r="A50">
        <v>3977333714</v>
      </c>
      <c r="B50" s="4">
        <v>42487</v>
      </c>
      <c r="C50">
        <v>7193</v>
      </c>
      <c r="D50" s="1">
        <v>5.03999996185303</v>
      </c>
      <c r="E50" s="1">
        <v>5.03999996185303</v>
      </c>
      <c r="F50" s="1">
        <v>0</v>
      </c>
      <c r="G50" s="1">
        <v>0</v>
      </c>
      <c r="H50" s="1">
        <v>0.41999998688697798</v>
      </c>
      <c r="I50" s="1">
        <v>4.6199998855590803</v>
      </c>
      <c r="J50" s="1">
        <v>0</v>
      </c>
      <c r="K50">
        <v>0</v>
      </c>
      <c r="L50">
        <v>10</v>
      </c>
      <c r="M50">
        <v>176</v>
      </c>
      <c r="N50">
        <v>714</v>
      </c>
      <c r="O50">
        <v>1377</v>
      </c>
      <c r="P50" t="str">
        <f t="shared" si="0"/>
        <v>Wednesday</v>
      </c>
      <c r="Q50">
        <f t="shared" si="1"/>
        <v>900</v>
      </c>
      <c r="R50" t="str">
        <f t="shared" si="2"/>
        <v>Weekday</v>
      </c>
      <c r="S50" t="str">
        <f t="shared" si="3"/>
        <v>Lightly Active</v>
      </c>
    </row>
    <row r="51" spans="1:19" x14ac:dyDescent="0.25">
      <c r="A51">
        <v>1927972279</v>
      </c>
      <c r="B51" s="4">
        <v>42709</v>
      </c>
      <c r="C51">
        <v>0</v>
      </c>
      <c r="D51" s="1">
        <v>0</v>
      </c>
      <c r="E51" s="1">
        <v>0</v>
      </c>
      <c r="F51" s="1">
        <v>0</v>
      </c>
      <c r="G51" s="1">
        <v>0</v>
      </c>
      <c r="H51" s="1">
        <v>0</v>
      </c>
      <c r="I51" s="1">
        <v>0</v>
      </c>
      <c r="J51" s="1">
        <v>0</v>
      </c>
      <c r="K51">
        <v>0</v>
      </c>
      <c r="L51">
        <v>0</v>
      </c>
      <c r="M51">
        <v>0</v>
      </c>
      <c r="N51">
        <v>966</v>
      </c>
      <c r="O51">
        <v>1383</v>
      </c>
      <c r="P51" t="str">
        <f t="shared" si="0"/>
        <v>Monday</v>
      </c>
      <c r="Q51">
        <f t="shared" si="1"/>
        <v>966</v>
      </c>
      <c r="R51" t="str">
        <f t="shared" si="2"/>
        <v>Weekday</v>
      </c>
      <c r="S51" t="str">
        <f t="shared" si="3"/>
        <v>Sedentary</v>
      </c>
    </row>
    <row r="52" spans="1:19" x14ac:dyDescent="0.25">
      <c r="A52">
        <v>1624580081</v>
      </c>
      <c r="B52" s="4">
        <v>42648</v>
      </c>
      <c r="C52">
        <v>2969</v>
      </c>
      <c r="D52" s="1">
        <v>1.9299999475479099</v>
      </c>
      <c r="E52" s="1">
        <v>1.9299999475479099</v>
      </c>
      <c r="F52" s="1">
        <v>0</v>
      </c>
      <c r="G52" s="1">
        <v>0</v>
      </c>
      <c r="H52" s="1">
        <v>0</v>
      </c>
      <c r="I52" s="1">
        <v>1.91999995708466</v>
      </c>
      <c r="J52" s="1">
        <v>9.9999997764825804E-3</v>
      </c>
      <c r="K52">
        <v>0</v>
      </c>
      <c r="L52">
        <v>0</v>
      </c>
      <c r="M52">
        <v>139</v>
      </c>
      <c r="N52">
        <v>1301</v>
      </c>
      <c r="O52">
        <v>1393</v>
      </c>
      <c r="P52" t="str">
        <f t="shared" si="0"/>
        <v>Wednesday</v>
      </c>
      <c r="Q52">
        <f t="shared" si="1"/>
        <v>1440</v>
      </c>
      <c r="R52" t="str">
        <f t="shared" si="2"/>
        <v>Weekday</v>
      </c>
      <c r="S52" t="str">
        <f t="shared" si="3"/>
        <v>Sedentary</v>
      </c>
    </row>
    <row r="53" spans="1:19" x14ac:dyDescent="0.25">
      <c r="A53">
        <v>5553957443</v>
      </c>
      <c r="B53" s="4">
        <v>42477</v>
      </c>
      <c r="C53">
        <v>655</v>
      </c>
      <c r="D53" s="1">
        <v>0.43000000715255698</v>
      </c>
      <c r="E53" s="1">
        <v>0.43000000715255698</v>
      </c>
      <c r="F53" s="1">
        <v>0</v>
      </c>
      <c r="G53" s="1">
        <v>0</v>
      </c>
      <c r="H53" s="1">
        <v>0</v>
      </c>
      <c r="I53" s="1">
        <v>0.43000000715255698</v>
      </c>
      <c r="J53" s="1">
        <v>0</v>
      </c>
      <c r="K53">
        <v>0</v>
      </c>
      <c r="L53">
        <v>0</v>
      </c>
      <c r="M53">
        <v>46</v>
      </c>
      <c r="N53">
        <v>943</v>
      </c>
      <c r="O53">
        <v>1397</v>
      </c>
      <c r="P53" t="str">
        <f t="shared" si="0"/>
        <v>Sunday</v>
      </c>
      <c r="Q53">
        <f t="shared" si="1"/>
        <v>989</v>
      </c>
      <c r="R53" t="str">
        <f t="shared" si="2"/>
        <v>Weekend</v>
      </c>
      <c r="S53" t="str">
        <f t="shared" si="3"/>
        <v>Sedentary</v>
      </c>
    </row>
    <row r="54" spans="1:19" x14ac:dyDescent="0.25">
      <c r="A54">
        <v>3977333714</v>
      </c>
      <c r="B54" s="4">
        <v>42481</v>
      </c>
      <c r="C54">
        <v>6093</v>
      </c>
      <c r="D54" s="1">
        <v>4.0799999237060502</v>
      </c>
      <c r="E54" s="1">
        <v>4.0799999237060502</v>
      </c>
      <c r="F54" s="1">
        <v>0</v>
      </c>
      <c r="G54" s="1">
        <v>0</v>
      </c>
      <c r="H54" s="1">
        <v>0</v>
      </c>
      <c r="I54" s="1">
        <v>4.0599999427795401</v>
      </c>
      <c r="J54" s="1">
        <v>0</v>
      </c>
      <c r="K54">
        <v>0</v>
      </c>
      <c r="L54">
        <v>0</v>
      </c>
      <c r="M54">
        <v>242</v>
      </c>
      <c r="N54">
        <v>712</v>
      </c>
      <c r="O54">
        <v>1397</v>
      </c>
      <c r="P54" t="str">
        <f t="shared" si="0"/>
        <v>Thursday</v>
      </c>
      <c r="Q54">
        <f t="shared" si="1"/>
        <v>954</v>
      </c>
      <c r="R54" t="str">
        <f t="shared" si="2"/>
        <v>Weekday</v>
      </c>
      <c r="S54" t="str">
        <f t="shared" si="3"/>
        <v>Lightly Active</v>
      </c>
    </row>
    <row r="55" spans="1:19" x14ac:dyDescent="0.25">
      <c r="A55">
        <v>2026352035</v>
      </c>
      <c r="B55" s="4">
        <v>42482</v>
      </c>
      <c r="C55">
        <v>2915</v>
      </c>
      <c r="D55" s="1">
        <v>1.8099999427795399</v>
      </c>
      <c r="E55" s="1">
        <v>1.8099999427795399</v>
      </c>
      <c r="F55" s="1">
        <v>0</v>
      </c>
      <c r="G55" s="1">
        <v>0</v>
      </c>
      <c r="H55" s="1">
        <v>0</v>
      </c>
      <c r="I55" s="1">
        <v>1.8099999427795399</v>
      </c>
      <c r="J55" s="1">
        <v>0</v>
      </c>
      <c r="K55">
        <v>0</v>
      </c>
      <c r="L55">
        <v>0</v>
      </c>
      <c r="M55">
        <v>162</v>
      </c>
      <c r="N55">
        <v>712</v>
      </c>
      <c r="O55">
        <v>1399</v>
      </c>
      <c r="P55" t="str">
        <f t="shared" si="0"/>
        <v>Friday</v>
      </c>
      <c r="Q55">
        <f t="shared" si="1"/>
        <v>874</v>
      </c>
      <c r="R55" t="str">
        <f t="shared" si="2"/>
        <v>Weekday</v>
      </c>
      <c r="S55" t="str">
        <f t="shared" si="3"/>
        <v>Sedentary</v>
      </c>
    </row>
    <row r="56" spans="1:19" x14ac:dyDescent="0.25">
      <c r="A56">
        <v>1624580081</v>
      </c>
      <c r="B56" s="4">
        <v>42488</v>
      </c>
      <c r="C56">
        <v>2759</v>
      </c>
      <c r="D56" s="1">
        <v>1.78999996185303</v>
      </c>
      <c r="E56" s="1">
        <v>1.78999996185303</v>
      </c>
      <c r="F56" s="1">
        <v>0</v>
      </c>
      <c r="G56" s="1">
        <v>0</v>
      </c>
      <c r="H56" s="1">
        <v>0.20000000298023199</v>
      </c>
      <c r="I56" s="1">
        <v>1.6000000238418599</v>
      </c>
      <c r="J56" s="1">
        <v>0</v>
      </c>
      <c r="K56">
        <v>0</v>
      </c>
      <c r="L56">
        <v>5</v>
      </c>
      <c r="M56">
        <v>115</v>
      </c>
      <c r="N56">
        <v>1320</v>
      </c>
      <c r="O56">
        <v>1401</v>
      </c>
      <c r="P56" t="str">
        <f t="shared" si="0"/>
        <v>Thursday</v>
      </c>
      <c r="Q56">
        <f t="shared" si="1"/>
        <v>1440</v>
      </c>
      <c r="R56" t="str">
        <f t="shared" si="2"/>
        <v>Weekday</v>
      </c>
      <c r="S56" t="str">
        <f t="shared" si="3"/>
        <v>Sedentary</v>
      </c>
    </row>
    <row r="57" spans="1:19" x14ac:dyDescent="0.25">
      <c r="A57">
        <v>2026352035</v>
      </c>
      <c r="B57" s="4">
        <v>42484</v>
      </c>
      <c r="C57">
        <v>3490</v>
      </c>
      <c r="D57" s="1">
        <v>2.1600000858306898</v>
      </c>
      <c r="E57" s="1">
        <v>2.1600000858306898</v>
      </c>
      <c r="F57" s="1">
        <v>0</v>
      </c>
      <c r="G57" s="1">
        <v>0</v>
      </c>
      <c r="H57" s="1">
        <v>0</v>
      </c>
      <c r="I57" s="1">
        <v>2.1600000858306898</v>
      </c>
      <c r="J57" s="1">
        <v>0</v>
      </c>
      <c r="K57">
        <v>0</v>
      </c>
      <c r="L57">
        <v>0</v>
      </c>
      <c r="M57">
        <v>164</v>
      </c>
      <c r="N57">
        <v>704</v>
      </c>
      <c r="O57">
        <v>1401</v>
      </c>
      <c r="P57" t="str">
        <f t="shared" si="0"/>
        <v>Sunday</v>
      </c>
      <c r="Q57">
        <f t="shared" si="1"/>
        <v>868</v>
      </c>
      <c r="R57" t="str">
        <f t="shared" si="2"/>
        <v>Weekend</v>
      </c>
      <c r="S57" t="str">
        <f t="shared" si="3"/>
        <v>Sedentary</v>
      </c>
    </row>
    <row r="58" spans="1:19" x14ac:dyDescent="0.25">
      <c r="A58">
        <v>1624580081</v>
      </c>
      <c r="B58" s="4">
        <v>42486</v>
      </c>
      <c r="C58">
        <v>2826</v>
      </c>
      <c r="D58" s="1">
        <v>1.8400000333786</v>
      </c>
      <c r="E58" s="1">
        <v>1.8400000333786</v>
      </c>
      <c r="F58" s="1">
        <v>0</v>
      </c>
      <c r="G58" s="1">
        <v>0</v>
      </c>
      <c r="H58" s="1">
        <v>0</v>
      </c>
      <c r="I58" s="1">
        <v>1.83000004291534</v>
      </c>
      <c r="J58" s="1">
        <v>9.9999997764825804E-3</v>
      </c>
      <c r="K58">
        <v>0</v>
      </c>
      <c r="L58">
        <v>0</v>
      </c>
      <c r="M58">
        <v>140</v>
      </c>
      <c r="N58">
        <v>1300</v>
      </c>
      <c r="O58">
        <v>1402</v>
      </c>
      <c r="P58" t="str">
        <f t="shared" si="0"/>
        <v>Tuesday</v>
      </c>
      <c r="Q58">
        <f t="shared" si="1"/>
        <v>1440</v>
      </c>
      <c r="R58" t="str">
        <f t="shared" si="2"/>
        <v>Weekday</v>
      </c>
      <c r="S58" t="str">
        <f t="shared" si="3"/>
        <v>Sedentary</v>
      </c>
    </row>
    <row r="59" spans="1:19" x14ac:dyDescent="0.25">
      <c r="A59">
        <v>2320127002</v>
      </c>
      <c r="B59" s="4">
        <v>42374</v>
      </c>
      <c r="C59">
        <v>772</v>
      </c>
      <c r="D59" s="1">
        <v>0.519999980926514</v>
      </c>
      <c r="E59" s="1">
        <v>0.519999980926514</v>
      </c>
      <c r="F59" s="1">
        <v>0</v>
      </c>
      <c r="G59" s="1">
        <v>0</v>
      </c>
      <c r="H59" s="1">
        <v>0</v>
      </c>
      <c r="I59" s="1">
        <v>0.519999980926514</v>
      </c>
      <c r="J59" s="1">
        <v>0</v>
      </c>
      <c r="K59">
        <v>0</v>
      </c>
      <c r="L59">
        <v>0</v>
      </c>
      <c r="M59">
        <v>40</v>
      </c>
      <c r="N59">
        <v>1400</v>
      </c>
      <c r="O59">
        <v>1403</v>
      </c>
      <c r="P59" t="str">
        <f t="shared" si="0"/>
        <v>Tuesday</v>
      </c>
      <c r="Q59">
        <f t="shared" si="1"/>
        <v>1440</v>
      </c>
      <c r="R59" t="str">
        <f t="shared" si="2"/>
        <v>Weekday</v>
      </c>
      <c r="S59" t="str">
        <f t="shared" si="3"/>
        <v>Sedentary</v>
      </c>
    </row>
    <row r="60" spans="1:19" x14ac:dyDescent="0.25">
      <c r="A60">
        <v>1624580081</v>
      </c>
      <c r="B60" s="4">
        <v>42489</v>
      </c>
      <c r="C60">
        <v>2390</v>
      </c>
      <c r="D60" s="1">
        <v>1.54999995231628</v>
      </c>
      <c r="E60" s="1">
        <v>1.54999995231628</v>
      </c>
      <c r="F60" s="1">
        <v>0</v>
      </c>
      <c r="G60" s="1">
        <v>0</v>
      </c>
      <c r="H60" s="1">
        <v>0</v>
      </c>
      <c r="I60" s="1">
        <v>1.54999995231628</v>
      </c>
      <c r="J60" s="1">
        <v>0</v>
      </c>
      <c r="K60">
        <v>0</v>
      </c>
      <c r="L60">
        <v>0</v>
      </c>
      <c r="M60">
        <v>150</v>
      </c>
      <c r="N60">
        <v>1290</v>
      </c>
      <c r="O60">
        <v>1404</v>
      </c>
      <c r="P60" t="str">
        <f t="shared" si="0"/>
        <v>Friday</v>
      </c>
      <c r="Q60">
        <f t="shared" si="1"/>
        <v>1440</v>
      </c>
      <c r="R60" t="str">
        <f t="shared" si="2"/>
        <v>Weekday</v>
      </c>
      <c r="S60" t="str">
        <f t="shared" si="3"/>
        <v>Sedentary</v>
      </c>
    </row>
    <row r="61" spans="1:19" x14ac:dyDescent="0.25">
      <c r="A61">
        <v>3977333714</v>
      </c>
      <c r="B61" s="4">
        <v>42488</v>
      </c>
      <c r="C61">
        <v>7114</v>
      </c>
      <c r="D61" s="1">
        <v>4.8800001144409197</v>
      </c>
      <c r="E61" s="1">
        <v>4.8800001144409197</v>
      </c>
      <c r="F61" s="1">
        <v>0</v>
      </c>
      <c r="G61" s="1">
        <v>1.37000000476837</v>
      </c>
      <c r="H61" s="1">
        <v>0.28999999165535001</v>
      </c>
      <c r="I61" s="1">
        <v>3.2200000286102299</v>
      </c>
      <c r="J61" s="1">
        <v>0</v>
      </c>
      <c r="K61">
        <v>15</v>
      </c>
      <c r="L61">
        <v>8</v>
      </c>
      <c r="M61">
        <v>190</v>
      </c>
      <c r="N61">
        <v>804</v>
      </c>
      <c r="O61">
        <v>1407</v>
      </c>
      <c r="P61" t="str">
        <f t="shared" si="0"/>
        <v>Thursday</v>
      </c>
      <c r="Q61">
        <f t="shared" si="1"/>
        <v>1017</v>
      </c>
      <c r="R61" t="str">
        <f t="shared" si="2"/>
        <v>Weekday</v>
      </c>
      <c r="S61" t="str">
        <f t="shared" si="3"/>
        <v>Lightly Active</v>
      </c>
    </row>
    <row r="62" spans="1:19" x14ac:dyDescent="0.25">
      <c r="A62">
        <v>2320127002</v>
      </c>
      <c r="B62" s="4">
        <v>42489</v>
      </c>
      <c r="C62">
        <v>924</v>
      </c>
      <c r="D62" s="1">
        <v>0.62000000476837203</v>
      </c>
      <c r="E62" s="1">
        <v>0.62000000476837203</v>
      </c>
      <c r="F62" s="1">
        <v>0</v>
      </c>
      <c r="G62" s="1">
        <v>0</v>
      </c>
      <c r="H62" s="1">
        <v>0</v>
      </c>
      <c r="I62" s="1">
        <v>0.62000000476837203</v>
      </c>
      <c r="J62" s="1">
        <v>0</v>
      </c>
      <c r="K62">
        <v>0</v>
      </c>
      <c r="L62">
        <v>0</v>
      </c>
      <c r="M62">
        <v>45</v>
      </c>
      <c r="N62">
        <v>1395</v>
      </c>
      <c r="O62">
        <v>1410</v>
      </c>
      <c r="P62" t="str">
        <f t="shared" si="0"/>
        <v>Friday</v>
      </c>
      <c r="Q62">
        <f t="shared" si="1"/>
        <v>1440</v>
      </c>
      <c r="R62" t="str">
        <f t="shared" si="2"/>
        <v>Weekday</v>
      </c>
      <c r="S62" t="str">
        <f t="shared" si="3"/>
        <v>Sedentary</v>
      </c>
    </row>
    <row r="63" spans="1:19" x14ac:dyDescent="0.25">
      <c r="A63">
        <v>1624580081</v>
      </c>
      <c r="B63" s="4">
        <v>42473</v>
      </c>
      <c r="C63">
        <v>7007</v>
      </c>
      <c r="D63" s="1">
        <v>4.5500001907348597</v>
      </c>
      <c r="E63" s="1">
        <v>4.5500001907348597</v>
      </c>
      <c r="F63" s="1">
        <v>0</v>
      </c>
      <c r="G63" s="1">
        <v>0</v>
      </c>
      <c r="H63" s="1">
        <v>0</v>
      </c>
      <c r="I63" s="1">
        <v>4.5500001907348597</v>
      </c>
      <c r="J63" s="1">
        <v>0</v>
      </c>
      <c r="K63">
        <v>0</v>
      </c>
      <c r="L63">
        <v>0</v>
      </c>
      <c r="M63">
        <v>148</v>
      </c>
      <c r="N63">
        <v>1292</v>
      </c>
      <c r="O63">
        <v>1411</v>
      </c>
      <c r="P63" t="str">
        <f t="shared" si="0"/>
        <v>Wednesday</v>
      </c>
      <c r="Q63">
        <f t="shared" si="1"/>
        <v>1440</v>
      </c>
      <c r="R63" t="str">
        <f t="shared" si="2"/>
        <v>Weekday</v>
      </c>
      <c r="S63" t="str">
        <f t="shared" si="3"/>
        <v>Lightly Active</v>
      </c>
    </row>
    <row r="64" spans="1:19" x14ac:dyDescent="0.25">
      <c r="A64">
        <v>2026352035</v>
      </c>
      <c r="B64" s="4">
        <v>42478</v>
      </c>
      <c r="C64">
        <v>3325</v>
      </c>
      <c r="D64" s="1">
        <v>2.0599999427795401</v>
      </c>
      <c r="E64" s="1">
        <v>2.0599999427795401</v>
      </c>
      <c r="F64" s="1">
        <v>0</v>
      </c>
      <c r="G64" s="1">
        <v>0</v>
      </c>
      <c r="H64" s="1">
        <v>0</v>
      </c>
      <c r="I64" s="1">
        <v>2.0599999427795401</v>
      </c>
      <c r="J64" s="1">
        <v>0</v>
      </c>
      <c r="K64">
        <v>0</v>
      </c>
      <c r="L64">
        <v>0</v>
      </c>
      <c r="M64">
        <v>182</v>
      </c>
      <c r="N64">
        <v>1062</v>
      </c>
      <c r="O64">
        <v>1419</v>
      </c>
      <c r="P64" t="str">
        <f t="shared" si="0"/>
        <v>Monday</v>
      </c>
      <c r="Q64">
        <f t="shared" si="1"/>
        <v>1244</v>
      </c>
      <c r="R64" t="str">
        <f t="shared" si="2"/>
        <v>Weekday</v>
      </c>
      <c r="S64" t="str">
        <f t="shared" si="3"/>
        <v>Sedentary</v>
      </c>
    </row>
    <row r="65" spans="1:19" x14ac:dyDescent="0.25">
      <c r="A65">
        <v>2320127002</v>
      </c>
      <c r="B65" s="4">
        <v>42465</v>
      </c>
      <c r="C65">
        <v>1201</v>
      </c>
      <c r="D65" s="1">
        <v>0.81000000238418601</v>
      </c>
      <c r="E65" s="1">
        <v>0.81000000238418601</v>
      </c>
      <c r="F65" s="1">
        <v>0</v>
      </c>
      <c r="G65" s="1">
        <v>0</v>
      </c>
      <c r="H65" s="1">
        <v>0</v>
      </c>
      <c r="I65" s="1">
        <v>0.81000000238418601</v>
      </c>
      <c r="J65" s="1">
        <v>0</v>
      </c>
      <c r="K65">
        <v>0</v>
      </c>
      <c r="L65">
        <v>0</v>
      </c>
      <c r="M65">
        <v>52</v>
      </c>
      <c r="N65">
        <v>1388</v>
      </c>
      <c r="O65">
        <v>1426</v>
      </c>
      <c r="P65" t="str">
        <f t="shared" si="0"/>
        <v>Tuesday</v>
      </c>
      <c r="Q65">
        <f t="shared" si="1"/>
        <v>1440</v>
      </c>
      <c r="R65" t="str">
        <f t="shared" si="2"/>
        <v>Weekday</v>
      </c>
      <c r="S65" t="str">
        <f t="shared" si="3"/>
        <v>Sedentary</v>
      </c>
    </row>
    <row r="66" spans="1:19" x14ac:dyDescent="0.25">
      <c r="A66">
        <v>1624580081</v>
      </c>
      <c r="B66" s="4">
        <v>42587</v>
      </c>
      <c r="C66">
        <v>3427</v>
      </c>
      <c r="D66" s="1">
        <v>2.2300000190734899</v>
      </c>
      <c r="E66" s="1">
        <v>2.2300000190734899</v>
      </c>
      <c r="F66" s="1">
        <v>0</v>
      </c>
      <c r="G66" s="1">
        <v>0</v>
      </c>
      <c r="H66" s="1">
        <v>0</v>
      </c>
      <c r="I66" s="1">
        <v>2.2200000286102299</v>
      </c>
      <c r="J66" s="1">
        <v>0</v>
      </c>
      <c r="K66">
        <v>0</v>
      </c>
      <c r="L66">
        <v>0</v>
      </c>
      <c r="M66">
        <v>152</v>
      </c>
      <c r="N66">
        <v>1288</v>
      </c>
      <c r="O66">
        <v>1427</v>
      </c>
      <c r="P66" t="str">
        <f t="shared" ref="P66:P129" si="4">TEXT(B66,"dddd")</f>
        <v>Friday</v>
      </c>
      <c r="Q66">
        <f t="shared" ref="Q66:Q129" si="5">SUM(K66:N66)</f>
        <v>1440</v>
      </c>
      <c r="R66" t="str">
        <f t="shared" ref="R66:R129" si="6">IF(WEEKDAY(B66,2)&lt;=5,"Weekday","Weekend")</f>
        <v>Weekday</v>
      </c>
      <c r="S66" t="str">
        <f t="shared" ref="S66:S129" si="7">IF(C66&lt;5000,"Sedentary",IF(C66&lt;7500,"Lightly Active",IF(C66&lt;10000,"Fairly Active","Very_Active")))</f>
        <v>Sedentary</v>
      </c>
    </row>
    <row r="67" spans="1:19" x14ac:dyDescent="0.25">
      <c r="A67">
        <v>2026352035</v>
      </c>
      <c r="B67" s="4">
        <v>42474</v>
      </c>
      <c r="C67">
        <v>3335</v>
      </c>
      <c r="D67" s="1">
        <v>2.0699999332428001</v>
      </c>
      <c r="E67" s="1">
        <v>2.0699999332428001</v>
      </c>
      <c r="F67" s="1">
        <v>0</v>
      </c>
      <c r="G67" s="1">
        <v>0</v>
      </c>
      <c r="H67" s="1">
        <v>0</v>
      </c>
      <c r="I67" s="1">
        <v>2.0499999523162802</v>
      </c>
      <c r="J67" s="1">
        <v>0</v>
      </c>
      <c r="K67">
        <v>0</v>
      </c>
      <c r="L67">
        <v>0</v>
      </c>
      <c r="M67">
        <v>197</v>
      </c>
      <c r="N67">
        <v>653</v>
      </c>
      <c r="O67">
        <v>1431</v>
      </c>
      <c r="P67" t="str">
        <f t="shared" si="4"/>
        <v>Thursday</v>
      </c>
      <c r="Q67">
        <f t="shared" si="5"/>
        <v>850</v>
      </c>
      <c r="R67" t="str">
        <f t="shared" si="6"/>
        <v>Weekday</v>
      </c>
      <c r="S67" t="str">
        <f t="shared" si="7"/>
        <v>Sedentary</v>
      </c>
    </row>
    <row r="68" spans="1:19" x14ac:dyDescent="0.25">
      <c r="A68">
        <v>2873212765</v>
      </c>
      <c r="B68" s="4">
        <v>42709</v>
      </c>
      <c r="C68">
        <v>7566</v>
      </c>
      <c r="D68" s="1">
        <v>5.1100001335143999</v>
      </c>
      <c r="E68" s="1">
        <v>5.1100001335143999</v>
      </c>
      <c r="F68" s="1">
        <v>0</v>
      </c>
      <c r="G68" s="1">
        <v>0</v>
      </c>
      <c r="H68" s="1">
        <v>0</v>
      </c>
      <c r="I68" s="1">
        <v>5.1100001335143999</v>
      </c>
      <c r="J68" s="1">
        <v>0</v>
      </c>
      <c r="K68">
        <v>0</v>
      </c>
      <c r="L68">
        <v>0</v>
      </c>
      <c r="M68">
        <v>268</v>
      </c>
      <c r="N68">
        <v>720</v>
      </c>
      <c r="O68">
        <v>1431</v>
      </c>
      <c r="P68" t="str">
        <f t="shared" si="4"/>
        <v>Monday</v>
      </c>
      <c r="Q68">
        <f t="shared" si="5"/>
        <v>988</v>
      </c>
      <c r="R68" t="str">
        <f t="shared" si="6"/>
        <v>Weekday</v>
      </c>
      <c r="S68" t="str">
        <f t="shared" si="7"/>
        <v>Fairly Active</v>
      </c>
    </row>
    <row r="69" spans="1:19" x14ac:dyDescent="0.25">
      <c r="A69">
        <v>1624580081</v>
      </c>
      <c r="B69" s="4">
        <v>42708</v>
      </c>
      <c r="C69">
        <v>8163</v>
      </c>
      <c r="D69" s="1">
        <v>5.3099999427795401</v>
      </c>
      <c r="E69" s="1">
        <v>5.3099999427795401</v>
      </c>
      <c r="F69" s="1">
        <v>0</v>
      </c>
      <c r="G69" s="1">
        <v>0</v>
      </c>
      <c r="H69" s="1">
        <v>0</v>
      </c>
      <c r="I69" s="1">
        <v>5.3099999427795401</v>
      </c>
      <c r="J69" s="1">
        <v>0</v>
      </c>
      <c r="K69">
        <v>0</v>
      </c>
      <c r="L69">
        <v>0</v>
      </c>
      <c r="M69">
        <v>146</v>
      </c>
      <c r="N69">
        <v>1294</v>
      </c>
      <c r="O69">
        <v>1432</v>
      </c>
      <c r="P69" t="str">
        <f t="shared" si="4"/>
        <v>Sunday</v>
      </c>
      <c r="Q69">
        <f t="shared" si="5"/>
        <v>1440</v>
      </c>
      <c r="R69" t="str">
        <f t="shared" si="6"/>
        <v>Weekend</v>
      </c>
      <c r="S69" t="str">
        <f t="shared" si="7"/>
        <v>Fairly Active</v>
      </c>
    </row>
    <row r="70" spans="1:19" x14ac:dyDescent="0.25">
      <c r="A70">
        <v>3977333714</v>
      </c>
      <c r="B70" s="4">
        <v>42474</v>
      </c>
      <c r="C70">
        <v>7641</v>
      </c>
      <c r="D70" s="1">
        <v>5.1100001335143999</v>
      </c>
      <c r="E70" s="1">
        <v>5.1100001335143999</v>
      </c>
      <c r="F70" s="1">
        <v>0</v>
      </c>
      <c r="G70" s="1">
        <v>0.31999999284744302</v>
      </c>
      <c r="H70" s="1">
        <v>0.97000002861022905</v>
      </c>
      <c r="I70" s="1">
        <v>3.8199999332428001</v>
      </c>
      <c r="J70" s="1">
        <v>0</v>
      </c>
      <c r="K70">
        <v>5</v>
      </c>
      <c r="L70">
        <v>23</v>
      </c>
      <c r="M70">
        <v>214</v>
      </c>
      <c r="N70">
        <v>801</v>
      </c>
      <c r="O70">
        <v>1433</v>
      </c>
      <c r="P70" t="str">
        <f t="shared" si="4"/>
        <v>Thursday</v>
      </c>
      <c r="Q70">
        <f t="shared" si="5"/>
        <v>1043</v>
      </c>
      <c r="R70" t="str">
        <f t="shared" si="6"/>
        <v>Weekday</v>
      </c>
      <c r="S70" t="str">
        <f t="shared" si="7"/>
        <v>Fairly Active</v>
      </c>
    </row>
    <row r="71" spans="1:19" x14ac:dyDescent="0.25">
      <c r="A71">
        <v>1624580081</v>
      </c>
      <c r="B71" s="4">
        <v>42479</v>
      </c>
      <c r="C71">
        <v>2916</v>
      </c>
      <c r="D71" s="1">
        <v>1.8999999761581401</v>
      </c>
      <c r="E71" s="1">
        <v>1.8999999761581401</v>
      </c>
      <c r="F71" s="1">
        <v>0</v>
      </c>
      <c r="G71" s="1">
        <v>0</v>
      </c>
      <c r="H71" s="1">
        <v>0</v>
      </c>
      <c r="I71" s="1">
        <v>1.8999999761581401</v>
      </c>
      <c r="J71" s="1">
        <v>0</v>
      </c>
      <c r="K71">
        <v>0</v>
      </c>
      <c r="L71">
        <v>0</v>
      </c>
      <c r="M71">
        <v>141</v>
      </c>
      <c r="N71">
        <v>1299</v>
      </c>
      <c r="O71">
        <v>1435</v>
      </c>
      <c r="P71" t="str">
        <f t="shared" si="4"/>
        <v>Tuesday</v>
      </c>
      <c r="Q71">
        <f t="shared" si="5"/>
        <v>1440</v>
      </c>
      <c r="R71" t="str">
        <f t="shared" si="6"/>
        <v>Weekday</v>
      </c>
      <c r="S71" t="str">
        <f t="shared" si="7"/>
        <v>Sedentary</v>
      </c>
    </row>
    <row r="72" spans="1:19" x14ac:dyDescent="0.25">
      <c r="A72">
        <v>2026352035</v>
      </c>
      <c r="B72" s="4">
        <v>42475</v>
      </c>
      <c r="C72">
        <v>3821</v>
      </c>
      <c r="D72" s="1">
        <v>2.3699998855590798</v>
      </c>
      <c r="E72" s="1">
        <v>2.3699998855590798</v>
      </c>
      <c r="F72" s="1">
        <v>0</v>
      </c>
      <c r="G72" s="1">
        <v>0</v>
      </c>
      <c r="H72" s="1">
        <v>0</v>
      </c>
      <c r="I72" s="1">
        <v>2.3699998855590798</v>
      </c>
      <c r="J72" s="1">
        <v>0</v>
      </c>
      <c r="K72">
        <v>0</v>
      </c>
      <c r="L72">
        <v>0</v>
      </c>
      <c r="M72">
        <v>188</v>
      </c>
      <c r="N72">
        <v>687</v>
      </c>
      <c r="O72">
        <v>1444</v>
      </c>
      <c r="P72" t="str">
        <f t="shared" si="4"/>
        <v>Friday</v>
      </c>
      <c r="Q72">
        <f t="shared" si="5"/>
        <v>875</v>
      </c>
      <c r="R72" t="str">
        <f t="shared" si="6"/>
        <v>Weekday</v>
      </c>
      <c r="S72" t="str">
        <f t="shared" si="7"/>
        <v>Sedentary</v>
      </c>
    </row>
    <row r="73" spans="1:19" x14ac:dyDescent="0.25">
      <c r="A73">
        <v>1624580081</v>
      </c>
      <c r="B73" s="4">
        <v>42480</v>
      </c>
      <c r="C73">
        <v>4974</v>
      </c>
      <c r="D73" s="1">
        <v>3.2300000190734899</v>
      </c>
      <c r="E73" s="1">
        <v>3.2300000190734899</v>
      </c>
      <c r="F73" s="1">
        <v>0</v>
      </c>
      <c r="G73" s="1">
        <v>0</v>
      </c>
      <c r="H73" s="1">
        <v>0</v>
      </c>
      <c r="I73" s="1">
        <v>3.2300000190734899</v>
      </c>
      <c r="J73" s="1">
        <v>0</v>
      </c>
      <c r="K73">
        <v>0</v>
      </c>
      <c r="L73">
        <v>0</v>
      </c>
      <c r="M73">
        <v>151</v>
      </c>
      <c r="N73">
        <v>1289</v>
      </c>
      <c r="O73">
        <v>1446</v>
      </c>
      <c r="P73" t="str">
        <f t="shared" si="4"/>
        <v>Wednesday</v>
      </c>
      <c r="Q73">
        <f t="shared" si="5"/>
        <v>1440</v>
      </c>
      <c r="R73" t="str">
        <f t="shared" si="6"/>
        <v>Weekday</v>
      </c>
      <c r="S73" t="str">
        <f t="shared" si="7"/>
        <v>Sedentary</v>
      </c>
    </row>
    <row r="74" spans="1:19" x14ac:dyDescent="0.25">
      <c r="A74">
        <v>2026352035</v>
      </c>
      <c r="B74" s="4">
        <v>42374</v>
      </c>
      <c r="C74">
        <v>3609</v>
      </c>
      <c r="D74" s="1">
        <v>2.2799999713897701</v>
      </c>
      <c r="E74" s="1">
        <v>2.2799999713897701</v>
      </c>
      <c r="F74" s="1">
        <v>0</v>
      </c>
      <c r="G74" s="1">
        <v>0</v>
      </c>
      <c r="H74" s="1">
        <v>0</v>
      </c>
      <c r="I74" s="1">
        <v>2.2799999713897701</v>
      </c>
      <c r="J74" s="1">
        <v>0</v>
      </c>
      <c r="K74">
        <v>0</v>
      </c>
      <c r="L74">
        <v>0</v>
      </c>
      <c r="M74">
        <v>191</v>
      </c>
      <c r="N74">
        <v>716</v>
      </c>
      <c r="O74">
        <v>1447</v>
      </c>
      <c r="P74" t="str">
        <f t="shared" si="4"/>
        <v>Tuesday</v>
      </c>
      <c r="Q74">
        <f t="shared" si="5"/>
        <v>907</v>
      </c>
      <c r="R74" t="str">
        <f t="shared" si="6"/>
        <v>Weekday</v>
      </c>
      <c r="S74" t="str">
        <f t="shared" si="7"/>
        <v>Sedentary</v>
      </c>
    </row>
    <row r="75" spans="1:19" x14ac:dyDescent="0.25">
      <c r="A75">
        <v>3977333714</v>
      </c>
      <c r="B75" s="4">
        <v>42708</v>
      </c>
      <c r="C75">
        <v>8856</v>
      </c>
      <c r="D75" s="1">
        <v>5.9800000190734899</v>
      </c>
      <c r="E75" s="1">
        <v>5.9800000190734899</v>
      </c>
      <c r="F75" s="1">
        <v>0</v>
      </c>
      <c r="G75" s="1">
        <v>3.0599999427795401</v>
      </c>
      <c r="H75" s="1">
        <v>0.91000002622604403</v>
      </c>
      <c r="I75" s="1">
        <v>2.0099999904632599</v>
      </c>
      <c r="J75" s="1">
        <v>0</v>
      </c>
      <c r="K75">
        <v>44</v>
      </c>
      <c r="L75">
        <v>19</v>
      </c>
      <c r="M75">
        <v>131</v>
      </c>
      <c r="N75">
        <v>777</v>
      </c>
      <c r="O75">
        <v>1450</v>
      </c>
      <c r="P75" t="str">
        <f t="shared" si="4"/>
        <v>Sunday</v>
      </c>
      <c r="Q75">
        <f t="shared" si="5"/>
        <v>971</v>
      </c>
      <c r="R75" t="str">
        <f t="shared" si="6"/>
        <v>Weekend</v>
      </c>
      <c r="S75" t="str">
        <f t="shared" si="7"/>
        <v>Fairly Active</v>
      </c>
    </row>
    <row r="76" spans="1:19" x14ac:dyDescent="0.25">
      <c r="A76">
        <v>4558609924</v>
      </c>
      <c r="B76" s="4">
        <v>42709</v>
      </c>
      <c r="C76">
        <v>6307</v>
      </c>
      <c r="D76" s="1">
        <v>4.1700000762939498</v>
      </c>
      <c r="E76" s="1">
        <v>4.1700000762939498</v>
      </c>
      <c r="F76" s="1">
        <v>0</v>
      </c>
      <c r="G76" s="1">
        <v>0</v>
      </c>
      <c r="H76" s="1">
        <v>0</v>
      </c>
      <c r="I76" s="1">
        <v>4.1700000762939498</v>
      </c>
      <c r="J76" s="1">
        <v>0</v>
      </c>
      <c r="K76">
        <v>0</v>
      </c>
      <c r="L76">
        <v>0</v>
      </c>
      <c r="M76">
        <v>247</v>
      </c>
      <c r="N76">
        <v>736</v>
      </c>
      <c r="O76">
        <v>1452</v>
      </c>
      <c r="P76" t="str">
        <f t="shared" si="4"/>
        <v>Monday</v>
      </c>
      <c r="Q76">
        <f t="shared" si="5"/>
        <v>983</v>
      </c>
      <c r="R76" t="str">
        <f t="shared" si="6"/>
        <v>Weekday</v>
      </c>
      <c r="S76" t="str">
        <f t="shared" si="7"/>
        <v>Lightly Active</v>
      </c>
    </row>
    <row r="77" spans="1:19" x14ac:dyDescent="0.25">
      <c r="A77">
        <v>2026352035</v>
      </c>
      <c r="B77" s="4">
        <v>42708</v>
      </c>
      <c r="C77">
        <v>4414</v>
      </c>
      <c r="D77" s="1">
        <v>2.7400000095367401</v>
      </c>
      <c r="E77" s="1">
        <v>2.7400000095367401</v>
      </c>
      <c r="F77" s="1">
        <v>0</v>
      </c>
      <c r="G77" s="1">
        <v>0.18999999761581399</v>
      </c>
      <c r="H77" s="1">
        <v>0.34999999403953602</v>
      </c>
      <c r="I77" s="1">
        <v>2.2000000476837198</v>
      </c>
      <c r="J77" s="1">
        <v>0</v>
      </c>
      <c r="K77">
        <v>3</v>
      </c>
      <c r="L77">
        <v>8</v>
      </c>
      <c r="M77">
        <v>181</v>
      </c>
      <c r="N77">
        <v>706</v>
      </c>
      <c r="O77">
        <v>1459</v>
      </c>
      <c r="P77" t="str">
        <f t="shared" si="4"/>
        <v>Sunday</v>
      </c>
      <c r="Q77">
        <f t="shared" si="5"/>
        <v>898</v>
      </c>
      <c r="R77" t="str">
        <f t="shared" si="6"/>
        <v>Weekend</v>
      </c>
      <c r="S77" t="str">
        <f t="shared" si="7"/>
        <v>Sedentary</v>
      </c>
    </row>
    <row r="78" spans="1:19" x14ac:dyDescent="0.25">
      <c r="A78">
        <v>5553957443</v>
      </c>
      <c r="B78" s="4">
        <v>42490</v>
      </c>
      <c r="C78">
        <v>1202</v>
      </c>
      <c r="D78" s="1">
        <v>0.77999997138977095</v>
      </c>
      <c r="E78" s="1">
        <v>0.77999997138977095</v>
      </c>
      <c r="F78" s="1">
        <v>0</v>
      </c>
      <c r="G78" s="1">
        <v>0</v>
      </c>
      <c r="H78" s="1">
        <v>0</v>
      </c>
      <c r="I78" s="1">
        <v>0.77999997138977095</v>
      </c>
      <c r="J78" s="1">
        <v>0</v>
      </c>
      <c r="K78">
        <v>0</v>
      </c>
      <c r="L78">
        <v>0</v>
      </c>
      <c r="M78">
        <v>84</v>
      </c>
      <c r="N78">
        <v>506</v>
      </c>
      <c r="O78">
        <v>1463</v>
      </c>
      <c r="P78" t="str">
        <f t="shared" si="4"/>
        <v>Saturday</v>
      </c>
      <c r="Q78">
        <f t="shared" si="5"/>
        <v>590</v>
      </c>
      <c r="R78" t="str">
        <f t="shared" si="6"/>
        <v>Weekend</v>
      </c>
      <c r="S78" t="str">
        <f t="shared" si="7"/>
        <v>Sedentary</v>
      </c>
    </row>
    <row r="79" spans="1:19" x14ac:dyDescent="0.25">
      <c r="A79">
        <v>1624580081</v>
      </c>
      <c r="B79" s="4">
        <v>42476</v>
      </c>
      <c r="C79">
        <v>5370</v>
      </c>
      <c r="D79" s="1">
        <v>3.4900000095367401</v>
      </c>
      <c r="E79" s="1">
        <v>3.4900000095367401</v>
      </c>
      <c r="F79" s="1">
        <v>0</v>
      </c>
      <c r="G79" s="1">
        <v>0</v>
      </c>
      <c r="H79" s="1">
        <v>0</v>
      </c>
      <c r="I79" s="1">
        <v>3.4900000095367401</v>
      </c>
      <c r="J79" s="1">
        <v>0</v>
      </c>
      <c r="K79">
        <v>0</v>
      </c>
      <c r="L79">
        <v>0</v>
      </c>
      <c r="M79">
        <v>176</v>
      </c>
      <c r="N79">
        <v>1264</v>
      </c>
      <c r="O79">
        <v>1463</v>
      </c>
      <c r="P79" t="str">
        <f t="shared" si="4"/>
        <v>Saturday</v>
      </c>
      <c r="Q79">
        <f t="shared" si="5"/>
        <v>1440</v>
      </c>
      <c r="R79" t="str">
        <f t="shared" si="6"/>
        <v>Weekend</v>
      </c>
      <c r="S79" t="str">
        <f t="shared" si="7"/>
        <v>Lightly Active</v>
      </c>
    </row>
    <row r="80" spans="1:19" x14ac:dyDescent="0.25">
      <c r="A80">
        <v>4319703577</v>
      </c>
      <c r="B80" s="4">
        <v>42477</v>
      </c>
      <c r="C80">
        <v>29</v>
      </c>
      <c r="D80" s="1">
        <v>1.9999999552965199E-2</v>
      </c>
      <c r="E80" s="1">
        <v>1.9999999552965199E-2</v>
      </c>
      <c r="F80" s="1">
        <v>0</v>
      </c>
      <c r="G80" s="1">
        <v>0</v>
      </c>
      <c r="H80" s="1">
        <v>0</v>
      </c>
      <c r="I80" s="1">
        <v>1.9999999552965199E-2</v>
      </c>
      <c r="J80" s="1">
        <v>0</v>
      </c>
      <c r="K80">
        <v>0</v>
      </c>
      <c r="L80">
        <v>0</v>
      </c>
      <c r="M80">
        <v>3</v>
      </c>
      <c r="N80">
        <v>1363</v>
      </c>
      <c r="O80">
        <v>1464</v>
      </c>
      <c r="P80" t="str">
        <f t="shared" si="4"/>
        <v>Sunday</v>
      </c>
      <c r="Q80">
        <f t="shared" si="5"/>
        <v>1366</v>
      </c>
      <c r="R80" t="str">
        <f t="shared" si="6"/>
        <v>Weekend</v>
      </c>
      <c r="S80" t="str">
        <f t="shared" si="7"/>
        <v>Sedentary</v>
      </c>
    </row>
    <row r="81" spans="1:19" x14ac:dyDescent="0.25">
      <c r="A81">
        <v>6962181067</v>
      </c>
      <c r="B81" s="4">
        <v>42474</v>
      </c>
      <c r="C81">
        <v>1551</v>
      </c>
      <c r="D81" s="1">
        <v>1.0299999713897701</v>
      </c>
      <c r="E81" s="1">
        <v>1.0299999713897701</v>
      </c>
      <c r="F81" s="1">
        <v>0</v>
      </c>
      <c r="G81" s="1">
        <v>0</v>
      </c>
      <c r="H81" s="1">
        <v>0</v>
      </c>
      <c r="I81" s="1">
        <v>1.0299999713897701</v>
      </c>
      <c r="J81" s="1">
        <v>0</v>
      </c>
      <c r="K81">
        <v>0</v>
      </c>
      <c r="L81">
        <v>0</v>
      </c>
      <c r="M81">
        <v>86</v>
      </c>
      <c r="N81">
        <v>862</v>
      </c>
      <c r="O81">
        <v>1466</v>
      </c>
      <c r="P81" t="str">
        <f t="shared" si="4"/>
        <v>Thursday</v>
      </c>
      <c r="Q81">
        <f t="shared" si="5"/>
        <v>948</v>
      </c>
      <c r="R81" t="str">
        <f t="shared" si="6"/>
        <v>Weekday</v>
      </c>
      <c r="S81" t="str">
        <f t="shared" si="7"/>
        <v>Sedentary</v>
      </c>
    </row>
    <row r="82" spans="1:19" x14ac:dyDescent="0.25">
      <c r="A82">
        <v>1624580081</v>
      </c>
      <c r="B82" s="4">
        <v>42481</v>
      </c>
      <c r="C82">
        <v>6349</v>
      </c>
      <c r="D82" s="1">
        <v>4.1300001144409197</v>
      </c>
      <c r="E82" s="1">
        <v>4.1300001144409197</v>
      </c>
      <c r="F82" s="1">
        <v>0</v>
      </c>
      <c r="G82" s="1">
        <v>0</v>
      </c>
      <c r="H82" s="1">
        <v>0</v>
      </c>
      <c r="I82" s="1">
        <v>4.1100001335143999</v>
      </c>
      <c r="J82" s="1">
        <v>1.9999999552965199E-2</v>
      </c>
      <c r="K82">
        <v>0</v>
      </c>
      <c r="L82">
        <v>0</v>
      </c>
      <c r="M82">
        <v>186</v>
      </c>
      <c r="N82">
        <v>1254</v>
      </c>
      <c r="O82">
        <v>1467</v>
      </c>
      <c r="P82" t="str">
        <f t="shared" si="4"/>
        <v>Thursday</v>
      </c>
      <c r="Q82">
        <f t="shared" si="5"/>
        <v>1440</v>
      </c>
      <c r="R82" t="str">
        <f t="shared" si="6"/>
        <v>Weekday</v>
      </c>
      <c r="S82" t="str">
        <f t="shared" si="7"/>
        <v>Lightly Active</v>
      </c>
    </row>
    <row r="83" spans="1:19" x14ac:dyDescent="0.25">
      <c r="A83">
        <v>3977333714</v>
      </c>
      <c r="B83" s="4">
        <v>42475</v>
      </c>
      <c r="C83">
        <v>9010</v>
      </c>
      <c r="D83" s="1">
        <v>6.0599999427795401</v>
      </c>
      <c r="E83" s="1">
        <v>6.0599999427795401</v>
      </c>
      <c r="F83" s="1">
        <v>0</v>
      </c>
      <c r="G83" s="1">
        <v>1.04999995231628</v>
      </c>
      <c r="H83" s="1">
        <v>1.75</v>
      </c>
      <c r="I83" s="1">
        <v>3.2599999904632599</v>
      </c>
      <c r="J83" s="1">
        <v>0</v>
      </c>
      <c r="K83">
        <v>15</v>
      </c>
      <c r="L83">
        <v>42</v>
      </c>
      <c r="M83">
        <v>183</v>
      </c>
      <c r="N83">
        <v>644</v>
      </c>
      <c r="O83">
        <v>1468</v>
      </c>
      <c r="P83" t="str">
        <f t="shared" si="4"/>
        <v>Friday</v>
      </c>
      <c r="Q83">
        <f t="shared" si="5"/>
        <v>884</v>
      </c>
      <c r="R83" t="str">
        <f t="shared" si="6"/>
        <v>Weekday</v>
      </c>
      <c r="S83" t="str">
        <f t="shared" si="7"/>
        <v>Fairly Active</v>
      </c>
    </row>
    <row r="84" spans="1:19" x14ac:dyDescent="0.25">
      <c r="A84">
        <v>1624580081</v>
      </c>
      <c r="B84" s="4">
        <v>42482</v>
      </c>
      <c r="C84">
        <v>4026</v>
      </c>
      <c r="D84" s="1">
        <v>2.6199998855590798</v>
      </c>
      <c r="E84" s="1">
        <v>2.6199998855590798</v>
      </c>
      <c r="F84" s="1">
        <v>0</v>
      </c>
      <c r="G84" s="1">
        <v>0</v>
      </c>
      <c r="H84" s="1">
        <v>0</v>
      </c>
      <c r="I84" s="1">
        <v>2.5999999046325701</v>
      </c>
      <c r="J84" s="1">
        <v>0</v>
      </c>
      <c r="K84">
        <v>0</v>
      </c>
      <c r="L84">
        <v>0</v>
      </c>
      <c r="M84">
        <v>199</v>
      </c>
      <c r="N84">
        <v>1241</v>
      </c>
      <c r="O84">
        <v>1470</v>
      </c>
      <c r="P84" t="str">
        <f t="shared" si="4"/>
        <v>Friday</v>
      </c>
      <c r="Q84">
        <f t="shared" si="5"/>
        <v>1440</v>
      </c>
      <c r="R84" t="str">
        <f t="shared" si="6"/>
        <v>Weekday</v>
      </c>
      <c r="S84" t="str">
        <f t="shared" si="7"/>
        <v>Sedentary</v>
      </c>
    </row>
    <row r="85" spans="1:19" x14ac:dyDescent="0.25">
      <c r="A85">
        <v>2320127002</v>
      </c>
      <c r="B85" s="4">
        <v>42488</v>
      </c>
      <c r="C85">
        <v>1532</v>
      </c>
      <c r="D85" s="1">
        <v>1.0299999713897701</v>
      </c>
      <c r="E85" s="1">
        <v>1.0299999713897701</v>
      </c>
      <c r="F85" s="1">
        <v>0</v>
      </c>
      <c r="G85" s="1">
        <v>0</v>
      </c>
      <c r="H85" s="1">
        <v>0</v>
      </c>
      <c r="I85" s="1">
        <v>1.0299999713897701</v>
      </c>
      <c r="J85" s="1">
        <v>0</v>
      </c>
      <c r="K85">
        <v>0</v>
      </c>
      <c r="L85">
        <v>0</v>
      </c>
      <c r="M85">
        <v>76</v>
      </c>
      <c r="N85">
        <v>1364</v>
      </c>
      <c r="O85">
        <v>1473</v>
      </c>
      <c r="P85" t="str">
        <f t="shared" si="4"/>
        <v>Thursday</v>
      </c>
      <c r="Q85">
        <f t="shared" si="5"/>
        <v>1440</v>
      </c>
      <c r="R85" t="str">
        <f t="shared" si="6"/>
        <v>Weekday</v>
      </c>
      <c r="S85" t="str">
        <f t="shared" si="7"/>
        <v>Sedentary</v>
      </c>
    </row>
    <row r="86" spans="1:19" x14ac:dyDescent="0.25">
      <c r="A86">
        <v>1624580081</v>
      </c>
      <c r="B86" s="4">
        <v>42556</v>
      </c>
      <c r="C86">
        <v>2104</v>
      </c>
      <c r="D86" s="1">
        <v>1.37000000476837</v>
      </c>
      <c r="E86" s="1">
        <v>1.37000000476837</v>
      </c>
      <c r="F86" s="1">
        <v>0</v>
      </c>
      <c r="G86" s="1">
        <v>0</v>
      </c>
      <c r="H86" s="1">
        <v>0</v>
      </c>
      <c r="I86" s="1">
        <v>1.37000000476837</v>
      </c>
      <c r="J86" s="1">
        <v>0</v>
      </c>
      <c r="K86">
        <v>0</v>
      </c>
      <c r="L86">
        <v>0</v>
      </c>
      <c r="M86">
        <v>182</v>
      </c>
      <c r="N86">
        <v>1258</v>
      </c>
      <c r="O86">
        <v>1474</v>
      </c>
      <c r="P86" t="str">
        <f t="shared" si="4"/>
        <v>Tuesday</v>
      </c>
      <c r="Q86">
        <f t="shared" si="5"/>
        <v>1440</v>
      </c>
      <c r="R86" t="str">
        <f t="shared" si="6"/>
        <v>Weekday</v>
      </c>
      <c r="S86" t="str">
        <f t="shared" si="7"/>
        <v>Sedentary</v>
      </c>
    </row>
    <row r="87" spans="1:19" x14ac:dyDescent="0.25">
      <c r="A87">
        <v>2320127002</v>
      </c>
      <c r="B87" s="4">
        <v>42487</v>
      </c>
      <c r="C87">
        <v>1715</v>
      </c>
      <c r="D87" s="1">
        <v>1.1599999666214</v>
      </c>
      <c r="E87" s="1">
        <v>1.1599999666214</v>
      </c>
      <c r="F87" s="1">
        <v>0</v>
      </c>
      <c r="G87" s="1">
        <v>0</v>
      </c>
      <c r="H87" s="1">
        <v>0</v>
      </c>
      <c r="I87" s="1">
        <v>1.1599999666214</v>
      </c>
      <c r="J87" s="1">
        <v>0</v>
      </c>
      <c r="K87">
        <v>0</v>
      </c>
      <c r="L87">
        <v>0</v>
      </c>
      <c r="M87">
        <v>82</v>
      </c>
      <c r="N87">
        <v>1358</v>
      </c>
      <c r="O87">
        <v>1481</v>
      </c>
      <c r="P87" t="str">
        <f t="shared" si="4"/>
        <v>Wednesday</v>
      </c>
      <c r="Q87">
        <f t="shared" si="5"/>
        <v>1440</v>
      </c>
      <c r="R87" t="str">
        <f t="shared" si="6"/>
        <v>Weekday</v>
      </c>
      <c r="S87" t="str">
        <f t="shared" si="7"/>
        <v>Sedentary</v>
      </c>
    </row>
    <row r="88" spans="1:19" x14ac:dyDescent="0.25">
      <c r="A88">
        <v>3977333714</v>
      </c>
      <c r="B88" s="4">
        <v>42482</v>
      </c>
      <c r="C88">
        <v>8911</v>
      </c>
      <c r="D88" s="1">
        <v>5.96000003814697</v>
      </c>
      <c r="E88" s="1">
        <v>5.96000003814697</v>
      </c>
      <c r="F88" s="1">
        <v>0</v>
      </c>
      <c r="G88" s="1">
        <v>2.3299999237060498</v>
      </c>
      <c r="H88" s="1">
        <v>0.57999998331069902</v>
      </c>
      <c r="I88" s="1">
        <v>3.0599999427795401</v>
      </c>
      <c r="J88" s="1">
        <v>0</v>
      </c>
      <c r="K88">
        <v>33</v>
      </c>
      <c r="L88">
        <v>12</v>
      </c>
      <c r="M88">
        <v>188</v>
      </c>
      <c r="N88">
        <v>731</v>
      </c>
      <c r="O88">
        <v>1481</v>
      </c>
      <c r="P88" t="str">
        <f t="shared" si="4"/>
        <v>Friday</v>
      </c>
      <c r="Q88">
        <f t="shared" si="5"/>
        <v>964</v>
      </c>
      <c r="R88" t="str">
        <f t="shared" si="6"/>
        <v>Weekday</v>
      </c>
      <c r="S88" t="str">
        <f t="shared" si="7"/>
        <v>Fairly Active</v>
      </c>
    </row>
    <row r="89" spans="1:19" x14ac:dyDescent="0.25">
      <c r="A89">
        <v>2026352035</v>
      </c>
      <c r="B89" s="4">
        <v>42556</v>
      </c>
      <c r="C89">
        <v>4193</v>
      </c>
      <c r="D89" s="1">
        <v>2.5999999046325701</v>
      </c>
      <c r="E89" s="1">
        <v>2.5999999046325701</v>
      </c>
      <c r="F89" s="1">
        <v>0</v>
      </c>
      <c r="G89" s="1">
        <v>0</v>
      </c>
      <c r="H89" s="1">
        <v>0</v>
      </c>
      <c r="I89" s="1">
        <v>2.5999999046325701</v>
      </c>
      <c r="J89" s="1">
        <v>0</v>
      </c>
      <c r="K89">
        <v>0</v>
      </c>
      <c r="L89">
        <v>0</v>
      </c>
      <c r="M89">
        <v>229</v>
      </c>
      <c r="N89">
        <v>665</v>
      </c>
      <c r="O89">
        <v>1491</v>
      </c>
      <c r="P89" t="str">
        <f t="shared" si="4"/>
        <v>Tuesday</v>
      </c>
      <c r="Q89">
        <f t="shared" si="5"/>
        <v>894</v>
      </c>
      <c r="R89" t="str">
        <f t="shared" si="6"/>
        <v>Weekday</v>
      </c>
      <c r="S89" t="str">
        <f t="shared" si="7"/>
        <v>Sedentary</v>
      </c>
    </row>
    <row r="90" spans="1:19" x14ac:dyDescent="0.25">
      <c r="A90">
        <v>1624580081</v>
      </c>
      <c r="B90" s="4">
        <v>42485</v>
      </c>
      <c r="C90">
        <v>6497</v>
      </c>
      <c r="D90" s="1">
        <v>4.2199997901916504</v>
      </c>
      <c r="E90" s="1">
        <v>4.2199997901916504</v>
      </c>
      <c r="F90" s="1">
        <v>0</v>
      </c>
      <c r="G90" s="1">
        <v>0</v>
      </c>
      <c r="H90" s="1">
        <v>0</v>
      </c>
      <c r="I90" s="1">
        <v>4.1999998092651403</v>
      </c>
      <c r="J90" s="1">
        <v>1.9999999552965199E-2</v>
      </c>
      <c r="K90">
        <v>0</v>
      </c>
      <c r="L90">
        <v>0</v>
      </c>
      <c r="M90">
        <v>202</v>
      </c>
      <c r="N90">
        <v>1238</v>
      </c>
      <c r="O90">
        <v>1492</v>
      </c>
      <c r="P90" t="str">
        <f t="shared" si="4"/>
        <v>Monday</v>
      </c>
      <c r="Q90">
        <f t="shared" si="5"/>
        <v>1440</v>
      </c>
      <c r="R90" t="str">
        <f t="shared" si="6"/>
        <v>Weekday</v>
      </c>
      <c r="S90" t="str">
        <f t="shared" si="7"/>
        <v>Lightly Active</v>
      </c>
    </row>
    <row r="91" spans="1:19" x14ac:dyDescent="0.25">
      <c r="A91">
        <v>5553957443</v>
      </c>
      <c r="B91" s="4">
        <v>42556</v>
      </c>
      <c r="C91">
        <v>1868</v>
      </c>
      <c r="D91" s="1">
        <v>1.2200000286102299</v>
      </c>
      <c r="E91" s="1">
        <v>1.2200000286102299</v>
      </c>
      <c r="F91" s="1">
        <v>0</v>
      </c>
      <c r="G91" s="1">
        <v>0</v>
      </c>
      <c r="H91" s="1">
        <v>0</v>
      </c>
      <c r="I91" s="1">
        <v>1.2200000286102299</v>
      </c>
      <c r="J91" s="1">
        <v>0</v>
      </c>
      <c r="K91">
        <v>0</v>
      </c>
      <c r="L91">
        <v>0</v>
      </c>
      <c r="M91">
        <v>96</v>
      </c>
      <c r="N91">
        <v>902</v>
      </c>
      <c r="O91">
        <v>1494</v>
      </c>
      <c r="P91" t="str">
        <f t="shared" si="4"/>
        <v>Tuesday</v>
      </c>
      <c r="Q91">
        <f t="shared" si="5"/>
        <v>998</v>
      </c>
      <c r="R91" t="str">
        <f t="shared" si="6"/>
        <v>Weekday</v>
      </c>
      <c r="S91" t="str">
        <f t="shared" si="7"/>
        <v>Sedentary</v>
      </c>
    </row>
    <row r="92" spans="1:19" x14ac:dyDescent="0.25">
      <c r="A92">
        <v>3977333714</v>
      </c>
      <c r="B92" s="4">
        <v>42473</v>
      </c>
      <c r="C92">
        <v>10035</v>
      </c>
      <c r="D92" s="1">
        <v>6.71000003814697</v>
      </c>
      <c r="E92" s="1">
        <v>6.71000003814697</v>
      </c>
      <c r="F92" s="1">
        <v>0</v>
      </c>
      <c r="G92" s="1">
        <v>2.0299999713897701</v>
      </c>
      <c r="H92" s="1">
        <v>2.1300001144409202</v>
      </c>
      <c r="I92" s="1">
        <v>2.5499999523162802</v>
      </c>
      <c r="J92" s="1">
        <v>0</v>
      </c>
      <c r="K92">
        <v>31</v>
      </c>
      <c r="L92">
        <v>46</v>
      </c>
      <c r="M92">
        <v>153</v>
      </c>
      <c r="N92">
        <v>754</v>
      </c>
      <c r="O92">
        <v>1495</v>
      </c>
      <c r="P92" t="str">
        <f t="shared" si="4"/>
        <v>Wednesday</v>
      </c>
      <c r="Q92">
        <f t="shared" si="5"/>
        <v>984</v>
      </c>
      <c r="R92" t="str">
        <f t="shared" si="6"/>
        <v>Weekday</v>
      </c>
      <c r="S92" t="str">
        <f t="shared" si="7"/>
        <v>Very_Active</v>
      </c>
    </row>
    <row r="93" spans="1:19" x14ac:dyDescent="0.25">
      <c r="A93">
        <v>6117666160</v>
      </c>
      <c r="B93" s="4">
        <v>42708</v>
      </c>
      <c r="C93">
        <v>0</v>
      </c>
      <c r="D93" s="1">
        <v>0</v>
      </c>
      <c r="E93" s="1">
        <v>0</v>
      </c>
      <c r="F93" s="1">
        <v>0</v>
      </c>
      <c r="G93" s="1">
        <v>0</v>
      </c>
      <c r="H93" s="1">
        <v>0</v>
      </c>
      <c r="I93" s="1">
        <v>0</v>
      </c>
      <c r="J93" s="1">
        <v>0</v>
      </c>
      <c r="K93">
        <v>0</v>
      </c>
      <c r="L93">
        <v>0</v>
      </c>
      <c r="M93">
        <v>0</v>
      </c>
      <c r="N93">
        <v>1440</v>
      </c>
      <c r="O93">
        <v>1496</v>
      </c>
      <c r="P93" t="str">
        <f t="shared" si="4"/>
        <v>Sunday</v>
      </c>
      <c r="Q93">
        <f t="shared" si="5"/>
        <v>1440</v>
      </c>
      <c r="R93" t="str">
        <f t="shared" si="6"/>
        <v>Weekend</v>
      </c>
      <c r="S93" t="str">
        <f t="shared" si="7"/>
        <v>Sedentary</v>
      </c>
    </row>
    <row r="94" spans="1:19" x14ac:dyDescent="0.25">
      <c r="A94">
        <v>6117666160</v>
      </c>
      <c r="B94" s="4">
        <v>42473</v>
      </c>
      <c r="C94">
        <v>0</v>
      </c>
      <c r="D94" s="1">
        <v>0</v>
      </c>
      <c r="E94" s="1">
        <v>0</v>
      </c>
      <c r="F94" s="1">
        <v>0</v>
      </c>
      <c r="G94" s="1">
        <v>0</v>
      </c>
      <c r="H94" s="1">
        <v>0</v>
      </c>
      <c r="I94" s="1">
        <v>0</v>
      </c>
      <c r="J94" s="1">
        <v>0</v>
      </c>
      <c r="K94">
        <v>0</v>
      </c>
      <c r="L94">
        <v>0</v>
      </c>
      <c r="M94">
        <v>0</v>
      </c>
      <c r="N94">
        <v>1440</v>
      </c>
      <c r="O94">
        <v>1496</v>
      </c>
      <c r="P94" t="str">
        <f t="shared" si="4"/>
        <v>Wednesday</v>
      </c>
      <c r="Q94">
        <f t="shared" si="5"/>
        <v>1440</v>
      </c>
      <c r="R94" t="str">
        <f t="shared" si="6"/>
        <v>Weekday</v>
      </c>
      <c r="S94" t="str">
        <f t="shared" si="7"/>
        <v>Sedentary</v>
      </c>
    </row>
    <row r="95" spans="1:19" x14ac:dyDescent="0.25">
      <c r="A95">
        <v>6117666160</v>
      </c>
      <c r="B95" s="4">
        <v>42474</v>
      </c>
      <c r="C95">
        <v>0</v>
      </c>
      <c r="D95" s="1">
        <v>0</v>
      </c>
      <c r="E95" s="1">
        <v>0</v>
      </c>
      <c r="F95" s="1">
        <v>0</v>
      </c>
      <c r="G95" s="1">
        <v>0</v>
      </c>
      <c r="H95" s="1">
        <v>0</v>
      </c>
      <c r="I95" s="1">
        <v>0</v>
      </c>
      <c r="J95" s="1">
        <v>0</v>
      </c>
      <c r="K95">
        <v>0</v>
      </c>
      <c r="L95">
        <v>0</v>
      </c>
      <c r="M95">
        <v>0</v>
      </c>
      <c r="N95">
        <v>1440</v>
      </c>
      <c r="O95">
        <v>1496</v>
      </c>
      <c r="P95" t="str">
        <f t="shared" si="4"/>
        <v>Thursday</v>
      </c>
      <c r="Q95">
        <f t="shared" si="5"/>
        <v>1440</v>
      </c>
      <c r="R95" t="str">
        <f t="shared" si="6"/>
        <v>Weekday</v>
      </c>
      <c r="S95" t="str">
        <f t="shared" si="7"/>
        <v>Sedentary</v>
      </c>
    </row>
    <row r="96" spans="1:19" x14ac:dyDescent="0.25">
      <c r="A96">
        <v>6117666160</v>
      </c>
      <c r="B96" s="4">
        <v>42434</v>
      </c>
      <c r="C96">
        <v>0</v>
      </c>
      <c r="D96" s="1">
        <v>0</v>
      </c>
      <c r="E96" s="1">
        <v>0</v>
      </c>
      <c r="F96" s="1">
        <v>0</v>
      </c>
      <c r="G96" s="1">
        <v>0</v>
      </c>
      <c r="H96" s="1">
        <v>0</v>
      </c>
      <c r="I96" s="1">
        <v>0</v>
      </c>
      <c r="J96" s="1">
        <v>0</v>
      </c>
      <c r="K96">
        <v>0</v>
      </c>
      <c r="L96">
        <v>0</v>
      </c>
      <c r="M96">
        <v>0</v>
      </c>
      <c r="N96">
        <v>1440</v>
      </c>
      <c r="O96">
        <v>1496</v>
      </c>
      <c r="P96" t="str">
        <f t="shared" si="4"/>
        <v>Saturday</v>
      </c>
      <c r="Q96">
        <f t="shared" si="5"/>
        <v>1440</v>
      </c>
      <c r="R96" t="str">
        <f t="shared" si="6"/>
        <v>Weekend</v>
      </c>
      <c r="S96" t="str">
        <f t="shared" si="7"/>
        <v>Sedentary</v>
      </c>
    </row>
    <row r="97" spans="1:19" x14ac:dyDescent="0.25">
      <c r="A97">
        <v>6117666160</v>
      </c>
      <c r="B97" s="4">
        <v>42485</v>
      </c>
      <c r="C97">
        <v>0</v>
      </c>
      <c r="D97" s="1">
        <v>0</v>
      </c>
      <c r="E97" s="1">
        <v>0</v>
      </c>
      <c r="F97" s="1">
        <v>0</v>
      </c>
      <c r="G97" s="1">
        <v>0</v>
      </c>
      <c r="H97" s="1">
        <v>0</v>
      </c>
      <c r="I97" s="1">
        <v>0</v>
      </c>
      <c r="J97" s="1">
        <v>0</v>
      </c>
      <c r="K97">
        <v>0</v>
      </c>
      <c r="L97">
        <v>0</v>
      </c>
      <c r="M97">
        <v>0</v>
      </c>
      <c r="N97">
        <v>1440</v>
      </c>
      <c r="O97">
        <v>1497</v>
      </c>
      <c r="P97" t="str">
        <f t="shared" si="4"/>
        <v>Monday</v>
      </c>
      <c r="Q97">
        <f t="shared" si="5"/>
        <v>1440</v>
      </c>
      <c r="R97" t="str">
        <f t="shared" si="6"/>
        <v>Weekday</v>
      </c>
      <c r="S97" t="str">
        <f t="shared" si="7"/>
        <v>Sedentary</v>
      </c>
    </row>
    <row r="98" spans="1:19" x14ac:dyDescent="0.25">
      <c r="A98">
        <v>1624580081</v>
      </c>
      <c r="B98" s="4">
        <v>42405</v>
      </c>
      <c r="C98">
        <v>7155</v>
      </c>
      <c r="D98" s="1">
        <v>4.9299998283386204</v>
      </c>
      <c r="E98" s="1">
        <v>4.9299998283386204</v>
      </c>
      <c r="F98" s="1">
        <v>0</v>
      </c>
      <c r="G98" s="1">
        <v>0.86000001430511497</v>
      </c>
      <c r="H98" s="1">
        <v>0.58999997377395597</v>
      </c>
      <c r="I98" s="1">
        <v>3.4700000286102299</v>
      </c>
      <c r="J98" s="1">
        <v>0</v>
      </c>
      <c r="K98">
        <v>7</v>
      </c>
      <c r="L98">
        <v>6</v>
      </c>
      <c r="M98">
        <v>166</v>
      </c>
      <c r="N98">
        <v>1261</v>
      </c>
      <c r="O98">
        <v>1497</v>
      </c>
      <c r="P98" t="str">
        <f t="shared" si="4"/>
        <v>Friday</v>
      </c>
      <c r="Q98">
        <f t="shared" si="5"/>
        <v>1440</v>
      </c>
      <c r="R98" t="str">
        <f t="shared" si="6"/>
        <v>Weekday</v>
      </c>
      <c r="S98" t="str">
        <f t="shared" si="7"/>
        <v>Lightly Active</v>
      </c>
    </row>
    <row r="99" spans="1:19" x14ac:dyDescent="0.25">
      <c r="A99">
        <v>3977333714</v>
      </c>
      <c r="B99" s="4">
        <v>42374</v>
      </c>
      <c r="C99">
        <v>10414</v>
      </c>
      <c r="D99" s="1">
        <v>7.0700001716613796</v>
      </c>
      <c r="E99" s="1">
        <v>7.0700001716613796</v>
      </c>
      <c r="F99" s="1">
        <v>0</v>
      </c>
      <c r="G99" s="1">
        <v>2.6700000762939502</v>
      </c>
      <c r="H99" s="1">
        <v>1.9800000190734901</v>
      </c>
      <c r="I99" s="1">
        <v>2.4100000858306898</v>
      </c>
      <c r="J99" s="1">
        <v>0</v>
      </c>
      <c r="K99">
        <v>41</v>
      </c>
      <c r="L99">
        <v>40</v>
      </c>
      <c r="M99">
        <v>124</v>
      </c>
      <c r="N99">
        <v>691</v>
      </c>
      <c r="O99">
        <v>1501</v>
      </c>
      <c r="P99" t="str">
        <f t="shared" si="4"/>
        <v>Tuesday</v>
      </c>
      <c r="Q99">
        <f t="shared" si="5"/>
        <v>896</v>
      </c>
      <c r="R99" t="str">
        <f t="shared" si="6"/>
        <v>Weekday</v>
      </c>
      <c r="S99" t="str">
        <f t="shared" si="7"/>
        <v>Very_Active</v>
      </c>
    </row>
    <row r="100" spans="1:19" x14ac:dyDescent="0.25">
      <c r="A100">
        <v>8053475328</v>
      </c>
      <c r="B100" s="4">
        <v>42709</v>
      </c>
      <c r="C100">
        <v>4998</v>
      </c>
      <c r="D100" s="1">
        <v>3.9100000858306898</v>
      </c>
      <c r="E100" s="1">
        <v>3.9100000858306898</v>
      </c>
      <c r="F100" s="1">
        <v>0</v>
      </c>
      <c r="G100" s="1">
        <v>2.9500000476837198</v>
      </c>
      <c r="H100" s="1">
        <v>0.20000000298023199</v>
      </c>
      <c r="I100" s="1">
        <v>0.75999999046325695</v>
      </c>
      <c r="J100" s="1">
        <v>0</v>
      </c>
      <c r="K100">
        <v>28</v>
      </c>
      <c r="L100">
        <v>4</v>
      </c>
      <c r="M100">
        <v>39</v>
      </c>
      <c r="N100">
        <v>839</v>
      </c>
      <c r="O100">
        <v>1505</v>
      </c>
      <c r="P100" t="str">
        <f t="shared" si="4"/>
        <v>Monday</v>
      </c>
      <c r="Q100">
        <f t="shared" si="5"/>
        <v>910</v>
      </c>
      <c r="R100" t="str">
        <f t="shared" si="6"/>
        <v>Weekday</v>
      </c>
      <c r="S100" t="str">
        <f t="shared" si="7"/>
        <v>Sedentary</v>
      </c>
    </row>
    <row r="101" spans="1:19" x14ac:dyDescent="0.25">
      <c r="A101">
        <v>2026352035</v>
      </c>
      <c r="B101" s="4">
        <v>42490</v>
      </c>
      <c r="C101">
        <v>4729</v>
      </c>
      <c r="D101" s="1">
        <v>2.9300000667571999</v>
      </c>
      <c r="E101" s="1">
        <v>2.9300000667571999</v>
      </c>
      <c r="F101" s="1">
        <v>0</v>
      </c>
      <c r="G101" s="1">
        <v>0</v>
      </c>
      <c r="H101" s="1">
        <v>0</v>
      </c>
      <c r="I101" s="1">
        <v>2.9300000667571999</v>
      </c>
      <c r="J101" s="1">
        <v>0</v>
      </c>
      <c r="K101">
        <v>0</v>
      </c>
      <c r="L101">
        <v>0</v>
      </c>
      <c r="M101">
        <v>233</v>
      </c>
      <c r="N101">
        <v>594</v>
      </c>
      <c r="O101">
        <v>1506</v>
      </c>
      <c r="P101" t="str">
        <f t="shared" si="4"/>
        <v>Saturday</v>
      </c>
      <c r="Q101">
        <f t="shared" si="5"/>
        <v>827</v>
      </c>
      <c r="R101" t="str">
        <f t="shared" si="6"/>
        <v>Weekend</v>
      </c>
      <c r="S101" t="str">
        <f t="shared" si="7"/>
        <v>Sedentary</v>
      </c>
    </row>
    <row r="102" spans="1:19" x14ac:dyDescent="0.25">
      <c r="A102">
        <v>5553957443</v>
      </c>
      <c r="B102" s="4">
        <v>42484</v>
      </c>
      <c r="C102">
        <v>1807</v>
      </c>
      <c r="D102" s="1">
        <v>1.1799999475479099</v>
      </c>
      <c r="E102" s="1">
        <v>1.1799999475479099</v>
      </c>
      <c r="F102" s="1">
        <v>0</v>
      </c>
      <c r="G102" s="1">
        <v>0</v>
      </c>
      <c r="H102" s="1">
        <v>0</v>
      </c>
      <c r="I102" s="1">
        <v>1.1799999475479099</v>
      </c>
      <c r="J102" s="1">
        <v>0</v>
      </c>
      <c r="K102">
        <v>0</v>
      </c>
      <c r="L102">
        <v>0</v>
      </c>
      <c r="M102">
        <v>104</v>
      </c>
      <c r="N102">
        <v>582</v>
      </c>
      <c r="O102">
        <v>1507</v>
      </c>
      <c r="P102" t="str">
        <f t="shared" si="4"/>
        <v>Sunday</v>
      </c>
      <c r="Q102">
        <f t="shared" si="5"/>
        <v>686</v>
      </c>
      <c r="R102" t="str">
        <f t="shared" si="6"/>
        <v>Weekend</v>
      </c>
      <c r="S102" t="str">
        <f t="shared" si="7"/>
        <v>Sedentary</v>
      </c>
    </row>
    <row r="103" spans="1:19" x14ac:dyDescent="0.25">
      <c r="A103">
        <v>2026352035</v>
      </c>
      <c r="B103" s="4">
        <v>42473</v>
      </c>
      <c r="C103">
        <v>4993</v>
      </c>
      <c r="D103" s="1">
        <v>3.0999999046325701</v>
      </c>
      <c r="E103" s="1">
        <v>3.0999999046325701</v>
      </c>
      <c r="F103" s="1">
        <v>0</v>
      </c>
      <c r="G103" s="1">
        <v>0</v>
      </c>
      <c r="H103" s="1">
        <v>0</v>
      </c>
      <c r="I103" s="1">
        <v>3.0999999046325701</v>
      </c>
      <c r="J103" s="1">
        <v>0</v>
      </c>
      <c r="K103">
        <v>0</v>
      </c>
      <c r="L103">
        <v>0</v>
      </c>
      <c r="M103">
        <v>238</v>
      </c>
      <c r="N103">
        <v>663</v>
      </c>
      <c r="O103">
        <v>1521</v>
      </c>
      <c r="P103" t="str">
        <f t="shared" si="4"/>
        <v>Wednesday</v>
      </c>
      <c r="Q103">
        <f t="shared" si="5"/>
        <v>901</v>
      </c>
      <c r="R103" t="str">
        <f t="shared" si="6"/>
        <v>Weekday</v>
      </c>
      <c r="S103" t="str">
        <f t="shared" si="7"/>
        <v>Sedentary</v>
      </c>
    </row>
    <row r="104" spans="1:19" x14ac:dyDescent="0.25">
      <c r="A104">
        <v>4057192912</v>
      </c>
      <c r="B104" s="4">
        <v>42475</v>
      </c>
      <c r="C104">
        <v>3984</v>
      </c>
      <c r="D104" s="1">
        <v>2.9500000476837198</v>
      </c>
      <c r="E104" s="1">
        <v>2.9500000476837198</v>
      </c>
      <c r="F104" s="1">
        <v>0</v>
      </c>
      <c r="G104" s="1">
        <v>0.20999999344348899</v>
      </c>
      <c r="H104" s="1">
        <v>0.259999990463257</v>
      </c>
      <c r="I104" s="1">
        <v>2.4400000572204599</v>
      </c>
      <c r="J104" s="1">
        <v>0</v>
      </c>
      <c r="K104">
        <v>3</v>
      </c>
      <c r="L104">
        <v>6</v>
      </c>
      <c r="M104">
        <v>88</v>
      </c>
      <c r="N104">
        <v>873</v>
      </c>
      <c r="O104">
        <v>1527</v>
      </c>
      <c r="P104" t="str">
        <f t="shared" si="4"/>
        <v>Friday</v>
      </c>
      <c r="Q104">
        <f t="shared" si="5"/>
        <v>970</v>
      </c>
      <c r="R104" t="str">
        <f t="shared" si="6"/>
        <v>Weekday</v>
      </c>
      <c r="S104" t="str">
        <f t="shared" si="7"/>
        <v>Sedentary</v>
      </c>
    </row>
    <row r="105" spans="1:19" x14ac:dyDescent="0.25">
      <c r="A105">
        <v>2873212765</v>
      </c>
      <c r="B105" s="4">
        <v>42477</v>
      </c>
      <c r="C105">
        <v>2524</v>
      </c>
      <c r="D105" s="1">
        <v>1.70000004768372</v>
      </c>
      <c r="E105" s="1">
        <v>1.70000004768372</v>
      </c>
      <c r="F105" s="1">
        <v>0</v>
      </c>
      <c r="G105" s="1">
        <v>0</v>
      </c>
      <c r="H105" s="1">
        <v>0.34999999403953602</v>
      </c>
      <c r="I105" s="1">
        <v>1.3400000333786</v>
      </c>
      <c r="J105" s="1">
        <v>0</v>
      </c>
      <c r="K105">
        <v>0</v>
      </c>
      <c r="L105">
        <v>8</v>
      </c>
      <c r="M105">
        <v>160</v>
      </c>
      <c r="N105">
        <v>1272</v>
      </c>
      <c r="O105">
        <v>1529</v>
      </c>
      <c r="P105" t="str">
        <f t="shared" si="4"/>
        <v>Sunday</v>
      </c>
      <c r="Q105">
        <f t="shared" si="5"/>
        <v>1440</v>
      </c>
      <c r="R105" t="str">
        <f t="shared" si="6"/>
        <v>Weekend</v>
      </c>
      <c r="S105" t="str">
        <f t="shared" si="7"/>
        <v>Sedentary</v>
      </c>
    </row>
    <row r="106" spans="1:19" x14ac:dyDescent="0.25">
      <c r="A106">
        <v>3977333714</v>
      </c>
      <c r="B106" s="4">
        <v>42477</v>
      </c>
      <c r="C106">
        <v>10415</v>
      </c>
      <c r="D106" s="1">
        <v>6.9699997901916504</v>
      </c>
      <c r="E106" s="1">
        <v>6.9699997901916504</v>
      </c>
      <c r="F106" s="1">
        <v>0</v>
      </c>
      <c r="G106" s="1">
        <v>0.69999998807907104</v>
      </c>
      <c r="H106" s="1">
        <v>2.3499999046325701</v>
      </c>
      <c r="I106" s="1">
        <v>3.9200000762939502</v>
      </c>
      <c r="J106" s="1">
        <v>0</v>
      </c>
      <c r="K106">
        <v>11</v>
      </c>
      <c r="L106">
        <v>58</v>
      </c>
      <c r="M106">
        <v>205</v>
      </c>
      <c r="N106">
        <v>600</v>
      </c>
      <c r="O106">
        <v>1529</v>
      </c>
      <c r="P106" t="str">
        <f t="shared" si="4"/>
        <v>Sunday</v>
      </c>
      <c r="Q106">
        <f t="shared" si="5"/>
        <v>874</v>
      </c>
      <c r="R106" t="str">
        <f t="shared" si="6"/>
        <v>Weekend</v>
      </c>
      <c r="S106" t="str">
        <f t="shared" si="7"/>
        <v>Very_Active</v>
      </c>
    </row>
    <row r="107" spans="1:19" x14ac:dyDescent="0.25">
      <c r="A107">
        <v>1844505072</v>
      </c>
      <c r="B107" s="4">
        <v>42374</v>
      </c>
      <c r="C107">
        <v>2573</v>
      </c>
      <c r="D107" s="1">
        <v>1.70000004768372</v>
      </c>
      <c r="E107" s="1">
        <v>1.70000004768372</v>
      </c>
      <c r="F107" s="1">
        <v>0</v>
      </c>
      <c r="G107" s="1">
        <v>0</v>
      </c>
      <c r="H107" s="1">
        <v>0.259999990463257</v>
      </c>
      <c r="I107" s="1">
        <v>1.45000004768372</v>
      </c>
      <c r="J107" s="1">
        <v>0</v>
      </c>
      <c r="K107">
        <v>0</v>
      </c>
      <c r="L107">
        <v>7</v>
      </c>
      <c r="M107">
        <v>75</v>
      </c>
      <c r="N107">
        <v>585</v>
      </c>
      <c r="O107">
        <v>1541</v>
      </c>
      <c r="P107" t="str">
        <f t="shared" si="4"/>
        <v>Tuesday</v>
      </c>
      <c r="Q107">
        <f t="shared" si="5"/>
        <v>667</v>
      </c>
      <c r="R107" t="str">
        <f t="shared" si="6"/>
        <v>Weekday</v>
      </c>
      <c r="S107" t="str">
        <f t="shared" si="7"/>
        <v>Sedentary</v>
      </c>
    </row>
    <row r="108" spans="1:19" x14ac:dyDescent="0.25">
      <c r="A108">
        <v>3977333714</v>
      </c>
      <c r="B108" s="4">
        <v>42489</v>
      </c>
      <c r="C108">
        <v>10645</v>
      </c>
      <c r="D108" s="1">
        <v>7.75</v>
      </c>
      <c r="E108" s="1">
        <v>7.75</v>
      </c>
      <c r="F108" s="1">
        <v>0</v>
      </c>
      <c r="G108" s="1">
        <v>3.7400000095367401</v>
      </c>
      <c r="H108" s="1">
        <v>1.29999995231628</v>
      </c>
      <c r="I108" s="1">
        <v>2.71000003814697</v>
      </c>
      <c r="J108" s="1">
        <v>0</v>
      </c>
      <c r="K108">
        <v>36</v>
      </c>
      <c r="L108">
        <v>32</v>
      </c>
      <c r="M108">
        <v>150</v>
      </c>
      <c r="N108">
        <v>744</v>
      </c>
      <c r="O108">
        <v>1545</v>
      </c>
      <c r="P108" t="str">
        <f t="shared" si="4"/>
        <v>Friday</v>
      </c>
      <c r="Q108">
        <f t="shared" si="5"/>
        <v>962</v>
      </c>
      <c r="R108" t="str">
        <f t="shared" si="6"/>
        <v>Weekday</v>
      </c>
      <c r="S108" t="str">
        <f t="shared" si="7"/>
        <v>Very_Active</v>
      </c>
    </row>
    <row r="109" spans="1:19" x14ac:dyDescent="0.25">
      <c r="A109">
        <v>1844505072</v>
      </c>
      <c r="B109" s="4">
        <v>42465</v>
      </c>
      <c r="C109">
        <v>2080</v>
      </c>
      <c r="D109" s="1">
        <v>1.37000000476837</v>
      </c>
      <c r="E109" s="1">
        <v>1.37000000476837</v>
      </c>
      <c r="F109" s="1">
        <v>0</v>
      </c>
      <c r="G109" s="1">
        <v>0</v>
      </c>
      <c r="H109" s="1">
        <v>0</v>
      </c>
      <c r="I109" s="1">
        <v>1.37000000476837</v>
      </c>
      <c r="J109" s="1">
        <v>0</v>
      </c>
      <c r="K109">
        <v>0</v>
      </c>
      <c r="L109">
        <v>0</v>
      </c>
      <c r="M109">
        <v>87</v>
      </c>
      <c r="N109">
        <v>1353</v>
      </c>
      <c r="O109">
        <v>1549</v>
      </c>
      <c r="P109" t="str">
        <f t="shared" si="4"/>
        <v>Tuesday</v>
      </c>
      <c r="Q109">
        <f t="shared" si="5"/>
        <v>1440</v>
      </c>
      <c r="R109" t="str">
        <f t="shared" si="6"/>
        <v>Weekday</v>
      </c>
      <c r="S109" t="str">
        <f t="shared" si="7"/>
        <v>Sedentary</v>
      </c>
    </row>
    <row r="110" spans="1:19" x14ac:dyDescent="0.25">
      <c r="A110">
        <v>3977333714</v>
      </c>
      <c r="B110" s="4">
        <v>42486</v>
      </c>
      <c r="C110">
        <v>11388</v>
      </c>
      <c r="D110" s="1">
        <v>7.6199998855590803</v>
      </c>
      <c r="E110" s="1">
        <v>7.6199998855590803</v>
      </c>
      <c r="F110" s="1">
        <v>0</v>
      </c>
      <c r="G110" s="1">
        <v>0.44999998807907099</v>
      </c>
      <c r="H110" s="1">
        <v>4.2199997901916504</v>
      </c>
      <c r="I110" s="1">
        <v>2.9500000476837198</v>
      </c>
      <c r="J110" s="1">
        <v>0</v>
      </c>
      <c r="K110">
        <v>7</v>
      </c>
      <c r="L110">
        <v>95</v>
      </c>
      <c r="M110">
        <v>170</v>
      </c>
      <c r="N110">
        <v>797</v>
      </c>
      <c r="O110">
        <v>1551</v>
      </c>
      <c r="P110" t="str">
        <f t="shared" si="4"/>
        <v>Tuesday</v>
      </c>
      <c r="Q110">
        <f t="shared" si="5"/>
        <v>1069</v>
      </c>
      <c r="R110" t="str">
        <f t="shared" si="6"/>
        <v>Weekday</v>
      </c>
      <c r="S110" t="str">
        <f t="shared" si="7"/>
        <v>Very_Active</v>
      </c>
    </row>
    <row r="111" spans="1:19" x14ac:dyDescent="0.25">
      <c r="A111">
        <v>1624580081</v>
      </c>
      <c r="B111" s="4">
        <v>42477</v>
      </c>
      <c r="C111">
        <v>6175</v>
      </c>
      <c r="D111" s="1">
        <v>4.0599999427795401</v>
      </c>
      <c r="E111" s="1">
        <v>4.0599999427795401</v>
      </c>
      <c r="F111" s="1">
        <v>0</v>
      </c>
      <c r="G111" s="1">
        <v>1.0299999713897701</v>
      </c>
      <c r="H111" s="1">
        <v>1.5199999809265099</v>
      </c>
      <c r="I111" s="1">
        <v>1.4900000095367401</v>
      </c>
      <c r="J111" s="1">
        <v>9.9999997764825804E-3</v>
      </c>
      <c r="K111">
        <v>15</v>
      </c>
      <c r="L111">
        <v>22</v>
      </c>
      <c r="M111">
        <v>127</v>
      </c>
      <c r="N111">
        <v>1276</v>
      </c>
      <c r="O111">
        <v>1554</v>
      </c>
      <c r="P111" t="str">
        <f t="shared" si="4"/>
        <v>Sunday</v>
      </c>
      <c r="Q111">
        <f t="shared" si="5"/>
        <v>1440</v>
      </c>
      <c r="R111" t="str">
        <f t="shared" si="6"/>
        <v>Weekend</v>
      </c>
      <c r="S111" t="str">
        <f t="shared" si="7"/>
        <v>Lightly Active</v>
      </c>
    </row>
    <row r="112" spans="1:19" x14ac:dyDescent="0.25">
      <c r="A112">
        <v>3977333714</v>
      </c>
      <c r="B112" s="4">
        <v>42480</v>
      </c>
      <c r="C112">
        <v>11658</v>
      </c>
      <c r="D112" s="1">
        <v>7.8299999237060502</v>
      </c>
      <c r="E112" s="1">
        <v>7.8299999237060502</v>
      </c>
      <c r="F112" s="1">
        <v>0</v>
      </c>
      <c r="G112" s="1">
        <v>0.20000000298023199</v>
      </c>
      <c r="H112" s="1">
        <v>4.3499999046325701</v>
      </c>
      <c r="I112" s="1">
        <v>3.2799999713897701</v>
      </c>
      <c r="J112" s="1">
        <v>0</v>
      </c>
      <c r="K112">
        <v>2</v>
      </c>
      <c r="L112">
        <v>98</v>
      </c>
      <c r="M112">
        <v>164</v>
      </c>
      <c r="N112">
        <v>845</v>
      </c>
      <c r="O112">
        <v>1554</v>
      </c>
      <c r="P112" t="str">
        <f t="shared" si="4"/>
        <v>Wednesday</v>
      </c>
      <c r="Q112">
        <f t="shared" si="5"/>
        <v>1109</v>
      </c>
      <c r="R112" t="str">
        <f t="shared" si="6"/>
        <v>Weekday</v>
      </c>
      <c r="S112" t="str">
        <f t="shared" si="7"/>
        <v>Very_Active</v>
      </c>
    </row>
    <row r="113" spans="1:19" x14ac:dyDescent="0.25">
      <c r="A113">
        <v>2026352035</v>
      </c>
      <c r="B113" s="4">
        <v>42587</v>
      </c>
      <c r="C113">
        <v>5528</v>
      </c>
      <c r="D113" s="1">
        <v>3.4500000476837198</v>
      </c>
      <c r="E113" s="1">
        <v>3.4500000476837198</v>
      </c>
      <c r="F113" s="1">
        <v>0</v>
      </c>
      <c r="G113" s="1">
        <v>0</v>
      </c>
      <c r="H113" s="1">
        <v>0</v>
      </c>
      <c r="I113" s="1">
        <v>3.4500000476837198</v>
      </c>
      <c r="J113" s="1">
        <v>0</v>
      </c>
      <c r="K113">
        <v>0</v>
      </c>
      <c r="L113">
        <v>0</v>
      </c>
      <c r="M113">
        <v>258</v>
      </c>
      <c r="N113">
        <v>610</v>
      </c>
      <c r="O113">
        <v>1555</v>
      </c>
      <c r="P113" t="str">
        <f t="shared" si="4"/>
        <v>Friday</v>
      </c>
      <c r="Q113">
        <f t="shared" si="5"/>
        <v>868</v>
      </c>
      <c r="R113" t="str">
        <f t="shared" si="6"/>
        <v>Weekday</v>
      </c>
      <c r="S113" t="str">
        <f t="shared" si="7"/>
        <v>Lightly Active</v>
      </c>
    </row>
    <row r="114" spans="1:19" x14ac:dyDescent="0.25">
      <c r="A114">
        <v>7007744171</v>
      </c>
      <c r="B114" s="4">
        <v>42465</v>
      </c>
      <c r="C114">
        <v>0</v>
      </c>
      <c r="D114" s="1">
        <v>0</v>
      </c>
      <c r="E114" s="1">
        <v>0</v>
      </c>
      <c r="F114" s="1">
        <v>0</v>
      </c>
      <c r="G114" s="1">
        <v>0</v>
      </c>
      <c r="H114" s="1">
        <v>0</v>
      </c>
      <c r="I114" s="1">
        <v>0</v>
      </c>
      <c r="J114" s="1">
        <v>0</v>
      </c>
      <c r="K114">
        <v>0</v>
      </c>
      <c r="L114">
        <v>0</v>
      </c>
      <c r="M114">
        <v>0</v>
      </c>
      <c r="N114">
        <v>1440</v>
      </c>
      <c r="O114">
        <v>1557</v>
      </c>
      <c r="P114" t="str">
        <f t="shared" si="4"/>
        <v>Tuesday</v>
      </c>
      <c r="Q114">
        <f t="shared" si="5"/>
        <v>1440</v>
      </c>
      <c r="R114" t="str">
        <f t="shared" si="6"/>
        <v>Weekday</v>
      </c>
      <c r="S114" t="str">
        <f t="shared" si="7"/>
        <v>Sedentary</v>
      </c>
    </row>
    <row r="115" spans="1:19" x14ac:dyDescent="0.25">
      <c r="A115">
        <v>1624580081</v>
      </c>
      <c r="B115" s="4">
        <v>42483</v>
      </c>
      <c r="C115">
        <v>8538</v>
      </c>
      <c r="D115" s="1">
        <v>5.5500001907348597</v>
      </c>
      <c r="E115" s="1">
        <v>5.5500001907348597</v>
      </c>
      <c r="F115" s="1">
        <v>0</v>
      </c>
      <c r="G115" s="1">
        <v>0</v>
      </c>
      <c r="H115" s="1">
        <v>0</v>
      </c>
      <c r="I115" s="1">
        <v>5.53999996185303</v>
      </c>
      <c r="J115" s="1">
        <v>9.9999997764825804E-3</v>
      </c>
      <c r="K115">
        <v>0</v>
      </c>
      <c r="L115">
        <v>0</v>
      </c>
      <c r="M115">
        <v>227</v>
      </c>
      <c r="N115">
        <v>1213</v>
      </c>
      <c r="O115">
        <v>1562</v>
      </c>
      <c r="P115" t="str">
        <f t="shared" si="4"/>
        <v>Saturday</v>
      </c>
      <c r="Q115">
        <f t="shared" si="5"/>
        <v>1440</v>
      </c>
      <c r="R115" t="str">
        <f t="shared" si="6"/>
        <v>Weekend</v>
      </c>
      <c r="S115" t="str">
        <f t="shared" si="7"/>
        <v>Fairly Active</v>
      </c>
    </row>
    <row r="116" spans="1:19" x14ac:dyDescent="0.25">
      <c r="A116">
        <v>5553957443</v>
      </c>
      <c r="B116" s="4">
        <v>42480</v>
      </c>
      <c r="C116">
        <v>2713</v>
      </c>
      <c r="D116" s="1">
        <v>1.7699999809265099</v>
      </c>
      <c r="E116" s="1">
        <v>1.7699999809265099</v>
      </c>
      <c r="F116" s="1">
        <v>0</v>
      </c>
      <c r="G116" s="1">
        <v>0</v>
      </c>
      <c r="H116" s="1">
        <v>0</v>
      </c>
      <c r="I116" s="1">
        <v>1.7699999809265099</v>
      </c>
      <c r="J116" s="1">
        <v>0</v>
      </c>
      <c r="K116">
        <v>0</v>
      </c>
      <c r="L116">
        <v>0</v>
      </c>
      <c r="M116">
        <v>148</v>
      </c>
      <c r="N116">
        <v>598</v>
      </c>
      <c r="O116">
        <v>1570</v>
      </c>
      <c r="P116" t="str">
        <f t="shared" si="4"/>
        <v>Wednesday</v>
      </c>
      <c r="Q116">
        <f t="shared" si="5"/>
        <v>746</v>
      </c>
      <c r="R116" t="str">
        <f t="shared" si="6"/>
        <v>Weekday</v>
      </c>
      <c r="S116" t="str">
        <f t="shared" si="7"/>
        <v>Sedentary</v>
      </c>
    </row>
    <row r="117" spans="1:19" x14ac:dyDescent="0.25">
      <c r="A117">
        <v>3977333714</v>
      </c>
      <c r="B117" s="4">
        <v>42485</v>
      </c>
      <c r="C117">
        <v>11177</v>
      </c>
      <c r="D117" s="1">
        <v>8.4799995422363299</v>
      </c>
      <c r="E117" s="1">
        <v>8.4799995422363299</v>
      </c>
      <c r="F117" s="1">
        <v>0</v>
      </c>
      <c r="G117" s="1">
        <v>5.6199998855590803</v>
      </c>
      <c r="H117" s="1">
        <v>0.43000000715255698</v>
      </c>
      <c r="I117" s="1">
        <v>2.4100000858306898</v>
      </c>
      <c r="J117" s="1">
        <v>0</v>
      </c>
      <c r="K117">
        <v>50</v>
      </c>
      <c r="L117">
        <v>9</v>
      </c>
      <c r="M117">
        <v>133</v>
      </c>
      <c r="N117">
        <v>781</v>
      </c>
      <c r="O117">
        <v>1570</v>
      </c>
      <c r="P117" t="str">
        <f t="shared" si="4"/>
        <v>Monday</v>
      </c>
      <c r="Q117">
        <f t="shared" si="5"/>
        <v>973</v>
      </c>
      <c r="R117" t="str">
        <f t="shared" si="6"/>
        <v>Weekday</v>
      </c>
      <c r="S117" t="str">
        <f t="shared" si="7"/>
        <v>Very_Active</v>
      </c>
    </row>
    <row r="118" spans="1:19" x14ac:dyDescent="0.25">
      <c r="A118">
        <v>1624580081</v>
      </c>
      <c r="B118" s="4">
        <v>42474</v>
      </c>
      <c r="C118">
        <v>9107</v>
      </c>
      <c r="D118" s="1">
        <v>5.9200000762939498</v>
      </c>
      <c r="E118" s="1">
        <v>5.9200000762939498</v>
      </c>
      <c r="F118" s="1">
        <v>0</v>
      </c>
      <c r="G118" s="1">
        <v>0</v>
      </c>
      <c r="H118" s="1">
        <v>0</v>
      </c>
      <c r="I118" s="1">
        <v>5.9099998474121103</v>
      </c>
      <c r="J118" s="1">
        <v>9.9999997764825804E-3</v>
      </c>
      <c r="K118">
        <v>0</v>
      </c>
      <c r="L118">
        <v>0</v>
      </c>
      <c r="M118">
        <v>236</v>
      </c>
      <c r="N118">
        <v>1204</v>
      </c>
      <c r="O118">
        <v>1572</v>
      </c>
      <c r="P118" t="str">
        <f t="shared" si="4"/>
        <v>Thursday</v>
      </c>
      <c r="Q118">
        <f t="shared" si="5"/>
        <v>1440</v>
      </c>
      <c r="R118" t="str">
        <f t="shared" si="6"/>
        <v>Weekday</v>
      </c>
      <c r="S118" t="str">
        <f t="shared" si="7"/>
        <v>Fairly Active</v>
      </c>
    </row>
    <row r="119" spans="1:19" x14ac:dyDescent="0.25">
      <c r="A119">
        <v>3977333714</v>
      </c>
      <c r="B119" s="4">
        <v>42556</v>
      </c>
      <c r="C119">
        <v>11550</v>
      </c>
      <c r="D119" s="1">
        <v>7.7300000190734899</v>
      </c>
      <c r="E119" s="1">
        <v>7.7300000190734899</v>
      </c>
      <c r="F119" s="1">
        <v>0</v>
      </c>
      <c r="G119" s="1">
        <v>0</v>
      </c>
      <c r="H119" s="1">
        <v>4.1300001144409197</v>
      </c>
      <c r="I119" s="1">
        <v>3.5899999141693102</v>
      </c>
      <c r="J119" s="1">
        <v>0</v>
      </c>
      <c r="K119">
        <v>0</v>
      </c>
      <c r="L119">
        <v>86</v>
      </c>
      <c r="M119">
        <v>208</v>
      </c>
      <c r="N119">
        <v>703</v>
      </c>
      <c r="O119">
        <v>1574</v>
      </c>
      <c r="P119" t="str">
        <f t="shared" si="4"/>
        <v>Tuesday</v>
      </c>
      <c r="Q119">
        <f t="shared" si="5"/>
        <v>997</v>
      </c>
      <c r="R119" t="str">
        <f t="shared" si="6"/>
        <v>Weekday</v>
      </c>
      <c r="S119" t="str">
        <f t="shared" si="7"/>
        <v>Very_Active</v>
      </c>
    </row>
    <row r="120" spans="1:19" x14ac:dyDescent="0.25">
      <c r="A120">
        <v>2026352035</v>
      </c>
      <c r="B120" s="4">
        <v>42485</v>
      </c>
      <c r="C120">
        <v>6017</v>
      </c>
      <c r="D120" s="1">
        <v>3.7300000190734899</v>
      </c>
      <c r="E120" s="1">
        <v>3.7300000190734899</v>
      </c>
      <c r="F120" s="1">
        <v>0</v>
      </c>
      <c r="G120" s="1">
        <v>0</v>
      </c>
      <c r="H120" s="1">
        <v>0</v>
      </c>
      <c r="I120" s="1">
        <v>3.7300000190734899</v>
      </c>
      <c r="J120" s="1">
        <v>0</v>
      </c>
      <c r="K120">
        <v>0</v>
      </c>
      <c r="L120">
        <v>0</v>
      </c>
      <c r="M120">
        <v>260</v>
      </c>
      <c r="N120">
        <v>821</v>
      </c>
      <c r="O120">
        <v>1576</v>
      </c>
      <c r="P120" t="str">
        <f t="shared" si="4"/>
        <v>Monday</v>
      </c>
      <c r="Q120">
        <f t="shared" si="5"/>
        <v>1081</v>
      </c>
      <c r="R120" t="str">
        <f t="shared" si="6"/>
        <v>Weekday</v>
      </c>
      <c r="S120" t="str">
        <f t="shared" si="7"/>
        <v>Lightly Active</v>
      </c>
    </row>
    <row r="121" spans="1:19" x14ac:dyDescent="0.25">
      <c r="A121">
        <v>8253242879</v>
      </c>
      <c r="B121" s="4">
        <v>42488</v>
      </c>
      <c r="C121">
        <v>2718</v>
      </c>
      <c r="D121" s="1">
        <v>1.79999995231628</v>
      </c>
      <c r="E121" s="1">
        <v>1.79999995231628</v>
      </c>
      <c r="F121" s="1">
        <v>0</v>
      </c>
      <c r="G121" s="1">
        <v>0.67000001668930098</v>
      </c>
      <c r="H121" s="1">
        <v>0.77999997138977095</v>
      </c>
      <c r="I121" s="1">
        <v>0.34000000357627902</v>
      </c>
      <c r="J121" s="1">
        <v>0</v>
      </c>
      <c r="K121">
        <v>11</v>
      </c>
      <c r="L121">
        <v>16</v>
      </c>
      <c r="M121">
        <v>20</v>
      </c>
      <c r="N121">
        <v>1393</v>
      </c>
      <c r="O121">
        <v>1580</v>
      </c>
      <c r="P121" t="str">
        <f t="shared" si="4"/>
        <v>Thursday</v>
      </c>
      <c r="Q121">
        <f t="shared" si="5"/>
        <v>1440</v>
      </c>
      <c r="R121" t="str">
        <f t="shared" si="6"/>
        <v>Weekday</v>
      </c>
      <c r="S121" t="str">
        <f t="shared" si="7"/>
        <v>Sedentary</v>
      </c>
    </row>
    <row r="122" spans="1:19" x14ac:dyDescent="0.25">
      <c r="A122">
        <v>3977333714</v>
      </c>
      <c r="B122" s="4">
        <v>42478</v>
      </c>
      <c r="C122">
        <v>11663</v>
      </c>
      <c r="D122" s="1">
        <v>7.8000001907348597</v>
      </c>
      <c r="E122" s="1">
        <v>7.8000001907348597</v>
      </c>
      <c r="F122" s="1">
        <v>0</v>
      </c>
      <c r="G122" s="1">
        <v>0.25</v>
      </c>
      <c r="H122" s="1">
        <v>3.7300000190734899</v>
      </c>
      <c r="I122" s="1">
        <v>3.8199999332428001</v>
      </c>
      <c r="J122" s="1">
        <v>0</v>
      </c>
      <c r="K122">
        <v>4</v>
      </c>
      <c r="L122">
        <v>95</v>
      </c>
      <c r="M122">
        <v>214</v>
      </c>
      <c r="N122">
        <v>605</v>
      </c>
      <c r="O122">
        <v>1584</v>
      </c>
      <c r="P122" t="str">
        <f t="shared" si="4"/>
        <v>Monday</v>
      </c>
      <c r="Q122">
        <f t="shared" si="5"/>
        <v>918</v>
      </c>
      <c r="R122" t="str">
        <f t="shared" si="6"/>
        <v>Weekday</v>
      </c>
      <c r="S122" t="str">
        <f t="shared" si="7"/>
        <v>Very_Active</v>
      </c>
    </row>
    <row r="123" spans="1:19" x14ac:dyDescent="0.25">
      <c r="A123">
        <v>1844505072</v>
      </c>
      <c r="B123" s="4">
        <v>42495</v>
      </c>
      <c r="C123">
        <v>2237</v>
      </c>
      <c r="D123" s="1">
        <v>1.4800000190734901</v>
      </c>
      <c r="E123" s="1">
        <v>1.4800000190734901</v>
      </c>
      <c r="F123" s="1">
        <v>0</v>
      </c>
      <c r="G123" s="1">
        <v>0</v>
      </c>
      <c r="H123" s="1">
        <v>0</v>
      </c>
      <c r="I123" s="1">
        <v>1.4800000190734901</v>
      </c>
      <c r="J123" s="1">
        <v>0</v>
      </c>
      <c r="K123">
        <v>0</v>
      </c>
      <c r="L123">
        <v>0</v>
      </c>
      <c r="M123">
        <v>120</v>
      </c>
      <c r="N123">
        <v>1320</v>
      </c>
      <c r="O123">
        <v>1589</v>
      </c>
      <c r="P123" t="str">
        <f t="shared" si="4"/>
        <v>Thursday</v>
      </c>
      <c r="Q123">
        <f t="shared" si="5"/>
        <v>1440</v>
      </c>
      <c r="R123" t="str">
        <f t="shared" si="6"/>
        <v>Weekday</v>
      </c>
      <c r="S123" t="str">
        <f t="shared" si="7"/>
        <v>Sedentary</v>
      </c>
    </row>
    <row r="124" spans="1:19" x14ac:dyDescent="0.25">
      <c r="A124">
        <v>3977333714</v>
      </c>
      <c r="B124" s="4">
        <v>42526</v>
      </c>
      <c r="C124">
        <v>11677</v>
      </c>
      <c r="D124" s="1">
        <v>8.2799997329711896</v>
      </c>
      <c r="E124" s="1">
        <v>8.2799997329711896</v>
      </c>
      <c r="F124" s="1">
        <v>0</v>
      </c>
      <c r="G124" s="1">
        <v>3.1099998950958301</v>
      </c>
      <c r="H124" s="1">
        <v>2.5099999904632599</v>
      </c>
      <c r="I124" s="1">
        <v>2.6700000762939502</v>
      </c>
      <c r="J124" s="1">
        <v>0</v>
      </c>
      <c r="K124">
        <v>29</v>
      </c>
      <c r="L124">
        <v>55</v>
      </c>
      <c r="M124">
        <v>168</v>
      </c>
      <c r="N124">
        <v>676</v>
      </c>
      <c r="O124">
        <v>1590</v>
      </c>
      <c r="P124" t="str">
        <f t="shared" si="4"/>
        <v>Sunday</v>
      </c>
      <c r="Q124">
        <f t="shared" si="5"/>
        <v>928</v>
      </c>
      <c r="R124" t="str">
        <f t="shared" si="6"/>
        <v>Weekend</v>
      </c>
      <c r="S124" t="str">
        <f t="shared" si="7"/>
        <v>Very_Active</v>
      </c>
    </row>
    <row r="125" spans="1:19" x14ac:dyDescent="0.25">
      <c r="A125">
        <v>4319703577</v>
      </c>
      <c r="B125" s="4">
        <v>42374</v>
      </c>
      <c r="C125">
        <v>1251</v>
      </c>
      <c r="D125" s="1">
        <v>0.83999997377395597</v>
      </c>
      <c r="E125" s="1">
        <v>0.83999997377395597</v>
      </c>
      <c r="F125" s="1">
        <v>0</v>
      </c>
      <c r="G125" s="1">
        <v>0</v>
      </c>
      <c r="H125" s="1">
        <v>0</v>
      </c>
      <c r="I125" s="1">
        <v>0.83999997377395597</v>
      </c>
      <c r="J125" s="1">
        <v>0</v>
      </c>
      <c r="K125">
        <v>0</v>
      </c>
      <c r="L125">
        <v>0</v>
      </c>
      <c r="M125">
        <v>67</v>
      </c>
      <c r="N125">
        <v>836</v>
      </c>
      <c r="O125">
        <v>1593</v>
      </c>
      <c r="P125" t="str">
        <f t="shared" si="4"/>
        <v>Tuesday</v>
      </c>
      <c r="Q125">
        <f t="shared" si="5"/>
        <v>903</v>
      </c>
      <c r="R125" t="str">
        <f t="shared" si="6"/>
        <v>Weekday</v>
      </c>
      <c r="S125" t="str">
        <f t="shared" si="7"/>
        <v>Sedentary</v>
      </c>
    </row>
    <row r="126" spans="1:19" x14ac:dyDescent="0.25">
      <c r="A126">
        <v>2026352035</v>
      </c>
      <c r="B126" s="4">
        <v>42487</v>
      </c>
      <c r="C126">
        <v>6088</v>
      </c>
      <c r="D126" s="1">
        <v>3.7699999809265101</v>
      </c>
      <c r="E126" s="1">
        <v>3.7699999809265101</v>
      </c>
      <c r="F126" s="1">
        <v>0</v>
      </c>
      <c r="G126" s="1">
        <v>0</v>
      </c>
      <c r="H126" s="1">
        <v>0</v>
      </c>
      <c r="I126" s="1">
        <v>3.7699999809265101</v>
      </c>
      <c r="J126" s="1">
        <v>0</v>
      </c>
      <c r="K126">
        <v>0</v>
      </c>
      <c r="L126">
        <v>0</v>
      </c>
      <c r="M126">
        <v>286</v>
      </c>
      <c r="N126">
        <v>586</v>
      </c>
      <c r="O126">
        <v>1593</v>
      </c>
      <c r="P126" t="str">
        <f t="shared" si="4"/>
        <v>Wednesday</v>
      </c>
      <c r="Q126">
        <f t="shared" si="5"/>
        <v>872</v>
      </c>
      <c r="R126" t="str">
        <f t="shared" si="6"/>
        <v>Weekday</v>
      </c>
      <c r="S126" t="str">
        <f t="shared" si="7"/>
        <v>Lightly Active</v>
      </c>
    </row>
    <row r="127" spans="1:19" x14ac:dyDescent="0.25">
      <c r="A127">
        <v>2026352035</v>
      </c>
      <c r="B127" s="4">
        <v>42486</v>
      </c>
      <c r="C127">
        <v>5933</v>
      </c>
      <c r="D127" s="1">
        <v>3.6800000667571999</v>
      </c>
      <c r="E127" s="1">
        <v>3.6800000667571999</v>
      </c>
      <c r="F127" s="1">
        <v>0</v>
      </c>
      <c r="G127" s="1">
        <v>0</v>
      </c>
      <c r="H127" s="1">
        <v>0</v>
      </c>
      <c r="I127" s="1">
        <v>3.6800000667571999</v>
      </c>
      <c r="J127" s="1">
        <v>0</v>
      </c>
      <c r="K127">
        <v>0</v>
      </c>
      <c r="L127">
        <v>0</v>
      </c>
      <c r="M127">
        <v>288</v>
      </c>
      <c r="N127">
        <v>1018</v>
      </c>
      <c r="O127">
        <v>1595</v>
      </c>
      <c r="P127" t="str">
        <f t="shared" si="4"/>
        <v>Tuesday</v>
      </c>
      <c r="Q127">
        <f t="shared" si="5"/>
        <v>1306</v>
      </c>
      <c r="R127" t="str">
        <f t="shared" si="6"/>
        <v>Weekday</v>
      </c>
      <c r="S127" t="str">
        <f t="shared" si="7"/>
        <v>Lightly Active</v>
      </c>
    </row>
    <row r="128" spans="1:19" x14ac:dyDescent="0.25">
      <c r="A128">
        <v>2026352035</v>
      </c>
      <c r="B128" s="4">
        <v>42434</v>
      </c>
      <c r="C128">
        <v>5992</v>
      </c>
      <c r="D128" s="1">
        <v>3.7200000286102299</v>
      </c>
      <c r="E128" s="1">
        <v>3.7200000286102299</v>
      </c>
      <c r="F128" s="1">
        <v>0</v>
      </c>
      <c r="G128" s="1">
        <v>0</v>
      </c>
      <c r="H128" s="1">
        <v>0</v>
      </c>
      <c r="I128" s="1">
        <v>3.7200000286102299</v>
      </c>
      <c r="J128" s="1">
        <v>0</v>
      </c>
      <c r="K128">
        <v>0</v>
      </c>
      <c r="L128">
        <v>0</v>
      </c>
      <c r="M128">
        <v>304</v>
      </c>
      <c r="N128">
        <v>981</v>
      </c>
      <c r="O128">
        <v>1604</v>
      </c>
      <c r="P128" t="str">
        <f t="shared" si="4"/>
        <v>Saturday</v>
      </c>
      <c r="Q128">
        <f t="shared" si="5"/>
        <v>1285</v>
      </c>
      <c r="R128" t="str">
        <f t="shared" si="6"/>
        <v>Weekend</v>
      </c>
      <c r="S128" t="str">
        <f t="shared" si="7"/>
        <v>Lightly Active</v>
      </c>
    </row>
    <row r="129" spans="1:19" x14ac:dyDescent="0.25">
      <c r="A129">
        <v>1624580081</v>
      </c>
      <c r="B129" s="4">
        <v>42478</v>
      </c>
      <c r="C129">
        <v>10536</v>
      </c>
      <c r="D129" s="1">
        <v>7.4099998474121103</v>
      </c>
      <c r="E129" s="1">
        <v>7.4099998474121103</v>
      </c>
      <c r="F129" s="1">
        <v>0</v>
      </c>
      <c r="G129" s="1">
        <v>2.1500000953674299</v>
      </c>
      <c r="H129" s="1">
        <v>0.62000000476837203</v>
      </c>
      <c r="I129" s="1">
        <v>4.6199998855590803</v>
      </c>
      <c r="J129" s="1">
        <v>9.9999997764825804E-3</v>
      </c>
      <c r="K129">
        <v>17</v>
      </c>
      <c r="L129">
        <v>7</v>
      </c>
      <c r="M129">
        <v>202</v>
      </c>
      <c r="N129">
        <v>1214</v>
      </c>
      <c r="O129">
        <v>1604</v>
      </c>
      <c r="P129" t="str">
        <f t="shared" si="4"/>
        <v>Monday</v>
      </c>
      <c r="Q129">
        <f t="shared" si="5"/>
        <v>1440</v>
      </c>
      <c r="R129" t="str">
        <f t="shared" si="6"/>
        <v>Weekday</v>
      </c>
      <c r="S129" t="str">
        <f t="shared" si="7"/>
        <v>Very_Active</v>
      </c>
    </row>
    <row r="130" spans="1:19" x14ac:dyDescent="0.25">
      <c r="A130">
        <v>2320127002</v>
      </c>
      <c r="B130" s="4">
        <v>42481</v>
      </c>
      <c r="C130">
        <v>3404</v>
      </c>
      <c r="D130" s="1">
        <v>2.28999996185303</v>
      </c>
      <c r="E130" s="1">
        <v>2.28999996185303</v>
      </c>
      <c r="F130" s="1">
        <v>0</v>
      </c>
      <c r="G130" s="1">
        <v>5.9999998658895499E-2</v>
      </c>
      <c r="H130" s="1">
        <v>0.41999998688697798</v>
      </c>
      <c r="I130" s="1">
        <v>1.8099999427795399</v>
      </c>
      <c r="J130" s="1">
        <v>0</v>
      </c>
      <c r="K130">
        <v>1</v>
      </c>
      <c r="L130">
        <v>10</v>
      </c>
      <c r="M130">
        <v>127</v>
      </c>
      <c r="N130">
        <v>1302</v>
      </c>
      <c r="O130">
        <v>1610</v>
      </c>
      <c r="P130" t="str">
        <f t="shared" ref="P130:P193" si="8">TEXT(B130,"dddd")</f>
        <v>Thursday</v>
      </c>
      <c r="Q130">
        <f t="shared" ref="Q130:Q193" si="9">SUM(K130:N130)</f>
        <v>1440</v>
      </c>
      <c r="R130" t="str">
        <f t="shared" ref="R130:R193" si="10">IF(WEEKDAY(B130,2)&lt;=5,"Weekday","Weekend")</f>
        <v>Weekday</v>
      </c>
      <c r="S130" t="str">
        <f t="shared" ref="S130:S193" si="11">IF(C130&lt;5000,"Sedentary",IF(C130&lt;7500,"Lightly Active",IF(C130&lt;10000,"Fairly Active","Very_Active")))</f>
        <v>Sedentary</v>
      </c>
    </row>
    <row r="131" spans="1:19" x14ac:dyDescent="0.25">
      <c r="A131">
        <v>2320127002</v>
      </c>
      <c r="B131" s="4">
        <v>42405</v>
      </c>
      <c r="C131">
        <v>3634</v>
      </c>
      <c r="D131" s="1">
        <v>2.4500000476837198</v>
      </c>
      <c r="E131" s="1">
        <v>2.4500000476837198</v>
      </c>
      <c r="F131" s="1">
        <v>0</v>
      </c>
      <c r="G131" s="1">
        <v>0.36000001430511502</v>
      </c>
      <c r="H131" s="1">
        <v>0.20999999344348899</v>
      </c>
      <c r="I131" s="1">
        <v>1.87999999523163</v>
      </c>
      <c r="J131" s="1">
        <v>0</v>
      </c>
      <c r="K131">
        <v>5</v>
      </c>
      <c r="L131">
        <v>6</v>
      </c>
      <c r="M131">
        <v>123</v>
      </c>
      <c r="N131">
        <v>1306</v>
      </c>
      <c r="O131">
        <v>1613</v>
      </c>
      <c r="P131" t="str">
        <f t="shared" si="8"/>
        <v>Friday</v>
      </c>
      <c r="Q131">
        <f t="shared" si="9"/>
        <v>1440</v>
      </c>
      <c r="R131" t="str">
        <f t="shared" si="10"/>
        <v>Weekday</v>
      </c>
      <c r="S131" t="str">
        <f t="shared" si="11"/>
        <v>Sedentary</v>
      </c>
    </row>
    <row r="132" spans="1:19" x14ac:dyDescent="0.25">
      <c r="A132">
        <v>1624580081</v>
      </c>
      <c r="B132" s="4">
        <v>42484</v>
      </c>
      <c r="C132">
        <v>6076</v>
      </c>
      <c r="D132" s="1">
        <v>3.9500000476837198</v>
      </c>
      <c r="E132" s="1">
        <v>3.9500000476837198</v>
      </c>
      <c r="F132" s="1">
        <v>0</v>
      </c>
      <c r="G132" s="1">
        <v>1.1499999761581401</v>
      </c>
      <c r="H132" s="1">
        <v>0.91000002622604403</v>
      </c>
      <c r="I132" s="1">
        <v>1.8899999856948899</v>
      </c>
      <c r="J132" s="1">
        <v>0</v>
      </c>
      <c r="K132">
        <v>16</v>
      </c>
      <c r="L132">
        <v>18</v>
      </c>
      <c r="M132">
        <v>185</v>
      </c>
      <c r="N132">
        <v>1221</v>
      </c>
      <c r="O132">
        <v>1617</v>
      </c>
      <c r="P132" t="str">
        <f t="shared" si="8"/>
        <v>Sunday</v>
      </c>
      <c r="Q132">
        <f t="shared" si="9"/>
        <v>1440</v>
      </c>
      <c r="R132" t="str">
        <f t="shared" si="10"/>
        <v>Weekend</v>
      </c>
      <c r="S132" t="str">
        <f t="shared" si="11"/>
        <v>Lightly Active</v>
      </c>
    </row>
    <row r="133" spans="1:19" x14ac:dyDescent="0.25">
      <c r="A133">
        <v>3977333714</v>
      </c>
      <c r="B133" s="4">
        <v>42495</v>
      </c>
      <c r="C133">
        <v>12312</v>
      </c>
      <c r="D133" s="1">
        <v>8.5799999237060494</v>
      </c>
      <c r="E133" s="1">
        <v>8.5799999237060494</v>
      </c>
      <c r="F133" s="1">
        <v>0</v>
      </c>
      <c r="G133" s="1">
        <v>1.7599999904632599</v>
      </c>
      <c r="H133" s="1">
        <v>4.1100001335143999</v>
      </c>
      <c r="I133" s="1">
        <v>2.71000003814697</v>
      </c>
      <c r="J133" s="1">
        <v>0</v>
      </c>
      <c r="K133">
        <v>14</v>
      </c>
      <c r="L133">
        <v>88</v>
      </c>
      <c r="M133">
        <v>178</v>
      </c>
      <c r="N133">
        <v>680</v>
      </c>
      <c r="O133">
        <v>1618</v>
      </c>
      <c r="P133" t="str">
        <f t="shared" si="8"/>
        <v>Thursday</v>
      </c>
      <c r="Q133">
        <f t="shared" si="9"/>
        <v>960</v>
      </c>
      <c r="R133" t="str">
        <f t="shared" si="10"/>
        <v>Weekday</v>
      </c>
      <c r="S133" t="str">
        <f t="shared" si="11"/>
        <v>Very_Active</v>
      </c>
    </row>
    <row r="134" spans="1:19" x14ac:dyDescent="0.25">
      <c r="A134">
        <v>4388161847</v>
      </c>
      <c r="B134" s="4">
        <v>42709</v>
      </c>
      <c r="C134">
        <v>3369</v>
      </c>
      <c r="D134" s="1">
        <v>2.5899999141693102</v>
      </c>
      <c r="E134" s="1">
        <v>2.5899999141693102</v>
      </c>
      <c r="F134" s="1">
        <v>0</v>
      </c>
      <c r="G134" s="1">
        <v>0</v>
      </c>
      <c r="H134" s="1">
        <v>0</v>
      </c>
      <c r="I134" s="1">
        <v>2.5899999141693102</v>
      </c>
      <c r="J134" s="1">
        <v>0</v>
      </c>
      <c r="K134">
        <v>0</v>
      </c>
      <c r="L134">
        <v>0</v>
      </c>
      <c r="M134">
        <v>108</v>
      </c>
      <c r="N134">
        <v>825</v>
      </c>
      <c r="O134">
        <v>1623</v>
      </c>
      <c r="P134" t="str">
        <f t="shared" si="8"/>
        <v>Monday</v>
      </c>
      <c r="Q134">
        <f t="shared" si="9"/>
        <v>933</v>
      </c>
      <c r="R134" t="str">
        <f t="shared" si="10"/>
        <v>Weekday</v>
      </c>
      <c r="S134" t="str">
        <f t="shared" si="11"/>
        <v>Sedentary</v>
      </c>
    </row>
    <row r="135" spans="1:19" x14ac:dyDescent="0.25">
      <c r="A135">
        <v>3977333714</v>
      </c>
      <c r="B135" s="4">
        <v>42476</v>
      </c>
      <c r="C135">
        <v>13459</v>
      </c>
      <c r="D135" s="1">
        <v>9</v>
      </c>
      <c r="E135" s="1">
        <v>9</v>
      </c>
      <c r="F135" s="1">
        <v>0</v>
      </c>
      <c r="G135" s="1">
        <v>2.0299999713897701</v>
      </c>
      <c r="H135" s="1">
        <v>4</v>
      </c>
      <c r="I135" s="1">
        <v>2.9700000286102299</v>
      </c>
      <c r="J135" s="1">
        <v>0</v>
      </c>
      <c r="K135">
        <v>31</v>
      </c>
      <c r="L135">
        <v>83</v>
      </c>
      <c r="M135">
        <v>153</v>
      </c>
      <c r="N135">
        <v>663</v>
      </c>
      <c r="O135">
        <v>1625</v>
      </c>
      <c r="P135" t="str">
        <f t="shared" si="8"/>
        <v>Saturday</v>
      </c>
      <c r="Q135">
        <f t="shared" si="9"/>
        <v>930</v>
      </c>
      <c r="R135" t="str">
        <f t="shared" si="10"/>
        <v>Weekend</v>
      </c>
      <c r="S135" t="str">
        <f t="shared" si="11"/>
        <v>Very_Active</v>
      </c>
    </row>
    <row r="136" spans="1:19" x14ac:dyDescent="0.25">
      <c r="A136">
        <v>3977333714</v>
      </c>
      <c r="B136" s="4">
        <v>42465</v>
      </c>
      <c r="C136">
        <v>13559</v>
      </c>
      <c r="D136" s="1">
        <v>9.4399995803833008</v>
      </c>
      <c r="E136" s="1">
        <v>9.4399995803833008</v>
      </c>
      <c r="F136" s="1">
        <v>0</v>
      </c>
      <c r="G136" s="1">
        <v>1.8099999427795399</v>
      </c>
      <c r="H136" s="1">
        <v>4.5799999237060502</v>
      </c>
      <c r="I136" s="1">
        <v>2.8900001049041699</v>
      </c>
      <c r="J136" s="1">
        <v>0</v>
      </c>
      <c r="K136">
        <v>14</v>
      </c>
      <c r="L136">
        <v>96</v>
      </c>
      <c r="M136">
        <v>142</v>
      </c>
      <c r="N136">
        <v>852</v>
      </c>
      <c r="O136">
        <v>1628</v>
      </c>
      <c r="P136" t="str">
        <f t="shared" si="8"/>
        <v>Tuesday</v>
      </c>
      <c r="Q136">
        <f t="shared" si="9"/>
        <v>1104</v>
      </c>
      <c r="R136" t="str">
        <f t="shared" si="10"/>
        <v>Weekday</v>
      </c>
      <c r="S136" t="str">
        <f t="shared" si="11"/>
        <v>Very_Active</v>
      </c>
    </row>
    <row r="137" spans="1:19" x14ac:dyDescent="0.25">
      <c r="A137">
        <v>7086361926</v>
      </c>
      <c r="B137" s="4">
        <v>42477</v>
      </c>
      <c r="C137">
        <v>0</v>
      </c>
      <c r="D137" s="1">
        <v>0</v>
      </c>
      <c r="E137" s="1">
        <v>0</v>
      </c>
      <c r="F137" s="1">
        <v>0</v>
      </c>
      <c r="G137" s="1">
        <v>0</v>
      </c>
      <c r="H137" s="1">
        <v>0</v>
      </c>
      <c r="I137" s="1">
        <v>0</v>
      </c>
      <c r="J137" s="1">
        <v>0</v>
      </c>
      <c r="K137">
        <v>0</v>
      </c>
      <c r="L137">
        <v>0</v>
      </c>
      <c r="M137">
        <v>0</v>
      </c>
      <c r="N137">
        <v>1440</v>
      </c>
      <c r="O137">
        <v>1629</v>
      </c>
      <c r="P137" t="str">
        <f t="shared" si="8"/>
        <v>Sunday</v>
      </c>
      <c r="Q137">
        <f t="shared" si="9"/>
        <v>1440</v>
      </c>
      <c r="R137" t="str">
        <f t="shared" si="10"/>
        <v>Weekend</v>
      </c>
      <c r="S137" t="str">
        <f t="shared" si="11"/>
        <v>Sedentary</v>
      </c>
    </row>
    <row r="138" spans="1:19" x14ac:dyDescent="0.25">
      <c r="A138">
        <v>2320127002</v>
      </c>
      <c r="B138" s="4">
        <v>42618</v>
      </c>
      <c r="C138">
        <v>3090</v>
      </c>
      <c r="D138" s="1">
        <v>2.0799999237060498</v>
      </c>
      <c r="E138" s="1">
        <v>2.0799999237060498</v>
      </c>
      <c r="F138" s="1">
        <v>0</v>
      </c>
      <c r="G138" s="1">
        <v>0</v>
      </c>
      <c r="H138" s="1">
        <v>0</v>
      </c>
      <c r="I138" s="1">
        <v>2.0799999237060498</v>
      </c>
      <c r="J138" s="1">
        <v>0</v>
      </c>
      <c r="K138">
        <v>0</v>
      </c>
      <c r="L138">
        <v>0</v>
      </c>
      <c r="M138">
        <v>145</v>
      </c>
      <c r="N138">
        <v>1295</v>
      </c>
      <c r="O138">
        <v>1630</v>
      </c>
      <c r="P138" t="str">
        <f t="shared" si="8"/>
        <v>Monday</v>
      </c>
      <c r="Q138">
        <f t="shared" si="9"/>
        <v>1440</v>
      </c>
      <c r="R138" t="str">
        <f t="shared" si="10"/>
        <v>Weekday</v>
      </c>
      <c r="S138" t="str">
        <f t="shared" si="11"/>
        <v>Sedentary</v>
      </c>
    </row>
    <row r="139" spans="1:19" x14ac:dyDescent="0.25">
      <c r="A139">
        <v>3977333714</v>
      </c>
      <c r="B139" s="4">
        <v>42648</v>
      </c>
      <c r="C139">
        <v>13072</v>
      </c>
      <c r="D139" s="1">
        <v>8.7799997329711896</v>
      </c>
      <c r="E139" s="1">
        <v>8.7799997329711896</v>
      </c>
      <c r="F139" s="1">
        <v>0</v>
      </c>
      <c r="G139" s="1">
        <v>7.0000000298023196E-2</v>
      </c>
      <c r="H139" s="1">
        <v>5.4000000953674299</v>
      </c>
      <c r="I139" s="1">
        <v>3.3099999427795401</v>
      </c>
      <c r="J139" s="1">
        <v>0</v>
      </c>
      <c r="K139">
        <v>1</v>
      </c>
      <c r="L139">
        <v>115</v>
      </c>
      <c r="M139">
        <v>196</v>
      </c>
      <c r="N139">
        <v>676</v>
      </c>
      <c r="O139">
        <v>1630</v>
      </c>
      <c r="P139" t="str">
        <f t="shared" si="8"/>
        <v>Wednesday</v>
      </c>
      <c r="Q139">
        <f t="shared" si="9"/>
        <v>988</v>
      </c>
      <c r="R139" t="str">
        <f t="shared" si="10"/>
        <v>Weekday</v>
      </c>
      <c r="S139" t="str">
        <f t="shared" si="11"/>
        <v>Very_Active</v>
      </c>
    </row>
    <row r="140" spans="1:19" x14ac:dyDescent="0.25">
      <c r="A140">
        <v>4319703577</v>
      </c>
      <c r="B140" s="4">
        <v>42478</v>
      </c>
      <c r="C140">
        <v>2276</v>
      </c>
      <c r="D140" s="1">
        <v>1.54999995231628</v>
      </c>
      <c r="E140" s="1">
        <v>1.54999995231628</v>
      </c>
      <c r="F140" s="1">
        <v>0</v>
      </c>
      <c r="G140" s="1">
        <v>7.0000000298023196E-2</v>
      </c>
      <c r="H140" s="1">
        <v>0.33000001311302202</v>
      </c>
      <c r="I140" s="1">
        <v>1.12000000476837</v>
      </c>
      <c r="J140" s="1">
        <v>0</v>
      </c>
      <c r="K140">
        <v>1</v>
      </c>
      <c r="L140">
        <v>9</v>
      </c>
      <c r="M140">
        <v>58</v>
      </c>
      <c r="N140">
        <v>824</v>
      </c>
      <c r="O140">
        <v>1632</v>
      </c>
      <c r="P140" t="str">
        <f t="shared" si="8"/>
        <v>Monday</v>
      </c>
      <c r="Q140">
        <f t="shared" si="9"/>
        <v>892</v>
      </c>
      <c r="R140" t="str">
        <f t="shared" si="10"/>
        <v>Weekday</v>
      </c>
      <c r="S140" t="str">
        <f t="shared" si="11"/>
        <v>Sedentary</v>
      </c>
    </row>
    <row r="141" spans="1:19" x14ac:dyDescent="0.25">
      <c r="A141">
        <v>8253242879</v>
      </c>
      <c r="B141" s="4">
        <v>42475</v>
      </c>
      <c r="C141">
        <v>2672</v>
      </c>
      <c r="D141" s="1">
        <v>1.7699999809265099</v>
      </c>
      <c r="E141" s="1">
        <v>1.7699999809265099</v>
      </c>
      <c r="F141" s="1">
        <v>0</v>
      </c>
      <c r="G141" s="1">
        <v>0</v>
      </c>
      <c r="H141" s="1">
        <v>0</v>
      </c>
      <c r="I141" s="1">
        <v>1.7599999904632599</v>
      </c>
      <c r="J141" s="1">
        <v>0</v>
      </c>
      <c r="K141">
        <v>0</v>
      </c>
      <c r="L141">
        <v>0</v>
      </c>
      <c r="M141">
        <v>105</v>
      </c>
      <c r="N141">
        <v>1335</v>
      </c>
      <c r="O141">
        <v>1632</v>
      </c>
      <c r="P141" t="str">
        <f t="shared" si="8"/>
        <v>Friday</v>
      </c>
      <c r="Q141">
        <f t="shared" si="9"/>
        <v>1440</v>
      </c>
      <c r="R141" t="str">
        <f t="shared" si="10"/>
        <v>Weekday</v>
      </c>
      <c r="S141" t="str">
        <f t="shared" si="11"/>
        <v>Sedentary</v>
      </c>
    </row>
    <row r="142" spans="1:19" x14ac:dyDescent="0.25">
      <c r="A142">
        <v>2320127002</v>
      </c>
      <c r="B142" s="4">
        <v>42486</v>
      </c>
      <c r="C142">
        <v>3409</v>
      </c>
      <c r="D142" s="1">
        <v>2.2999999523162802</v>
      </c>
      <c r="E142" s="1">
        <v>2.2999999523162802</v>
      </c>
      <c r="F142" s="1">
        <v>0</v>
      </c>
      <c r="G142" s="1">
        <v>0</v>
      </c>
      <c r="H142" s="1">
        <v>0</v>
      </c>
      <c r="I142" s="1">
        <v>2.2999999523162802</v>
      </c>
      <c r="J142" s="1">
        <v>0</v>
      </c>
      <c r="K142">
        <v>0</v>
      </c>
      <c r="L142">
        <v>0</v>
      </c>
      <c r="M142">
        <v>147</v>
      </c>
      <c r="N142">
        <v>1293</v>
      </c>
      <c r="O142">
        <v>1632</v>
      </c>
      <c r="P142" t="str">
        <f t="shared" si="8"/>
        <v>Tuesday</v>
      </c>
      <c r="Q142">
        <f t="shared" si="9"/>
        <v>1440</v>
      </c>
      <c r="R142" t="str">
        <f t="shared" si="10"/>
        <v>Weekday</v>
      </c>
      <c r="S142" t="str">
        <f t="shared" si="11"/>
        <v>Sedentary</v>
      </c>
    </row>
    <row r="143" spans="1:19" x14ac:dyDescent="0.25">
      <c r="A143">
        <v>3977333714</v>
      </c>
      <c r="B143" s="4">
        <v>42587</v>
      </c>
      <c r="C143">
        <v>13585</v>
      </c>
      <c r="D143" s="1">
        <v>9.0900001525878906</v>
      </c>
      <c r="E143" s="1">
        <v>9.0900001525878906</v>
      </c>
      <c r="F143" s="1">
        <v>0</v>
      </c>
      <c r="G143" s="1">
        <v>0.68000000715255704</v>
      </c>
      <c r="H143" s="1">
        <v>5.2399997711181596</v>
      </c>
      <c r="I143" s="1">
        <v>3.1700000762939502</v>
      </c>
      <c r="J143" s="1">
        <v>0</v>
      </c>
      <c r="K143">
        <v>9</v>
      </c>
      <c r="L143">
        <v>116</v>
      </c>
      <c r="M143">
        <v>171</v>
      </c>
      <c r="N143">
        <v>688</v>
      </c>
      <c r="O143">
        <v>1633</v>
      </c>
      <c r="P143" t="str">
        <f t="shared" si="8"/>
        <v>Friday</v>
      </c>
      <c r="Q143">
        <f t="shared" si="9"/>
        <v>984</v>
      </c>
      <c r="R143" t="str">
        <f t="shared" si="10"/>
        <v>Weekday</v>
      </c>
      <c r="S143" t="str">
        <f t="shared" si="11"/>
        <v>Very_Active</v>
      </c>
    </row>
    <row r="144" spans="1:19" x14ac:dyDescent="0.25">
      <c r="A144">
        <v>7086361926</v>
      </c>
      <c r="B144" s="4">
        <v>42476</v>
      </c>
      <c r="C144">
        <v>31</v>
      </c>
      <c r="D144" s="1">
        <v>9.9999997764825804E-3</v>
      </c>
      <c r="E144" s="1">
        <v>9.9999997764825804E-3</v>
      </c>
      <c r="F144" s="1">
        <v>0</v>
      </c>
      <c r="G144" s="1">
        <v>0</v>
      </c>
      <c r="H144" s="1">
        <v>0</v>
      </c>
      <c r="I144" s="1">
        <v>9.9999997764825804E-3</v>
      </c>
      <c r="J144" s="1">
        <v>0</v>
      </c>
      <c r="K144">
        <v>0</v>
      </c>
      <c r="L144">
        <v>0</v>
      </c>
      <c r="M144">
        <v>3</v>
      </c>
      <c r="N144">
        <v>1437</v>
      </c>
      <c r="O144">
        <v>1635</v>
      </c>
      <c r="P144" t="str">
        <f t="shared" si="8"/>
        <v>Saturday</v>
      </c>
      <c r="Q144">
        <f t="shared" si="9"/>
        <v>1440</v>
      </c>
      <c r="R144" t="str">
        <f t="shared" si="10"/>
        <v>Weekend</v>
      </c>
      <c r="S144" t="str">
        <f t="shared" si="11"/>
        <v>Sedentary</v>
      </c>
    </row>
    <row r="145" spans="1:19" x14ac:dyDescent="0.25">
      <c r="A145">
        <v>3977333714</v>
      </c>
      <c r="B145" s="4">
        <v>42483</v>
      </c>
      <c r="C145">
        <v>12058</v>
      </c>
      <c r="D145" s="1">
        <v>8.0699996948242205</v>
      </c>
      <c r="E145" s="1">
        <v>8.0699996948242205</v>
      </c>
      <c r="F145" s="1">
        <v>0</v>
      </c>
      <c r="G145" s="1">
        <v>0</v>
      </c>
      <c r="H145" s="1">
        <v>4.2199997901916504</v>
      </c>
      <c r="I145" s="1">
        <v>3.8499999046325701</v>
      </c>
      <c r="J145" s="1">
        <v>0</v>
      </c>
      <c r="K145">
        <v>0</v>
      </c>
      <c r="L145">
        <v>92</v>
      </c>
      <c r="M145">
        <v>252</v>
      </c>
      <c r="N145">
        <v>724</v>
      </c>
      <c r="O145">
        <v>1638</v>
      </c>
      <c r="P145" t="str">
        <f t="shared" si="8"/>
        <v>Saturday</v>
      </c>
      <c r="Q145">
        <f t="shared" si="9"/>
        <v>1068</v>
      </c>
      <c r="R145" t="str">
        <f t="shared" si="10"/>
        <v>Weekend</v>
      </c>
      <c r="S145" t="str">
        <f t="shared" si="11"/>
        <v>Very_Active</v>
      </c>
    </row>
    <row r="146" spans="1:19" x14ac:dyDescent="0.25">
      <c r="A146">
        <v>3977333714</v>
      </c>
      <c r="B146" s="4">
        <v>42479</v>
      </c>
      <c r="C146">
        <v>12414</v>
      </c>
      <c r="D146" s="1">
        <v>8.7799997329711896</v>
      </c>
      <c r="E146" s="1">
        <v>8.7799997329711896</v>
      </c>
      <c r="F146" s="1">
        <v>0</v>
      </c>
      <c r="G146" s="1">
        <v>2.2400000095367401</v>
      </c>
      <c r="H146" s="1">
        <v>2.4500000476837198</v>
      </c>
      <c r="I146" s="1">
        <v>3.96000003814697</v>
      </c>
      <c r="J146" s="1">
        <v>0</v>
      </c>
      <c r="K146">
        <v>19</v>
      </c>
      <c r="L146">
        <v>67</v>
      </c>
      <c r="M146">
        <v>221</v>
      </c>
      <c r="N146">
        <v>738</v>
      </c>
      <c r="O146">
        <v>1638</v>
      </c>
      <c r="P146" t="str">
        <f t="shared" si="8"/>
        <v>Tuesday</v>
      </c>
      <c r="Q146">
        <f t="shared" si="9"/>
        <v>1045</v>
      </c>
      <c r="R146" t="str">
        <f t="shared" si="10"/>
        <v>Weekday</v>
      </c>
      <c r="S146" t="str">
        <f t="shared" si="11"/>
        <v>Very_Active</v>
      </c>
    </row>
    <row r="147" spans="1:19" x14ac:dyDescent="0.25">
      <c r="A147">
        <v>1844505072</v>
      </c>
      <c r="B147" s="4">
        <v>42483</v>
      </c>
      <c r="C147">
        <v>3570</v>
      </c>
      <c r="D147" s="1">
        <v>2.3599998950958301</v>
      </c>
      <c r="E147" s="1">
        <v>2.3599998950958301</v>
      </c>
      <c r="F147" s="1">
        <v>0</v>
      </c>
      <c r="G147" s="1">
        <v>0</v>
      </c>
      <c r="H147" s="1">
        <v>0</v>
      </c>
      <c r="I147" s="1">
        <v>2.3599998950958301</v>
      </c>
      <c r="J147" s="1">
        <v>0</v>
      </c>
      <c r="K147">
        <v>0</v>
      </c>
      <c r="L147">
        <v>0</v>
      </c>
      <c r="M147">
        <v>139</v>
      </c>
      <c r="N147">
        <v>1301</v>
      </c>
      <c r="O147">
        <v>1645</v>
      </c>
      <c r="P147" t="str">
        <f t="shared" si="8"/>
        <v>Saturday</v>
      </c>
      <c r="Q147">
        <f t="shared" si="9"/>
        <v>1440</v>
      </c>
      <c r="R147" t="str">
        <f t="shared" si="10"/>
        <v>Weekend</v>
      </c>
      <c r="S147" t="str">
        <f t="shared" si="11"/>
        <v>Sedentary</v>
      </c>
    </row>
    <row r="148" spans="1:19" x14ac:dyDescent="0.25">
      <c r="A148">
        <v>2026352035</v>
      </c>
      <c r="B148" s="4">
        <v>42488</v>
      </c>
      <c r="C148">
        <v>6375</v>
      </c>
      <c r="D148" s="1">
        <v>3.9500000476837198</v>
      </c>
      <c r="E148" s="1">
        <v>3.9500000476837198</v>
      </c>
      <c r="F148" s="1">
        <v>0</v>
      </c>
      <c r="G148" s="1">
        <v>0</v>
      </c>
      <c r="H148" s="1">
        <v>0</v>
      </c>
      <c r="I148" s="1">
        <v>3.9500000476837198</v>
      </c>
      <c r="J148" s="1">
        <v>0</v>
      </c>
      <c r="K148">
        <v>0</v>
      </c>
      <c r="L148">
        <v>0</v>
      </c>
      <c r="M148">
        <v>331</v>
      </c>
      <c r="N148">
        <v>626</v>
      </c>
      <c r="O148">
        <v>1649</v>
      </c>
      <c r="P148" t="str">
        <f t="shared" si="8"/>
        <v>Thursday</v>
      </c>
      <c r="Q148">
        <f t="shared" si="9"/>
        <v>957</v>
      </c>
      <c r="R148" t="str">
        <f t="shared" si="10"/>
        <v>Weekday</v>
      </c>
      <c r="S148" t="str">
        <f t="shared" si="11"/>
        <v>Lightly Active</v>
      </c>
    </row>
    <row r="149" spans="1:19" x14ac:dyDescent="0.25">
      <c r="A149">
        <v>3977333714</v>
      </c>
      <c r="B149" s="4">
        <v>42490</v>
      </c>
      <c r="C149">
        <v>13238</v>
      </c>
      <c r="D149" s="1">
        <v>9.1999998092651403</v>
      </c>
      <c r="E149" s="1">
        <v>9.1999998092651403</v>
      </c>
      <c r="F149" s="1">
        <v>0</v>
      </c>
      <c r="G149" s="1">
        <v>3.6900000572204599</v>
      </c>
      <c r="H149" s="1">
        <v>2.0999999046325701</v>
      </c>
      <c r="I149" s="1">
        <v>3.4100000858306898</v>
      </c>
      <c r="J149" s="1">
        <v>0</v>
      </c>
      <c r="K149">
        <v>43</v>
      </c>
      <c r="L149">
        <v>52</v>
      </c>
      <c r="M149">
        <v>194</v>
      </c>
      <c r="N149">
        <v>687</v>
      </c>
      <c r="O149">
        <v>1650</v>
      </c>
      <c r="P149" t="str">
        <f t="shared" si="8"/>
        <v>Saturday</v>
      </c>
      <c r="Q149">
        <f t="shared" si="9"/>
        <v>976</v>
      </c>
      <c r="R149" t="str">
        <f t="shared" si="10"/>
        <v>Weekend</v>
      </c>
      <c r="S149" t="str">
        <f t="shared" si="11"/>
        <v>Very_Active</v>
      </c>
    </row>
    <row r="150" spans="1:19" x14ac:dyDescent="0.25">
      <c r="A150">
        <v>8253242879</v>
      </c>
      <c r="B150" s="4">
        <v>42482</v>
      </c>
      <c r="C150">
        <v>2824</v>
      </c>
      <c r="D150" s="1">
        <v>1.87000000476837</v>
      </c>
      <c r="E150" s="1">
        <v>1.87000000476837</v>
      </c>
      <c r="F150" s="1">
        <v>0</v>
      </c>
      <c r="G150" s="1">
        <v>0</v>
      </c>
      <c r="H150" s="1">
        <v>0</v>
      </c>
      <c r="I150" s="1">
        <v>1.87000000476837</v>
      </c>
      <c r="J150" s="1">
        <v>0</v>
      </c>
      <c r="K150">
        <v>0</v>
      </c>
      <c r="L150">
        <v>0</v>
      </c>
      <c r="M150">
        <v>120</v>
      </c>
      <c r="N150">
        <v>1320</v>
      </c>
      <c r="O150">
        <v>1651</v>
      </c>
      <c r="P150" t="str">
        <f t="shared" si="8"/>
        <v>Friday</v>
      </c>
      <c r="Q150">
        <f t="shared" si="9"/>
        <v>1440</v>
      </c>
      <c r="R150" t="str">
        <f t="shared" si="10"/>
        <v>Weekday</v>
      </c>
      <c r="S150" t="str">
        <f t="shared" si="11"/>
        <v>Sedentary</v>
      </c>
    </row>
    <row r="151" spans="1:19" x14ac:dyDescent="0.25">
      <c r="A151">
        <v>2320127002</v>
      </c>
      <c r="B151" s="4">
        <v>42485</v>
      </c>
      <c r="C151">
        <v>3588</v>
      </c>
      <c r="D151" s="1">
        <v>2.4200000762939502</v>
      </c>
      <c r="E151" s="1">
        <v>2.4200000762939502</v>
      </c>
      <c r="F151" s="1">
        <v>0</v>
      </c>
      <c r="G151" s="1">
        <v>0.230000004172325</v>
      </c>
      <c r="H151" s="1">
        <v>0.20000000298023199</v>
      </c>
      <c r="I151" s="1">
        <v>1.9900000095367401</v>
      </c>
      <c r="J151" s="1">
        <v>0</v>
      </c>
      <c r="K151">
        <v>3</v>
      </c>
      <c r="L151">
        <v>5</v>
      </c>
      <c r="M151">
        <v>152</v>
      </c>
      <c r="N151">
        <v>1280</v>
      </c>
      <c r="O151">
        <v>1654</v>
      </c>
      <c r="P151" t="str">
        <f t="shared" si="8"/>
        <v>Monday</v>
      </c>
      <c r="Q151">
        <f t="shared" si="9"/>
        <v>1440</v>
      </c>
      <c r="R151" t="str">
        <f t="shared" si="10"/>
        <v>Weekday</v>
      </c>
      <c r="S151" t="str">
        <f t="shared" si="11"/>
        <v>Sedentary</v>
      </c>
    </row>
    <row r="152" spans="1:19" x14ac:dyDescent="0.25">
      <c r="A152">
        <v>1624580081</v>
      </c>
      <c r="B152" s="4">
        <v>42490</v>
      </c>
      <c r="C152">
        <v>6474</v>
      </c>
      <c r="D152" s="1">
        <v>4.3000001907348597</v>
      </c>
      <c r="E152" s="1">
        <v>4.3000001907348597</v>
      </c>
      <c r="F152" s="1">
        <v>0</v>
      </c>
      <c r="G152" s="1">
        <v>0.89999997615814198</v>
      </c>
      <c r="H152" s="1">
        <v>1.2799999713897701</v>
      </c>
      <c r="I152" s="1">
        <v>2.1199998855590798</v>
      </c>
      <c r="J152" s="1">
        <v>9.9999997764825804E-3</v>
      </c>
      <c r="K152">
        <v>11</v>
      </c>
      <c r="L152">
        <v>23</v>
      </c>
      <c r="M152">
        <v>224</v>
      </c>
      <c r="N152">
        <v>1182</v>
      </c>
      <c r="O152">
        <v>1655</v>
      </c>
      <c r="P152" t="str">
        <f t="shared" si="8"/>
        <v>Saturday</v>
      </c>
      <c r="Q152">
        <f t="shared" si="9"/>
        <v>1440</v>
      </c>
      <c r="R152" t="str">
        <f t="shared" si="10"/>
        <v>Weekend</v>
      </c>
      <c r="S152" t="str">
        <f t="shared" si="11"/>
        <v>Lightly Active</v>
      </c>
    </row>
    <row r="153" spans="1:19" x14ac:dyDescent="0.25">
      <c r="A153">
        <v>3977333714</v>
      </c>
      <c r="B153" s="4">
        <v>42484</v>
      </c>
      <c r="C153">
        <v>14112</v>
      </c>
      <c r="D153" s="1">
        <v>10</v>
      </c>
      <c r="E153" s="1">
        <v>10</v>
      </c>
      <c r="F153" s="1">
        <v>0</v>
      </c>
      <c r="G153" s="1">
        <v>3.2699999809265101</v>
      </c>
      <c r="H153" s="1">
        <v>4.5599999427795401</v>
      </c>
      <c r="I153" s="1">
        <v>2.1700000762939502</v>
      </c>
      <c r="J153" s="1">
        <v>0</v>
      </c>
      <c r="K153">
        <v>30</v>
      </c>
      <c r="L153">
        <v>95</v>
      </c>
      <c r="M153">
        <v>129</v>
      </c>
      <c r="N153">
        <v>660</v>
      </c>
      <c r="O153">
        <v>1655</v>
      </c>
      <c r="P153" t="str">
        <f t="shared" si="8"/>
        <v>Sunday</v>
      </c>
      <c r="Q153">
        <f t="shared" si="9"/>
        <v>914</v>
      </c>
      <c r="R153" t="str">
        <f t="shared" si="10"/>
        <v>Weekend</v>
      </c>
      <c r="S153" t="str">
        <f t="shared" si="11"/>
        <v>Very_Active</v>
      </c>
    </row>
    <row r="154" spans="1:19" x14ac:dyDescent="0.25">
      <c r="A154">
        <v>1844505072</v>
      </c>
      <c r="B154" s="4">
        <v>42476</v>
      </c>
      <c r="C154">
        <v>3414</v>
      </c>
      <c r="D154" s="1">
        <v>2.2599999904632599</v>
      </c>
      <c r="E154" s="1">
        <v>2.2599999904632599</v>
      </c>
      <c r="F154" s="1">
        <v>0</v>
      </c>
      <c r="G154" s="1">
        <v>0</v>
      </c>
      <c r="H154" s="1">
        <v>0</v>
      </c>
      <c r="I154" s="1">
        <v>2.2599999904632599</v>
      </c>
      <c r="J154" s="1">
        <v>0</v>
      </c>
      <c r="K154">
        <v>0</v>
      </c>
      <c r="L154">
        <v>0</v>
      </c>
      <c r="M154">
        <v>147</v>
      </c>
      <c r="N154">
        <v>1293</v>
      </c>
      <c r="O154">
        <v>1657</v>
      </c>
      <c r="P154" t="str">
        <f t="shared" si="8"/>
        <v>Saturday</v>
      </c>
      <c r="Q154">
        <f t="shared" si="9"/>
        <v>1440</v>
      </c>
      <c r="R154" t="str">
        <f t="shared" si="10"/>
        <v>Weekend</v>
      </c>
      <c r="S154" t="str">
        <f t="shared" si="11"/>
        <v>Sedentary</v>
      </c>
    </row>
    <row r="155" spans="1:19" x14ac:dyDescent="0.25">
      <c r="A155">
        <v>2026352035</v>
      </c>
      <c r="B155" s="4">
        <v>42465</v>
      </c>
      <c r="C155">
        <v>6564</v>
      </c>
      <c r="D155" s="1">
        <v>4.0700001716613796</v>
      </c>
      <c r="E155" s="1">
        <v>4.0700001716613796</v>
      </c>
      <c r="F155" s="1">
        <v>0</v>
      </c>
      <c r="G155" s="1">
        <v>0</v>
      </c>
      <c r="H155" s="1">
        <v>0</v>
      </c>
      <c r="I155" s="1">
        <v>4.0700001716613796</v>
      </c>
      <c r="J155" s="1">
        <v>0</v>
      </c>
      <c r="K155">
        <v>0</v>
      </c>
      <c r="L155">
        <v>0</v>
      </c>
      <c r="M155">
        <v>345</v>
      </c>
      <c r="N155">
        <v>530</v>
      </c>
      <c r="O155">
        <v>1658</v>
      </c>
      <c r="P155" t="str">
        <f t="shared" si="8"/>
        <v>Tuesday</v>
      </c>
      <c r="Q155">
        <f t="shared" si="9"/>
        <v>875</v>
      </c>
      <c r="R155" t="str">
        <f t="shared" si="10"/>
        <v>Weekday</v>
      </c>
      <c r="S155" t="str">
        <f t="shared" si="11"/>
        <v>Lightly Active</v>
      </c>
    </row>
    <row r="156" spans="1:19" x14ac:dyDescent="0.25">
      <c r="A156">
        <v>6962181067</v>
      </c>
      <c r="B156" s="4">
        <v>42587</v>
      </c>
      <c r="C156">
        <v>4188</v>
      </c>
      <c r="D156" s="1">
        <v>2.7699999809265101</v>
      </c>
      <c r="E156" s="1">
        <v>2.7699999809265101</v>
      </c>
      <c r="F156" s="1">
        <v>0</v>
      </c>
      <c r="G156" s="1">
        <v>0</v>
      </c>
      <c r="H156" s="1">
        <v>0.519999980926514</v>
      </c>
      <c r="I156" s="1">
        <v>2.25</v>
      </c>
      <c r="J156" s="1">
        <v>0</v>
      </c>
      <c r="K156">
        <v>0</v>
      </c>
      <c r="L156">
        <v>14</v>
      </c>
      <c r="M156">
        <v>151</v>
      </c>
      <c r="N156">
        <v>709</v>
      </c>
      <c r="O156">
        <v>1659</v>
      </c>
      <c r="P156" t="str">
        <f t="shared" si="8"/>
        <v>Friday</v>
      </c>
      <c r="Q156">
        <f t="shared" si="9"/>
        <v>874</v>
      </c>
      <c r="R156" t="str">
        <f t="shared" si="10"/>
        <v>Weekday</v>
      </c>
      <c r="S156" t="str">
        <f t="shared" si="11"/>
        <v>Sedentary</v>
      </c>
    </row>
    <row r="157" spans="1:19" x14ac:dyDescent="0.25">
      <c r="A157">
        <v>5577150313</v>
      </c>
      <c r="B157" s="4">
        <v>42679</v>
      </c>
      <c r="C157">
        <v>4038</v>
      </c>
      <c r="D157" s="1">
        <v>3.03999996185303</v>
      </c>
      <c r="E157" s="1">
        <v>3.03999996185303</v>
      </c>
      <c r="F157" s="1">
        <v>0</v>
      </c>
      <c r="G157" s="1">
        <v>1.83000004291534</v>
      </c>
      <c r="H157" s="1">
        <v>0.30000001192092901</v>
      </c>
      <c r="I157" s="1">
        <v>0.88999998569488503</v>
      </c>
      <c r="J157" s="1">
        <v>0</v>
      </c>
      <c r="K157">
        <v>45</v>
      </c>
      <c r="L157">
        <v>15</v>
      </c>
      <c r="M157">
        <v>63</v>
      </c>
      <c r="N157">
        <v>257</v>
      </c>
      <c r="O157">
        <v>1665</v>
      </c>
      <c r="P157" t="str">
        <f t="shared" si="8"/>
        <v>Saturday</v>
      </c>
      <c r="Q157">
        <f t="shared" si="9"/>
        <v>380</v>
      </c>
      <c r="R157" t="str">
        <f t="shared" si="10"/>
        <v>Weekend</v>
      </c>
      <c r="S157" t="str">
        <f t="shared" si="11"/>
        <v>Sedentary</v>
      </c>
    </row>
    <row r="158" spans="1:19" x14ac:dyDescent="0.25">
      <c r="A158">
        <v>2026352035</v>
      </c>
      <c r="B158" s="4">
        <v>42480</v>
      </c>
      <c r="C158">
        <v>7222</v>
      </c>
      <c r="D158" s="1">
        <v>4.4800000190734899</v>
      </c>
      <c r="E158" s="1">
        <v>4.4800000190734899</v>
      </c>
      <c r="F158" s="1">
        <v>0</v>
      </c>
      <c r="G158" s="1">
        <v>0</v>
      </c>
      <c r="H158" s="1">
        <v>0</v>
      </c>
      <c r="I158" s="1">
        <v>4.4800000190734899</v>
      </c>
      <c r="J158" s="1">
        <v>0</v>
      </c>
      <c r="K158">
        <v>0</v>
      </c>
      <c r="L158">
        <v>0</v>
      </c>
      <c r="M158">
        <v>327</v>
      </c>
      <c r="N158">
        <v>623</v>
      </c>
      <c r="O158">
        <v>1667</v>
      </c>
      <c r="P158" t="str">
        <f t="shared" si="8"/>
        <v>Wednesday</v>
      </c>
      <c r="Q158">
        <f t="shared" si="9"/>
        <v>950</v>
      </c>
      <c r="R158" t="str">
        <f t="shared" si="10"/>
        <v>Weekday</v>
      </c>
      <c r="S158" t="str">
        <f t="shared" si="11"/>
        <v>Lightly Active</v>
      </c>
    </row>
    <row r="159" spans="1:19" x14ac:dyDescent="0.25">
      <c r="A159">
        <v>3977333714</v>
      </c>
      <c r="B159" s="4">
        <v>42618</v>
      </c>
      <c r="C159">
        <v>14687</v>
      </c>
      <c r="D159" s="1">
        <v>10.079999923706101</v>
      </c>
      <c r="E159" s="1">
        <v>10.079999923706101</v>
      </c>
      <c r="F159" s="1">
        <v>0</v>
      </c>
      <c r="G159" s="1">
        <v>0.769999980926514</v>
      </c>
      <c r="H159" s="1">
        <v>5.5999999046325701</v>
      </c>
      <c r="I159" s="1">
        <v>3.5499999523162802</v>
      </c>
      <c r="J159" s="1">
        <v>0</v>
      </c>
      <c r="K159">
        <v>8</v>
      </c>
      <c r="L159">
        <v>122</v>
      </c>
      <c r="M159">
        <v>151</v>
      </c>
      <c r="N159">
        <v>1159</v>
      </c>
      <c r="O159">
        <v>1667</v>
      </c>
      <c r="P159" t="str">
        <f t="shared" si="8"/>
        <v>Monday</v>
      </c>
      <c r="Q159">
        <f t="shared" si="9"/>
        <v>1440</v>
      </c>
      <c r="R159" t="str">
        <f t="shared" si="10"/>
        <v>Weekday</v>
      </c>
      <c r="S159" t="str">
        <f t="shared" si="11"/>
        <v>Very_Active</v>
      </c>
    </row>
    <row r="160" spans="1:19" x14ac:dyDescent="0.25">
      <c r="A160">
        <v>3372868164</v>
      </c>
      <c r="B160" s="4">
        <v>42482</v>
      </c>
      <c r="C160">
        <v>3843</v>
      </c>
      <c r="D160" s="1">
        <v>2.6199998855590798</v>
      </c>
      <c r="E160" s="1">
        <v>2.6199998855590798</v>
      </c>
      <c r="F160" s="1">
        <v>0</v>
      </c>
      <c r="G160" s="1">
        <v>0</v>
      </c>
      <c r="H160" s="1">
        <v>0</v>
      </c>
      <c r="I160" s="1">
        <v>2.6099998950958301</v>
      </c>
      <c r="J160" s="1">
        <v>9.9999997764825804E-3</v>
      </c>
      <c r="K160">
        <v>0</v>
      </c>
      <c r="L160">
        <v>0</v>
      </c>
      <c r="M160">
        <v>206</v>
      </c>
      <c r="N160">
        <v>1234</v>
      </c>
      <c r="O160">
        <v>1669</v>
      </c>
      <c r="P160" t="str">
        <f t="shared" si="8"/>
        <v>Friday</v>
      </c>
      <c r="Q160">
        <f t="shared" si="9"/>
        <v>1440</v>
      </c>
      <c r="R160" t="str">
        <f t="shared" si="10"/>
        <v>Weekday</v>
      </c>
      <c r="S160" t="str">
        <f t="shared" si="11"/>
        <v>Sedentary</v>
      </c>
    </row>
    <row r="161" spans="1:19" x14ac:dyDescent="0.25">
      <c r="A161">
        <v>1624580081</v>
      </c>
      <c r="B161" s="4">
        <v>42487</v>
      </c>
      <c r="C161">
        <v>8367</v>
      </c>
      <c r="D161" s="1">
        <v>5.4400000572204599</v>
      </c>
      <c r="E161" s="1">
        <v>5.4400000572204599</v>
      </c>
      <c r="F161" s="1">
        <v>0</v>
      </c>
      <c r="G161" s="1">
        <v>1.1100000143051101</v>
      </c>
      <c r="H161" s="1">
        <v>1.87000000476837</v>
      </c>
      <c r="I161" s="1">
        <v>2.46000003814697</v>
      </c>
      <c r="J161" s="1">
        <v>0</v>
      </c>
      <c r="K161">
        <v>17</v>
      </c>
      <c r="L161">
        <v>36</v>
      </c>
      <c r="M161">
        <v>154</v>
      </c>
      <c r="N161">
        <v>1233</v>
      </c>
      <c r="O161">
        <v>1670</v>
      </c>
      <c r="P161" t="str">
        <f t="shared" si="8"/>
        <v>Wednesday</v>
      </c>
      <c r="Q161">
        <f t="shared" si="9"/>
        <v>1440</v>
      </c>
      <c r="R161" t="str">
        <f t="shared" si="10"/>
        <v>Weekday</v>
      </c>
      <c r="S161" t="str">
        <f t="shared" si="11"/>
        <v>Fairly Active</v>
      </c>
    </row>
    <row r="162" spans="1:19" x14ac:dyDescent="0.25">
      <c r="A162">
        <v>5553957443</v>
      </c>
      <c r="B162" s="4">
        <v>42478</v>
      </c>
      <c r="C162">
        <v>3727</v>
      </c>
      <c r="D162" s="1">
        <v>2.4300000667571999</v>
      </c>
      <c r="E162" s="1">
        <v>2.4300000667571999</v>
      </c>
      <c r="F162" s="1">
        <v>0</v>
      </c>
      <c r="G162" s="1">
        <v>0</v>
      </c>
      <c r="H162" s="1">
        <v>0</v>
      </c>
      <c r="I162" s="1">
        <v>2.4300000667571999</v>
      </c>
      <c r="J162" s="1">
        <v>0</v>
      </c>
      <c r="K162">
        <v>0</v>
      </c>
      <c r="L162">
        <v>0</v>
      </c>
      <c r="M162">
        <v>206</v>
      </c>
      <c r="N162">
        <v>622</v>
      </c>
      <c r="O162">
        <v>1683</v>
      </c>
      <c r="P162" t="str">
        <f t="shared" si="8"/>
        <v>Monday</v>
      </c>
      <c r="Q162">
        <f t="shared" si="9"/>
        <v>828</v>
      </c>
      <c r="R162" t="str">
        <f t="shared" si="10"/>
        <v>Weekday</v>
      </c>
      <c r="S162" t="str">
        <f t="shared" si="11"/>
        <v>Sedentary</v>
      </c>
    </row>
    <row r="163" spans="1:19" x14ac:dyDescent="0.25">
      <c r="A163">
        <v>8792009665</v>
      </c>
      <c r="B163" s="4">
        <v>42477</v>
      </c>
      <c r="C163">
        <v>0</v>
      </c>
      <c r="D163" s="1">
        <v>0</v>
      </c>
      <c r="E163" s="1">
        <v>0</v>
      </c>
      <c r="F163" s="1">
        <v>0</v>
      </c>
      <c r="G163" s="1">
        <v>0</v>
      </c>
      <c r="H163" s="1">
        <v>0</v>
      </c>
      <c r="I163" s="1">
        <v>0</v>
      </c>
      <c r="J163" s="1">
        <v>0</v>
      </c>
      <c r="K163">
        <v>0</v>
      </c>
      <c r="L163">
        <v>0</v>
      </c>
      <c r="M163">
        <v>0</v>
      </c>
      <c r="N163">
        <v>1440</v>
      </c>
      <c r="O163">
        <v>1688</v>
      </c>
      <c r="P163" t="str">
        <f t="shared" si="8"/>
        <v>Sunday</v>
      </c>
      <c r="Q163">
        <f t="shared" si="9"/>
        <v>1440</v>
      </c>
      <c r="R163" t="str">
        <f t="shared" si="10"/>
        <v>Weekend</v>
      </c>
      <c r="S163" t="str">
        <f t="shared" si="11"/>
        <v>Sedentary</v>
      </c>
    </row>
    <row r="164" spans="1:19" x14ac:dyDescent="0.25">
      <c r="A164">
        <v>8792009665</v>
      </c>
      <c r="B164" s="4">
        <v>42478</v>
      </c>
      <c r="C164">
        <v>0</v>
      </c>
      <c r="D164" s="1">
        <v>0</v>
      </c>
      <c r="E164" s="1">
        <v>0</v>
      </c>
      <c r="F164" s="1">
        <v>0</v>
      </c>
      <c r="G164" s="1">
        <v>0</v>
      </c>
      <c r="H164" s="1">
        <v>0</v>
      </c>
      <c r="I164" s="1">
        <v>0</v>
      </c>
      <c r="J164" s="1">
        <v>0</v>
      </c>
      <c r="K164">
        <v>0</v>
      </c>
      <c r="L164">
        <v>0</v>
      </c>
      <c r="M164">
        <v>0</v>
      </c>
      <c r="N164">
        <v>1440</v>
      </c>
      <c r="O164">
        <v>1688</v>
      </c>
      <c r="P164" t="str">
        <f t="shared" si="8"/>
        <v>Monday</v>
      </c>
      <c r="Q164">
        <f t="shared" si="9"/>
        <v>1440</v>
      </c>
      <c r="R164" t="str">
        <f t="shared" si="10"/>
        <v>Weekday</v>
      </c>
      <c r="S164" t="str">
        <f t="shared" si="11"/>
        <v>Sedentary</v>
      </c>
    </row>
    <row r="165" spans="1:19" x14ac:dyDescent="0.25">
      <c r="A165">
        <v>8792009665</v>
      </c>
      <c r="B165" s="4">
        <v>42479</v>
      </c>
      <c r="C165">
        <v>0</v>
      </c>
      <c r="D165" s="1">
        <v>0</v>
      </c>
      <c r="E165" s="1">
        <v>0</v>
      </c>
      <c r="F165" s="1">
        <v>0</v>
      </c>
      <c r="G165" s="1">
        <v>0</v>
      </c>
      <c r="H165" s="1">
        <v>0</v>
      </c>
      <c r="I165" s="1">
        <v>0</v>
      </c>
      <c r="J165" s="1">
        <v>0</v>
      </c>
      <c r="K165">
        <v>0</v>
      </c>
      <c r="L165">
        <v>0</v>
      </c>
      <c r="M165">
        <v>0</v>
      </c>
      <c r="N165">
        <v>1440</v>
      </c>
      <c r="O165">
        <v>1688</v>
      </c>
      <c r="P165" t="str">
        <f t="shared" si="8"/>
        <v>Tuesday</v>
      </c>
      <c r="Q165">
        <f t="shared" si="9"/>
        <v>1440</v>
      </c>
      <c r="R165" t="str">
        <f t="shared" si="10"/>
        <v>Weekday</v>
      </c>
      <c r="S165" t="str">
        <f t="shared" si="11"/>
        <v>Sedentary</v>
      </c>
    </row>
    <row r="166" spans="1:19" x14ac:dyDescent="0.25">
      <c r="A166">
        <v>8792009665</v>
      </c>
      <c r="B166" s="4">
        <v>42485</v>
      </c>
      <c r="C166">
        <v>0</v>
      </c>
      <c r="D166" s="1">
        <v>0</v>
      </c>
      <c r="E166" s="1">
        <v>0</v>
      </c>
      <c r="F166" s="1">
        <v>0</v>
      </c>
      <c r="G166" s="1">
        <v>0</v>
      </c>
      <c r="H166" s="1">
        <v>0</v>
      </c>
      <c r="I166" s="1">
        <v>0</v>
      </c>
      <c r="J166" s="1">
        <v>0</v>
      </c>
      <c r="K166">
        <v>0</v>
      </c>
      <c r="L166">
        <v>0</v>
      </c>
      <c r="M166">
        <v>0</v>
      </c>
      <c r="N166">
        <v>1440</v>
      </c>
      <c r="O166">
        <v>1688</v>
      </c>
      <c r="P166" t="str">
        <f t="shared" si="8"/>
        <v>Monday</v>
      </c>
      <c r="Q166">
        <f t="shared" si="9"/>
        <v>1440</v>
      </c>
      <c r="R166" t="str">
        <f t="shared" si="10"/>
        <v>Weekday</v>
      </c>
      <c r="S166" t="str">
        <f t="shared" si="11"/>
        <v>Sedentary</v>
      </c>
    </row>
    <row r="167" spans="1:19" x14ac:dyDescent="0.25">
      <c r="A167">
        <v>8792009665</v>
      </c>
      <c r="B167" s="4">
        <v>42495</v>
      </c>
      <c r="C167">
        <v>0</v>
      </c>
      <c r="D167" s="1">
        <v>0</v>
      </c>
      <c r="E167" s="1">
        <v>0</v>
      </c>
      <c r="F167" s="1">
        <v>0</v>
      </c>
      <c r="G167" s="1">
        <v>0</v>
      </c>
      <c r="H167" s="1">
        <v>0</v>
      </c>
      <c r="I167" s="1">
        <v>0</v>
      </c>
      <c r="J167" s="1">
        <v>0</v>
      </c>
      <c r="K167">
        <v>0</v>
      </c>
      <c r="L167">
        <v>0</v>
      </c>
      <c r="M167">
        <v>0</v>
      </c>
      <c r="N167">
        <v>1440</v>
      </c>
      <c r="O167">
        <v>1688</v>
      </c>
      <c r="P167" t="str">
        <f t="shared" si="8"/>
        <v>Thursday</v>
      </c>
      <c r="Q167">
        <f t="shared" si="9"/>
        <v>1440</v>
      </c>
      <c r="R167" t="str">
        <f t="shared" si="10"/>
        <v>Weekday</v>
      </c>
      <c r="S167" t="str">
        <f t="shared" si="11"/>
        <v>Sedentary</v>
      </c>
    </row>
    <row r="168" spans="1:19" x14ac:dyDescent="0.25">
      <c r="A168">
        <v>8792009665</v>
      </c>
      <c r="B168" s="4">
        <v>42526</v>
      </c>
      <c r="C168">
        <v>0</v>
      </c>
      <c r="D168" s="1">
        <v>0</v>
      </c>
      <c r="E168" s="1">
        <v>0</v>
      </c>
      <c r="F168" s="1">
        <v>0</v>
      </c>
      <c r="G168" s="1">
        <v>0</v>
      </c>
      <c r="H168" s="1">
        <v>0</v>
      </c>
      <c r="I168" s="1">
        <v>0</v>
      </c>
      <c r="J168" s="1">
        <v>0</v>
      </c>
      <c r="K168">
        <v>0</v>
      </c>
      <c r="L168">
        <v>0</v>
      </c>
      <c r="M168">
        <v>0</v>
      </c>
      <c r="N168">
        <v>1440</v>
      </c>
      <c r="O168">
        <v>1688</v>
      </c>
      <c r="P168" t="str">
        <f t="shared" si="8"/>
        <v>Sunday</v>
      </c>
      <c r="Q168">
        <f t="shared" si="9"/>
        <v>1440</v>
      </c>
      <c r="R168" t="str">
        <f t="shared" si="10"/>
        <v>Weekend</v>
      </c>
      <c r="S168" t="str">
        <f t="shared" si="11"/>
        <v>Sedentary</v>
      </c>
    </row>
    <row r="169" spans="1:19" x14ac:dyDescent="0.25">
      <c r="A169">
        <v>8792009665</v>
      </c>
      <c r="B169" s="4">
        <v>42556</v>
      </c>
      <c r="C169">
        <v>0</v>
      </c>
      <c r="D169" s="1">
        <v>0</v>
      </c>
      <c r="E169" s="1">
        <v>0</v>
      </c>
      <c r="F169" s="1">
        <v>0</v>
      </c>
      <c r="G169" s="1">
        <v>0</v>
      </c>
      <c r="H169" s="1">
        <v>0</v>
      </c>
      <c r="I169" s="1">
        <v>0</v>
      </c>
      <c r="J169" s="1">
        <v>0</v>
      </c>
      <c r="K169">
        <v>0</v>
      </c>
      <c r="L169">
        <v>0</v>
      </c>
      <c r="M169">
        <v>0</v>
      </c>
      <c r="N169">
        <v>1440</v>
      </c>
      <c r="O169">
        <v>1688</v>
      </c>
      <c r="P169" t="str">
        <f t="shared" si="8"/>
        <v>Tuesday</v>
      </c>
      <c r="Q169">
        <f t="shared" si="9"/>
        <v>1440</v>
      </c>
      <c r="R169" t="str">
        <f t="shared" si="10"/>
        <v>Weekday</v>
      </c>
      <c r="S169" t="str">
        <f t="shared" si="11"/>
        <v>Sedentary</v>
      </c>
    </row>
    <row r="170" spans="1:19" x14ac:dyDescent="0.25">
      <c r="A170">
        <v>8792009665</v>
      </c>
      <c r="B170" s="4">
        <v>42587</v>
      </c>
      <c r="C170">
        <v>0</v>
      </c>
      <c r="D170" s="1">
        <v>0</v>
      </c>
      <c r="E170" s="1">
        <v>0</v>
      </c>
      <c r="F170" s="1">
        <v>0</v>
      </c>
      <c r="G170" s="1">
        <v>0</v>
      </c>
      <c r="H170" s="1">
        <v>0</v>
      </c>
      <c r="I170" s="1">
        <v>0</v>
      </c>
      <c r="J170" s="1">
        <v>0</v>
      </c>
      <c r="K170">
        <v>0</v>
      </c>
      <c r="L170">
        <v>0</v>
      </c>
      <c r="M170">
        <v>0</v>
      </c>
      <c r="N170">
        <v>1440</v>
      </c>
      <c r="O170">
        <v>1688</v>
      </c>
      <c r="P170" t="str">
        <f t="shared" si="8"/>
        <v>Friday</v>
      </c>
      <c r="Q170">
        <f t="shared" si="9"/>
        <v>1440</v>
      </c>
      <c r="R170" t="str">
        <f t="shared" si="10"/>
        <v>Weekday</v>
      </c>
      <c r="S170" t="str">
        <f t="shared" si="11"/>
        <v>Sedentary</v>
      </c>
    </row>
    <row r="171" spans="1:19" x14ac:dyDescent="0.25">
      <c r="A171">
        <v>8792009665</v>
      </c>
      <c r="B171" s="4">
        <v>42618</v>
      </c>
      <c r="C171">
        <v>0</v>
      </c>
      <c r="D171" s="1">
        <v>0</v>
      </c>
      <c r="E171" s="1">
        <v>0</v>
      </c>
      <c r="F171" s="1">
        <v>0</v>
      </c>
      <c r="G171" s="1">
        <v>0</v>
      </c>
      <c r="H171" s="1">
        <v>0</v>
      </c>
      <c r="I171" s="1">
        <v>0</v>
      </c>
      <c r="J171" s="1">
        <v>0</v>
      </c>
      <c r="K171">
        <v>0</v>
      </c>
      <c r="L171">
        <v>0</v>
      </c>
      <c r="M171">
        <v>0</v>
      </c>
      <c r="N171">
        <v>1440</v>
      </c>
      <c r="O171">
        <v>1688</v>
      </c>
      <c r="P171" t="str">
        <f t="shared" si="8"/>
        <v>Monday</v>
      </c>
      <c r="Q171">
        <f t="shared" si="9"/>
        <v>1440</v>
      </c>
      <c r="R171" t="str">
        <f t="shared" si="10"/>
        <v>Weekday</v>
      </c>
      <c r="S171" t="str">
        <f t="shared" si="11"/>
        <v>Sedentary</v>
      </c>
    </row>
    <row r="172" spans="1:19" x14ac:dyDescent="0.25">
      <c r="A172">
        <v>2026352035</v>
      </c>
      <c r="B172" s="4">
        <v>42405</v>
      </c>
      <c r="C172">
        <v>7018</v>
      </c>
      <c r="D172" s="1">
        <v>4.3499999046325701</v>
      </c>
      <c r="E172" s="1">
        <v>4.3499999046325701</v>
      </c>
      <c r="F172" s="1">
        <v>0</v>
      </c>
      <c r="G172" s="1">
        <v>0</v>
      </c>
      <c r="H172" s="1">
        <v>0</v>
      </c>
      <c r="I172" s="1">
        <v>4.3499999046325701</v>
      </c>
      <c r="J172" s="1">
        <v>0</v>
      </c>
      <c r="K172">
        <v>0</v>
      </c>
      <c r="L172">
        <v>0</v>
      </c>
      <c r="M172">
        <v>355</v>
      </c>
      <c r="N172">
        <v>716</v>
      </c>
      <c r="O172">
        <v>1690</v>
      </c>
      <c r="P172" t="str">
        <f t="shared" si="8"/>
        <v>Friday</v>
      </c>
      <c r="Q172">
        <f t="shared" si="9"/>
        <v>1071</v>
      </c>
      <c r="R172" t="str">
        <f t="shared" si="10"/>
        <v>Weekday</v>
      </c>
      <c r="S172" t="str">
        <f t="shared" si="11"/>
        <v>Lightly Active</v>
      </c>
    </row>
    <row r="173" spans="1:19" x14ac:dyDescent="0.25">
      <c r="A173">
        <v>4558609924</v>
      </c>
      <c r="B173" s="4">
        <v>42374</v>
      </c>
      <c r="C173">
        <v>3428</v>
      </c>
      <c r="D173" s="1">
        <v>2.2699999809265101</v>
      </c>
      <c r="E173" s="1">
        <v>2.2699999809265101</v>
      </c>
      <c r="F173" s="1">
        <v>0</v>
      </c>
      <c r="G173" s="1">
        <v>0</v>
      </c>
      <c r="H173" s="1">
        <v>0</v>
      </c>
      <c r="I173" s="1">
        <v>2.2699999809265101</v>
      </c>
      <c r="J173" s="1">
        <v>0</v>
      </c>
      <c r="K173">
        <v>0</v>
      </c>
      <c r="L173">
        <v>0</v>
      </c>
      <c r="M173">
        <v>190</v>
      </c>
      <c r="N173">
        <v>1121</v>
      </c>
      <c r="O173">
        <v>1692</v>
      </c>
      <c r="P173" t="str">
        <f t="shared" si="8"/>
        <v>Tuesday</v>
      </c>
      <c r="Q173">
        <f t="shared" si="9"/>
        <v>1311</v>
      </c>
      <c r="R173" t="str">
        <f t="shared" si="10"/>
        <v>Weekday</v>
      </c>
      <c r="S173" t="str">
        <f t="shared" si="11"/>
        <v>Sedentary</v>
      </c>
    </row>
    <row r="174" spans="1:19" x14ac:dyDescent="0.25">
      <c r="A174">
        <v>2026352035</v>
      </c>
      <c r="B174" s="4">
        <v>42489</v>
      </c>
      <c r="C174">
        <v>7604</v>
      </c>
      <c r="D174" s="1">
        <v>4.71000003814697</v>
      </c>
      <c r="E174" s="1">
        <v>4.71000003814697</v>
      </c>
      <c r="F174" s="1">
        <v>0</v>
      </c>
      <c r="G174" s="1">
        <v>0</v>
      </c>
      <c r="H174" s="1">
        <v>0</v>
      </c>
      <c r="I174" s="1">
        <v>4.71000003814697</v>
      </c>
      <c r="J174" s="1">
        <v>0</v>
      </c>
      <c r="K174">
        <v>0</v>
      </c>
      <c r="L174">
        <v>0</v>
      </c>
      <c r="M174">
        <v>352</v>
      </c>
      <c r="N174">
        <v>492</v>
      </c>
      <c r="O174">
        <v>1692</v>
      </c>
      <c r="P174" t="str">
        <f t="shared" si="8"/>
        <v>Friday</v>
      </c>
      <c r="Q174">
        <f t="shared" si="9"/>
        <v>844</v>
      </c>
      <c r="R174" t="str">
        <f t="shared" si="10"/>
        <v>Weekday</v>
      </c>
      <c r="S174" t="str">
        <f t="shared" si="11"/>
        <v>Fairly Active</v>
      </c>
    </row>
    <row r="175" spans="1:19" x14ac:dyDescent="0.25">
      <c r="A175">
        <v>5553957443</v>
      </c>
      <c r="B175" s="4">
        <v>42679</v>
      </c>
      <c r="C175">
        <v>4926</v>
      </c>
      <c r="D175" s="1">
        <v>3.2200000286102299</v>
      </c>
      <c r="E175" s="1">
        <v>3.2200000286102299</v>
      </c>
      <c r="F175" s="1">
        <v>0</v>
      </c>
      <c r="G175" s="1">
        <v>0</v>
      </c>
      <c r="H175" s="1">
        <v>0</v>
      </c>
      <c r="I175" s="1">
        <v>3.2200000286102299</v>
      </c>
      <c r="J175" s="1">
        <v>0</v>
      </c>
      <c r="K175">
        <v>0</v>
      </c>
      <c r="L175">
        <v>0</v>
      </c>
      <c r="M175">
        <v>195</v>
      </c>
      <c r="N175">
        <v>628</v>
      </c>
      <c r="O175">
        <v>1693</v>
      </c>
      <c r="P175" t="str">
        <f t="shared" si="8"/>
        <v>Saturday</v>
      </c>
      <c r="Q175">
        <f t="shared" si="9"/>
        <v>823</v>
      </c>
      <c r="R175" t="str">
        <f t="shared" si="10"/>
        <v>Weekend</v>
      </c>
      <c r="S175" t="str">
        <f t="shared" si="11"/>
        <v>Sedentary</v>
      </c>
    </row>
    <row r="176" spans="1:19" x14ac:dyDescent="0.25">
      <c r="A176">
        <v>2320127002</v>
      </c>
      <c r="B176" s="4">
        <v>42474</v>
      </c>
      <c r="C176">
        <v>3973</v>
      </c>
      <c r="D176" s="1">
        <v>2.6800000667571999</v>
      </c>
      <c r="E176" s="1">
        <v>2.6800000667571999</v>
      </c>
      <c r="F176" s="1">
        <v>0</v>
      </c>
      <c r="G176" s="1">
        <v>0</v>
      </c>
      <c r="H176" s="1">
        <v>0</v>
      </c>
      <c r="I176" s="1">
        <v>2.6800000667571999</v>
      </c>
      <c r="J176" s="1">
        <v>0</v>
      </c>
      <c r="K176">
        <v>0</v>
      </c>
      <c r="L176">
        <v>0</v>
      </c>
      <c r="M176">
        <v>191</v>
      </c>
      <c r="N176">
        <v>1249</v>
      </c>
      <c r="O176">
        <v>1696</v>
      </c>
      <c r="P176" t="str">
        <f t="shared" si="8"/>
        <v>Thursday</v>
      </c>
      <c r="Q176">
        <f t="shared" si="9"/>
        <v>1440</v>
      </c>
      <c r="R176" t="str">
        <f t="shared" si="10"/>
        <v>Weekday</v>
      </c>
      <c r="S176" t="str">
        <f t="shared" si="11"/>
        <v>Sedentary</v>
      </c>
    </row>
    <row r="177" spans="1:19" x14ac:dyDescent="0.25">
      <c r="A177">
        <v>5553957443</v>
      </c>
      <c r="B177" s="4">
        <v>42465</v>
      </c>
      <c r="C177">
        <v>4249</v>
      </c>
      <c r="D177" s="1">
        <v>2.7699999809265101</v>
      </c>
      <c r="E177" s="1">
        <v>2.7699999809265101</v>
      </c>
      <c r="F177" s="1">
        <v>0</v>
      </c>
      <c r="G177" s="1">
        <v>0</v>
      </c>
      <c r="H177" s="1">
        <v>0</v>
      </c>
      <c r="I177" s="1">
        <v>2.7699999809265101</v>
      </c>
      <c r="J177" s="1">
        <v>0</v>
      </c>
      <c r="K177">
        <v>0</v>
      </c>
      <c r="L177">
        <v>0</v>
      </c>
      <c r="M177">
        <v>224</v>
      </c>
      <c r="N177">
        <v>651</v>
      </c>
      <c r="O177">
        <v>1698</v>
      </c>
      <c r="P177" t="str">
        <f t="shared" si="8"/>
        <v>Tuesday</v>
      </c>
      <c r="Q177">
        <f t="shared" si="9"/>
        <v>875</v>
      </c>
      <c r="R177" t="str">
        <f t="shared" si="10"/>
        <v>Weekday</v>
      </c>
      <c r="S177" t="str">
        <f t="shared" si="11"/>
        <v>Sedentary</v>
      </c>
    </row>
    <row r="178" spans="1:19" x14ac:dyDescent="0.25">
      <c r="A178">
        <v>2026352035</v>
      </c>
      <c r="B178" s="4">
        <v>42679</v>
      </c>
      <c r="C178">
        <v>8580</v>
      </c>
      <c r="D178" s="1">
        <v>5.3200001716613796</v>
      </c>
      <c r="E178" s="1">
        <v>5.3200001716613796</v>
      </c>
      <c r="F178" s="1">
        <v>0</v>
      </c>
      <c r="G178" s="1">
        <v>0</v>
      </c>
      <c r="H178" s="1">
        <v>0</v>
      </c>
      <c r="I178" s="1">
        <v>5.3200001716613796</v>
      </c>
      <c r="J178" s="1">
        <v>0</v>
      </c>
      <c r="K178">
        <v>0</v>
      </c>
      <c r="L178">
        <v>0</v>
      </c>
      <c r="M178">
        <v>330</v>
      </c>
      <c r="N178">
        <v>569</v>
      </c>
      <c r="O178">
        <v>1698</v>
      </c>
      <c r="P178" t="str">
        <f t="shared" si="8"/>
        <v>Saturday</v>
      </c>
      <c r="Q178">
        <f t="shared" si="9"/>
        <v>899</v>
      </c>
      <c r="R178" t="str">
        <f t="shared" si="10"/>
        <v>Weekend</v>
      </c>
      <c r="S178" t="str">
        <f t="shared" si="11"/>
        <v>Fairly Active</v>
      </c>
    </row>
    <row r="179" spans="1:19" x14ac:dyDescent="0.25">
      <c r="A179">
        <v>6962181067</v>
      </c>
      <c r="B179" s="4">
        <v>42484</v>
      </c>
      <c r="C179">
        <v>5029</v>
      </c>
      <c r="D179" s="1">
        <v>3.3199999332428001</v>
      </c>
      <c r="E179" s="1">
        <v>3.3199999332428001</v>
      </c>
      <c r="F179" s="1">
        <v>0</v>
      </c>
      <c r="G179" s="1">
        <v>0</v>
      </c>
      <c r="H179" s="1">
        <v>0</v>
      </c>
      <c r="I179" s="1">
        <v>3.3199999332428001</v>
      </c>
      <c r="J179" s="1">
        <v>0</v>
      </c>
      <c r="K179">
        <v>0</v>
      </c>
      <c r="L179">
        <v>0</v>
      </c>
      <c r="M179">
        <v>199</v>
      </c>
      <c r="N179">
        <v>720</v>
      </c>
      <c r="O179">
        <v>1705</v>
      </c>
      <c r="P179" t="str">
        <f t="shared" si="8"/>
        <v>Sunday</v>
      </c>
      <c r="Q179">
        <f t="shared" si="9"/>
        <v>919</v>
      </c>
      <c r="R179" t="str">
        <f t="shared" si="10"/>
        <v>Weekend</v>
      </c>
      <c r="S179" t="str">
        <f t="shared" si="11"/>
        <v>Lightly Active</v>
      </c>
    </row>
    <row r="180" spans="1:19" x14ac:dyDescent="0.25">
      <c r="A180">
        <v>8253242879</v>
      </c>
      <c r="B180" s="4">
        <v>42474</v>
      </c>
      <c r="C180">
        <v>5234</v>
      </c>
      <c r="D180" s="1">
        <v>3.46000003814697</v>
      </c>
      <c r="E180" s="1">
        <v>3.46000003814697</v>
      </c>
      <c r="F180" s="1">
        <v>0</v>
      </c>
      <c r="G180" s="1">
        <v>1.9299999475479099</v>
      </c>
      <c r="H180" s="1">
        <v>0.99000000953674305</v>
      </c>
      <c r="I180" s="1">
        <v>0.54000002145767201</v>
      </c>
      <c r="J180" s="1">
        <v>0</v>
      </c>
      <c r="K180">
        <v>29</v>
      </c>
      <c r="L180">
        <v>16</v>
      </c>
      <c r="M180">
        <v>33</v>
      </c>
      <c r="N180">
        <v>1362</v>
      </c>
      <c r="O180">
        <v>1705</v>
      </c>
      <c r="P180" t="str">
        <f t="shared" si="8"/>
        <v>Thursday</v>
      </c>
      <c r="Q180">
        <f t="shared" si="9"/>
        <v>1440</v>
      </c>
      <c r="R180" t="str">
        <f t="shared" si="10"/>
        <v>Weekday</v>
      </c>
      <c r="S180" t="str">
        <f t="shared" si="11"/>
        <v>Lightly Active</v>
      </c>
    </row>
    <row r="181" spans="1:19" x14ac:dyDescent="0.25">
      <c r="A181">
        <v>3977333714</v>
      </c>
      <c r="B181" s="4">
        <v>42434</v>
      </c>
      <c r="C181">
        <v>14335</v>
      </c>
      <c r="D181" s="1">
        <v>9.5900001525878906</v>
      </c>
      <c r="E181" s="1">
        <v>9.5900001525878906</v>
      </c>
      <c r="F181" s="1">
        <v>0</v>
      </c>
      <c r="G181" s="1">
        <v>3.3199999332428001</v>
      </c>
      <c r="H181" s="1">
        <v>1.7400000095367401</v>
      </c>
      <c r="I181" s="1">
        <v>4.5300002098083496</v>
      </c>
      <c r="J181" s="1">
        <v>0</v>
      </c>
      <c r="K181">
        <v>47</v>
      </c>
      <c r="L181">
        <v>41</v>
      </c>
      <c r="M181">
        <v>258</v>
      </c>
      <c r="N181">
        <v>594</v>
      </c>
      <c r="O181">
        <v>1710</v>
      </c>
      <c r="P181" t="str">
        <f t="shared" si="8"/>
        <v>Saturday</v>
      </c>
      <c r="Q181">
        <f t="shared" si="9"/>
        <v>940</v>
      </c>
      <c r="R181" t="str">
        <f t="shared" si="10"/>
        <v>Weekend</v>
      </c>
      <c r="S181" t="str">
        <f t="shared" si="11"/>
        <v>Very_Active</v>
      </c>
    </row>
    <row r="182" spans="1:19" x14ac:dyDescent="0.25">
      <c r="A182">
        <v>5553957443</v>
      </c>
      <c r="B182" s="4">
        <v>42473</v>
      </c>
      <c r="C182">
        <v>4832</v>
      </c>
      <c r="D182" s="1">
        <v>3.1600000858306898</v>
      </c>
      <c r="E182" s="1">
        <v>3.1600000858306898</v>
      </c>
      <c r="F182" s="1">
        <v>0</v>
      </c>
      <c r="G182" s="1">
        <v>0</v>
      </c>
      <c r="H182" s="1">
        <v>0</v>
      </c>
      <c r="I182" s="1">
        <v>3.1600000858306898</v>
      </c>
      <c r="J182" s="1">
        <v>0</v>
      </c>
      <c r="K182">
        <v>0</v>
      </c>
      <c r="L182">
        <v>0</v>
      </c>
      <c r="M182">
        <v>226</v>
      </c>
      <c r="N182">
        <v>647</v>
      </c>
      <c r="O182">
        <v>1718</v>
      </c>
      <c r="P182" t="str">
        <f t="shared" si="8"/>
        <v>Wednesday</v>
      </c>
      <c r="Q182">
        <f t="shared" si="9"/>
        <v>873</v>
      </c>
      <c r="R182" t="str">
        <f t="shared" si="10"/>
        <v>Weekday</v>
      </c>
      <c r="S182" t="str">
        <f t="shared" si="11"/>
        <v>Sedentary</v>
      </c>
    </row>
    <row r="183" spans="1:19" x14ac:dyDescent="0.25">
      <c r="A183">
        <v>6962181067</v>
      </c>
      <c r="B183" s="4">
        <v>42473</v>
      </c>
      <c r="C183">
        <v>5652</v>
      </c>
      <c r="D183" s="1">
        <v>3.7400000095367401</v>
      </c>
      <c r="E183" s="1">
        <v>3.7400000095367401</v>
      </c>
      <c r="F183" s="1">
        <v>0</v>
      </c>
      <c r="G183" s="1">
        <v>0.56999999284744296</v>
      </c>
      <c r="H183" s="1">
        <v>1.21000003814697</v>
      </c>
      <c r="I183" s="1">
        <v>1.96000003814697</v>
      </c>
      <c r="J183" s="1">
        <v>0</v>
      </c>
      <c r="K183">
        <v>8</v>
      </c>
      <c r="L183">
        <v>24</v>
      </c>
      <c r="M183">
        <v>142</v>
      </c>
      <c r="N183">
        <v>548</v>
      </c>
      <c r="O183">
        <v>1718</v>
      </c>
      <c r="P183" t="str">
        <f t="shared" si="8"/>
        <v>Wednesday</v>
      </c>
      <c r="Q183">
        <f t="shared" si="9"/>
        <v>722</v>
      </c>
      <c r="R183" t="str">
        <f t="shared" si="10"/>
        <v>Weekday</v>
      </c>
      <c r="S183" t="str">
        <f t="shared" si="11"/>
        <v>Lightly Active</v>
      </c>
    </row>
    <row r="184" spans="1:19" x14ac:dyDescent="0.25">
      <c r="A184">
        <v>8792009665</v>
      </c>
      <c r="B184" s="4">
        <v>42481</v>
      </c>
      <c r="C184">
        <v>144</v>
      </c>
      <c r="D184" s="1">
        <v>9.00000035762787E-2</v>
      </c>
      <c r="E184" s="1">
        <v>9.00000035762787E-2</v>
      </c>
      <c r="F184" s="1">
        <v>0</v>
      </c>
      <c r="G184" s="1">
        <v>0</v>
      </c>
      <c r="H184" s="1">
        <v>0</v>
      </c>
      <c r="I184" s="1">
        <v>9.00000035762787E-2</v>
      </c>
      <c r="J184" s="1">
        <v>0</v>
      </c>
      <c r="K184">
        <v>0</v>
      </c>
      <c r="L184">
        <v>0</v>
      </c>
      <c r="M184">
        <v>9</v>
      </c>
      <c r="N184">
        <v>1431</v>
      </c>
      <c r="O184">
        <v>1720</v>
      </c>
      <c r="P184" t="str">
        <f t="shared" si="8"/>
        <v>Thursday</v>
      </c>
      <c r="Q184">
        <f t="shared" si="9"/>
        <v>1440</v>
      </c>
      <c r="R184" t="str">
        <f t="shared" si="10"/>
        <v>Weekday</v>
      </c>
      <c r="S184" t="str">
        <f t="shared" si="11"/>
        <v>Sedentary</v>
      </c>
    </row>
    <row r="185" spans="1:19" x14ac:dyDescent="0.25">
      <c r="A185">
        <v>8792009665</v>
      </c>
      <c r="B185" s="4">
        <v>42476</v>
      </c>
      <c r="C185">
        <v>244</v>
      </c>
      <c r="D185" s="1">
        <v>0.15999999642372101</v>
      </c>
      <c r="E185" s="1">
        <v>0.15999999642372101</v>
      </c>
      <c r="F185" s="1">
        <v>0</v>
      </c>
      <c r="G185" s="1">
        <v>0</v>
      </c>
      <c r="H185" s="1">
        <v>0</v>
      </c>
      <c r="I185" s="1">
        <v>0.15999999642372101</v>
      </c>
      <c r="J185" s="1">
        <v>0</v>
      </c>
      <c r="K185">
        <v>0</v>
      </c>
      <c r="L185">
        <v>0</v>
      </c>
      <c r="M185">
        <v>12</v>
      </c>
      <c r="N185">
        <v>1428</v>
      </c>
      <c r="O185">
        <v>1721</v>
      </c>
      <c r="P185" t="str">
        <f t="shared" si="8"/>
        <v>Saturday</v>
      </c>
      <c r="Q185">
        <f t="shared" si="9"/>
        <v>1440</v>
      </c>
      <c r="R185" t="str">
        <f t="shared" si="10"/>
        <v>Weekend</v>
      </c>
      <c r="S185" t="str">
        <f t="shared" si="11"/>
        <v>Sedentary</v>
      </c>
    </row>
    <row r="186" spans="1:19" x14ac:dyDescent="0.25">
      <c r="A186">
        <v>4558609924</v>
      </c>
      <c r="B186" s="4">
        <v>42526</v>
      </c>
      <c r="C186">
        <v>3755</v>
      </c>
      <c r="D186" s="1">
        <v>2.4800000190734899</v>
      </c>
      <c r="E186" s="1">
        <v>2.4800000190734899</v>
      </c>
      <c r="F186" s="1">
        <v>0</v>
      </c>
      <c r="G186" s="1">
        <v>0</v>
      </c>
      <c r="H186" s="1">
        <v>0</v>
      </c>
      <c r="I186" s="1">
        <v>2.4800000190734899</v>
      </c>
      <c r="J186" s="1">
        <v>0</v>
      </c>
      <c r="K186">
        <v>0</v>
      </c>
      <c r="L186">
        <v>0</v>
      </c>
      <c r="M186">
        <v>202</v>
      </c>
      <c r="N186">
        <v>1238</v>
      </c>
      <c r="O186">
        <v>1722</v>
      </c>
      <c r="P186" t="str">
        <f t="shared" si="8"/>
        <v>Sunday</v>
      </c>
      <c r="Q186">
        <f t="shared" si="9"/>
        <v>1440</v>
      </c>
      <c r="R186" t="str">
        <f t="shared" si="10"/>
        <v>Weekend</v>
      </c>
      <c r="S186" t="str">
        <f t="shared" si="11"/>
        <v>Sedentary</v>
      </c>
    </row>
    <row r="187" spans="1:19" x14ac:dyDescent="0.25">
      <c r="A187">
        <v>4558609924</v>
      </c>
      <c r="B187" s="4">
        <v>42473</v>
      </c>
      <c r="C187">
        <v>4978</v>
      </c>
      <c r="D187" s="1">
        <v>3.28999996185303</v>
      </c>
      <c r="E187" s="1">
        <v>3.28999996185303</v>
      </c>
      <c r="F187" s="1">
        <v>0</v>
      </c>
      <c r="G187" s="1">
        <v>1.2400000095367401</v>
      </c>
      <c r="H187" s="1">
        <v>0.43999999761581399</v>
      </c>
      <c r="I187" s="1">
        <v>1.6100000143051101</v>
      </c>
      <c r="J187" s="1">
        <v>0</v>
      </c>
      <c r="K187">
        <v>19</v>
      </c>
      <c r="L187">
        <v>7</v>
      </c>
      <c r="M187">
        <v>127</v>
      </c>
      <c r="N187">
        <v>1287</v>
      </c>
      <c r="O187">
        <v>1722</v>
      </c>
      <c r="P187" t="str">
        <f t="shared" si="8"/>
        <v>Wednesday</v>
      </c>
      <c r="Q187">
        <f t="shared" si="9"/>
        <v>1440</v>
      </c>
      <c r="R187" t="str">
        <f t="shared" si="10"/>
        <v>Weekday</v>
      </c>
      <c r="S187" t="str">
        <f t="shared" si="11"/>
        <v>Sedentary</v>
      </c>
    </row>
    <row r="188" spans="1:19" x14ac:dyDescent="0.25">
      <c r="A188">
        <v>2320127002</v>
      </c>
      <c r="B188" s="4">
        <v>42476</v>
      </c>
      <c r="C188">
        <v>5057</v>
      </c>
      <c r="D188" s="1">
        <v>3.4100000858306898</v>
      </c>
      <c r="E188" s="1">
        <v>3.4100000858306898</v>
      </c>
      <c r="F188" s="1">
        <v>0</v>
      </c>
      <c r="G188" s="1">
        <v>0</v>
      </c>
      <c r="H188" s="1">
        <v>0</v>
      </c>
      <c r="I188" s="1">
        <v>3.4000000953674299</v>
      </c>
      <c r="J188" s="1">
        <v>0</v>
      </c>
      <c r="K188">
        <v>0</v>
      </c>
      <c r="L188">
        <v>0</v>
      </c>
      <c r="M188">
        <v>195</v>
      </c>
      <c r="N188">
        <v>1245</v>
      </c>
      <c r="O188">
        <v>1724</v>
      </c>
      <c r="P188" t="str">
        <f t="shared" si="8"/>
        <v>Saturday</v>
      </c>
      <c r="Q188">
        <f t="shared" si="9"/>
        <v>1440</v>
      </c>
      <c r="R188" t="str">
        <f t="shared" si="10"/>
        <v>Weekend</v>
      </c>
      <c r="S188" t="str">
        <f t="shared" si="11"/>
        <v>Lightly Active</v>
      </c>
    </row>
    <row r="189" spans="1:19" x14ac:dyDescent="0.25">
      <c r="A189">
        <v>1844505072</v>
      </c>
      <c r="B189" s="4">
        <v>42475</v>
      </c>
      <c r="C189">
        <v>3844</v>
      </c>
      <c r="D189" s="1">
        <v>2.53999996185303</v>
      </c>
      <c r="E189" s="1">
        <v>2.53999996185303</v>
      </c>
      <c r="F189" s="1">
        <v>0</v>
      </c>
      <c r="G189" s="1">
        <v>0</v>
      </c>
      <c r="H189" s="1">
        <v>0</v>
      </c>
      <c r="I189" s="1">
        <v>2.53999996185303</v>
      </c>
      <c r="J189" s="1">
        <v>0</v>
      </c>
      <c r="K189">
        <v>0</v>
      </c>
      <c r="L189">
        <v>0</v>
      </c>
      <c r="M189">
        <v>176</v>
      </c>
      <c r="N189">
        <v>527</v>
      </c>
      <c r="O189">
        <v>1725</v>
      </c>
      <c r="P189" t="str">
        <f t="shared" si="8"/>
        <v>Friday</v>
      </c>
      <c r="Q189">
        <f t="shared" si="9"/>
        <v>703</v>
      </c>
      <c r="R189" t="str">
        <f t="shared" si="10"/>
        <v>Weekday</v>
      </c>
      <c r="S189" t="str">
        <f t="shared" si="11"/>
        <v>Sedentary</v>
      </c>
    </row>
    <row r="190" spans="1:19" x14ac:dyDescent="0.25">
      <c r="A190">
        <v>2320127002</v>
      </c>
      <c r="B190" s="4">
        <v>42484</v>
      </c>
      <c r="C190">
        <v>4165</v>
      </c>
      <c r="D190" s="1">
        <v>2.8099999427795401</v>
      </c>
      <c r="E190" s="1">
        <v>2.8099999427795401</v>
      </c>
      <c r="F190" s="1">
        <v>0</v>
      </c>
      <c r="G190" s="1">
        <v>0</v>
      </c>
      <c r="H190" s="1">
        <v>0</v>
      </c>
      <c r="I190" s="1">
        <v>2.7999999523162802</v>
      </c>
      <c r="J190" s="1">
        <v>0</v>
      </c>
      <c r="K190">
        <v>0</v>
      </c>
      <c r="L190">
        <v>0</v>
      </c>
      <c r="M190">
        <v>204</v>
      </c>
      <c r="N190">
        <v>1236</v>
      </c>
      <c r="O190">
        <v>1725</v>
      </c>
      <c r="P190" t="str">
        <f t="shared" si="8"/>
        <v>Sunday</v>
      </c>
      <c r="Q190">
        <f t="shared" si="9"/>
        <v>1440</v>
      </c>
      <c r="R190" t="str">
        <f t="shared" si="10"/>
        <v>Weekend</v>
      </c>
      <c r="S190" t="str">
        <f t="shared" si="11"/>
        <v>Sedentary</v>
      </c>
    </row>
    <row r="191" spans="1:19" x14ac:dyDescent="0.25">
      <c r="A191">
        <v>1503960366</v>
      </c>
      <c r="B191" s="4">
        <v>42477</v>
      </c>
      <c r="C191">
        <v>9705</v>
      </c>
      <c r="D191" s="1">
        <v>6.4800000190734899</v>
      </c>
      <c r="E191" s="1">
        <v>6.4800000190734899</v>
      </c>
      <c r="F191" s="1">
        <v>0</v>
      </c>
      <c r="G191" s="1">
        <v>3.1900000572204599</v>
      </c>
      <c r="H191" s="1">
        <v>0.77999997138977095</v>
      </c>
      <c r="I191" s="1">
        <v>2.5099999904632599</v>
      </c>
      <c r="J191" s="1">
        <v>0</v>
      </c>
      <c r="K191">
        <v>38</v>
      </c>
      <c r="L191">
        <v>20</v>
      </c>
      <c r="M191">
        <v>164</v>
      </c>
      <c r="N191">
        <v>539</v>
      </c>
      <c r="O191">
        <v>1728</v>
      </c>
      <c r="P191" t="str">
        <f t="shared" si="8"/>
        <v>Sunday</v>
      </c>
      <c r="Q191">
        <f t="shared" si="9"/>
        <v>761</v>
      </c>
      <c r="R191" t="str">
        <f t="shared" si="10"/>
        <v>Weekend</v>
      </c>
      <c r="S191" t="str">
        <f t="shared" si="11"/>
        <v>Fairly Active</v>
      </c>
    </row>
    <row r="192" spans="1:19" x14ac:dyDescent="0.25">
      <c r="A192">
        <v>2026352035</v>
      </c>
      <c r="B192" s="4">
        <v>42526</v>
      </c>
      <c r="C192">
        <v>8198</v>
      </c>
      <c r="D192" s="1">
        <v>5.0799999237060502</v>
      </c>
      <c r="E192" s="1">
        <v>5.0799999237060502</v>
      </c>
      <c r="F192" s="1">
        <v>0</v>
      </c>
      <c r="G192" s="1">
        <v>0</v>
      </c>
      <c r="H192" s="1">
        <v>0</v>
      </c>
      <c r="I192" s="1">
        <v>5.0799999237060502</v>
      </c>
      <c r="J192" s="1">
        <v>0</v>
      </c>
      <c r="K192">
        <v>0</v>
      </c>
      <c r="L192">
        <v>0</v>
      </c>
      <c r="M192">
        <v>383</v>
      </c>
      <c r="N192">
        <v>511</v>
      </c>
      <c r="O192">
        <v>1736</v>
      </c>
      <c r="P192" t="str">
        <f t="shared" si="8"/>
        <v>Sunday</v>
      </c>
      <c r="Q192">
        <f t="shared" si="9"/>
        <v>894</v>
      </c>
      <c r="R192" t="str">
        <f t="shared" si="10"/>
        <v>Weekend</v>
      </c>
      <c r="S192" t="str">
        <f t="shared" si="11"/>
        <v>Fairly Active</v>
      </c>
    </row>
    <row r="193" spans="1:19" x14ac:dyDescent="0.25">
      <c r="A193">
        <v>2873212765</v>
      </c>
      <c r="B193" s="4">
        <v>42374</v>
      </c>
      <c r="C193">
        <v>7399</v>
      </c>
      <c r="D193" s="1">
        <v>4.9699997901916504</v>
      </c>
      <c r="E193" s="1">
        <v>4.9699997901916504</v>
      </c>
      <c r="F193" s="1">
        <v>0</v>
      </c>
      <c r="G193" s="1">
        <v>0.490000009536743</v>
      </c>
      <c r="H193" s="1">
        <v>1.03999996185303</v>
      </c>
      <c r="I193" s="1">
        <v>3.4400000572204599</v>
      </c>
      <c r="J193" s="1">
        <v>0</v>
      </c>
      <c r="K193">
        <v>7</v>
      </c>
      <c r="L193">
        <v>18</v>
      </c>
      <c r="M193">
        <v>196</v>
      </c>
      <c r="N193">
        <v>1219</v>
      </c>
      <c r="O193">
        <v>1739</v>
      </c>
      <c r="P193" t="str">
        <f t="shared" si="8"/>
        <v>Tuesday</v>
      </c>
      <c r="Q193">
        <f t="shared" si="9"/>
        <v>1440</v>
      </c>
      <c r="R193" t="str">
        <f t="shared" si="10"/>
        <v>Weekday</v>
      </c>
      <c r="S193" t="str">
        <f t="shared" si="11"/>
        <v>Lightly Active</v>
      </c>
    </row>
    <row r="194" spans="1:19" x14ac:dyDescent="0.25">
      <c r="A194">
        <v>6962181067</v>
      </c>
      <c r="B194" s="4">
        <v>42374</v>
      </c>
      <c r="C194">
        <v>5454</v>
      </c>
      <c r="D194" s="1">
        <v>3.6099998950958301</v>
      </c>
      <c r="E194" s="1">
        <v>3.6099998950958301</v>
      </c>
      <c r="F194" s="1">
        <v>0</v>
      </c>
      <c r="G194" s="1">
        <v>0</v>
      </c>
      <c r="H194" s="1">
        <v>0</v>
      </c>
      <c r="I194" s="1">
        <v>3.6099998950958301</v>
      </c>
      <c r="J194" s="1">
        <v>0</v>
      </c>
      <c r="K194">
        <v>0</v>
      </c>
      <c r="L194">
        <v>0</v>
      </c>
      <c r="M194">
        <v>215</v>
      </c>
      <c r="N194">
        <v>722</v>
      </c>
      <c r="O194">
        <v>1740</v>
      </c>
      <c r="P194" t="str">
        <f t="shared" ref="P194:P257" si="12">TEXT(B194,"dddd")</f>
        <v>Tuesday</v>
      </c>
      <c r="Q194">
        <f t="shared" ref="Q194:Q257" si="13">SUM(K194:N194)</f>
        <v>937</v>
      </c>
      <c r="R194" t="str">
        <f t="shared" ref="R194:R257" si="14">IF(WEEKDAY(B194,2)&lt;=5,"Weekday","Weekend")</f>
        <v>Weekday</v>
      </c>
      <c r="S194" t="str">
        <f t="shared" ref="S194:S257" si="15">IF(C194&lt;5000,"Sedentary",IF(C194&lt;7500,"Lightly Active",IF(C194&lt;10000,"Fairly Active","Very_Active")))</f>
        <v>Lightly Active</v>
      </c>
    </row>
    <row r="195" spans="1:19" x14ac:dyDescent="0.25">
      <c r="A195">
        <v>1503960366</v>
      </c>
      <c r="B195" s="4">
        <v>42587</v>
      </c>
      <c r="C195">
        <v>10060</v>
      </c>
      <c r="D195" s="1">
        <v>6.5799999237060502</v>
      </c>
      <c r="E195" s="1">
        <v>6.5799999237060502</v>
      </c>
      <c r="F195" s="1">
        <v>0</v>
      </c>
      <c r="G195" s="1">
        <v>3.5299999713897701</v>
      </c>
      <c r="H195" s="1">
        <v>0.31999999284744302</v>
      </c>
      <c r="I195" s="1">
        <v>2.7300000190734899</v>
      </c>
      <c r="J195" s="1">
        <v>0</v>
      </c>
      <c r="K195">
        <v>44</v>
      </c>
      <c r="L195">
        <v>8</v>
      </c>
      <c r="M195">
        <v>203</v>
      </c>
      <c r="N195">
        <v>574</v>
      </c>
      <c r="O195">
        <v>1740</v>
      </c>
      <c r="P195" t="str">
        <f t="shared" si="12"/>
        <v>Friday</v>
      </c>
      <c r="Q195">
        <f t="shared" si="13"/>
        <v>829</v>
      </c>
      <c r="R195" t="str">
        <f t="shared" si="14"/>
        <v>Weekday</v>
      </c>
      <c r="S195" t="str">
        <f t="shared" si="15"/>
        <v>Very_Active</v>
      </c>
    </row>
    <row r="196" spans="1:19" x14ac:dyDescent="0.25">
      <c r="A196">
        <v>1844505072</v>
      </c>
      <c r="B196" s="4">
        <v>42434</v>
      </c>
      <c r="C196">
        <v>4059</v>
      </c>
      <c r="D196" s="1">
        <v>2.6800000667571999</v>
      </c>
      <c r="E196" s="1">
        <v>2.6800000667571999</v>
      </c>
      <c r="F196" s="1">
        <v>0</v>
      </c>
      <c r="G196" s="1">
        <v>0</v>
      </c>
      <c r="H196" s="1">
        <v>0</v>
      </c>
      <c r="I196" s="1">
        <v>2.6800000667571999</v>
      </c>
      <c r="J196" s="1">
        <v>0</v>
      </c>
      <c r="K196">
        <v>0</v>
      </c>
      <c r="L196">
        <v>0</v>
      </c>
      <c r="M196">
        <v>184</v>
      </c>
      <c r="N196">
        <v>1256</v>
      </c>
      <c r="O196">
        <v>1742</v>
      </c>
      <c r="P196" t="str">
        <f t="shared" si="12"/>
        <v>Saturday</v>
      </c>
      <c r="Q196">
        <f t="shared" si="13"/>
        <v>1440</v>
      </c>
      <c r="R196" t="str">
        <f t="shared" si="14"/>
        <v>Weekend</v>
      </c>
      <c r="S196" t="str">
        <f t="shared" si="15"/>
        <v>Sedentary</v>
      </c>
    </row>
    <row r="197" spans="1:19" x14ac:dyDescent="0.25">
      <c r="A197">
        <v>2320127002</v>
      </c>
      <c r="B197" s="4">
        <v>42526</v>
      </c>
      <c r="C197">
        <v>4878</v>
      </c>
      <c r="D197" s="1">
        <v>3.28999996185303</v>
      </c>
      <c r="E197" s="1">
        <v>3.28999996185303</v>
      </c>
      <c r="F197" s="1">
        <v>0</v>
      </c>
      <c r="G197" s="1">
        <v>0</v>
      </c>
      <c r="H197" s="1">
        <v>0</v>
      </c>
      <c r="I197" s="1">
        <v>3.28999996185303</v>
      </c>
      <c r="J197" s="1">
        <v>0</v>
      </c>
      <c r="K197">
        <v>0</v>
      </c>
      <c r="L197">
        <v>0</v>
      </c>
      <c r="M197">
        <v>204</v>
      </c>
      <c r="N197">
        <v>1236</v>
      </c>
      <c r="O197">
        <v>1742</v>
      </c>
      <c r="P197" t="str">
        <f t="shared" si="12"/>
        <v>Sunday</v>
      </c>
      <c r="Q197">
        <f t="shared" si="13"/>
        <v>1440</v>
      </c>
      <c r="R197" t="str">
        <f t="shared" si="14"/>
        <v>Weekend</v>
      </c>
      <c r="S197" t="str">
        <f t="shared" si="15"/>
        <v>Sedentary</v>
      </c>
    </row>
    <row r="198" spans="1:19" x14ac:dyDescent="0.25">
      <c r="A198">
        <v>1503960366</v>
      </c>
      <c r="B198" s="4">
        <v>42475</v>
      </c>
      <c r="C198">
        <v>9762</v>
      </c>
      <c r="D198" s="1">
        <v>6.2800002098083496</v>
      </c>
      <c r="E198" s="1">
        <v>6.2800002098083496</v>
      </c>
      <c r="F198" s="1">
        <v>0</v>
      </c>
      <c r="G198" s="1">
        <v>2.1400001049041699</v>
      </c>
      <c r="H198" s="1">
        <v>1.2599999904632599</v>
      </c>
      <c r="I198" s="1">
        <v>2.8299999237060498</v>
      </c>
      <c r="J198" s="1">
        <v>0</v>
      </c>
      <c r="K198">
        <v>29</v>
      </c>
      <c r="L198">
        <v>34</v>
      </c>
      <c r="M198">
        <v>209</v>
      </c>
      <c r="N198">
        <v>726</v>
      </c>
      <c r="O198">
        <v>1745</v>
      </c>
      <c r="P198" t="str">
        <f t="shared" si="12"/>
        <v>Friday</v>
      </c>
      <c r="Q198">
        <f t="shared" si="13"/>
        <v>998</v>
      </c>
      <c r="R198" t="str">
        <f t="shared" si="14"/>
        <v>Weekday</v>
      </c>
      <c r="S198" t="str">
        <f t="shared" si="15"/>
        <v>Fairly Active</v>
      </c>
    </row>
    <row r="199" spans="1:19" x14ac:dyDescent="0.25">
      <c r="A199">
        <v>5553957443</v>
      </c>
      <c r="B199" s="4">
        <v>42374</v>
      </c>
      <c r="C199">
        <v>5164</v>
      </c>
      <c r="D199" s="1">
        <v>3.3699998855590798</v>
      </c>
      <c r="E199" s="1">
        <v>3.3699998855590798</v>
      </c>
      <c r="F199" s="1">
        <v>0</v>
      </c>
      <c r="G199" s="1">
        <v>0</v>
      </c>
      <c r="H199" s="1">
        <v>0</v>
      </c>
      <c r="I199" s="1">
        <v>3.3699998855590798</v>
      </c>
      <c r="J199" s="1">
        <v>0</v>
      </c>
      <c r="K199">
        <v>0</v>
      </c>
      <c r="L199">
        <v>0</v>
      </c>
      <c r="M199">
        <v>237</v>
      </c>
      <c r="N199">
        <v>436</v>
      </c>
      <c r="O199">
        <v>1747</v>
      </c>
      <c r="P199" t="str">
        <f t="shared" si="12"/>
        <v>Tuesday</v>
      </c>
      <c r="Q199">
        <f t="shared" si="13"/>
        <v>673</v>
      </c>
      <c r="R199" t="str">
        <f t="shared" si="14"/>
        <v>Weekday</v>
      </c>
      <c r="S199" t="str">
        <f t="shared" si="15"/>
        <v>Lightly Active</v>
      </c>
    </row>
    <row r="200" spans="1:19" x14ac:dyDescent="0.25">
      <c r="A200">
        <v>6962181067</v>
      </c>
      <c r="B200" s="4">
        <v>42475</v>
      </c>
      <c r="C200">
        <v>5563</v>
      </c>
      <c r="D200" s="1">
        <v>3.6800000667571999</v>
      </c>
      <c r="E200" s="1">
        <v>3.6800000667571999</v>
      </c>
      <c r="F200" s="1">
        <v>0</v>
      </c>
      <c r="G200" s="1">
        <v>0</v>
      </c>
      <c r="H200" s="1">
        <v>0</v>
      </c>
      <c r="I200" s="1">
        <v>3.6800000667571999</v>
      </c>
      <c r="J200" s="1">
        <v>0</v>
      </c>
      <c r="K200">
        <v>0</v>
      </c>
      <c r="L200">
        <v>0</v>
      </c>
      <c r="M200">
        <v>217</v>
      </c>
      <c r="N200">
        <v>837</v>
      </c>
      <c r="O200">
        <v>1756</v>
      </c>
      <c r="P200" t="str">
        <f t="shared" si="12"/>
        <v>Friday</v>
      </c>
      <c r="Q200">
        <f t="shared" si="13"/>
        <v>1054</v>
      </c>
      <c r="R200" t="str">
        <f t="shared" si="14"/>
        <v>Weekday</v>
      </c>
      <c r="S200" t="str">
        <f t="shared" si="15"/>
        <v>Lightly Active</v>
      </c>
    </row>
    <row r="201" spans="1:19" x14ac:dyDescent="0.25">
      <c r="A201">
        <v>3977333714</v>
      </c>
      <c r="B201" s="4">
        <v>42405</v>
      </c>
      <c r="C201">
        <v>16520</v>
      </c>
      <c r="D201" s="1">
        <v>11.050000190734901</v>
      </c>
      <c r="E201" s="1">
        <v>11.050000190734901</v>
      </c>
      <c r="F201" s="1">
        <v>0</v>
      </c>
      <c r="G201" s="1">
        <v>1.53999996185303</v>
      </c>
      <c r="H201" s="1">
        <v>6.4800000190734899</v>
      </c>
      <c r="I201" s="1">
        <v>3.0199999809265101</v>
      </c>
      <c r="J201" s="1">
        <v>0</v>
      </c>
      <c r="K201">
        <v>24</v>
      </c>
      <c r="L201">
        <v>143</v>
      </c>
      <c r="M201">
        <v>176</v>
      </c>
      <c r="N201">
        <v>713</v>
      </c>
      <c r="O201">
        <v>1760</v>
      </c>
      <c r="P201" t="str">
        <f t="shared" si="12"/>
        <v>Friday</v>
      </c>
      <c r="Q201">
        <f t="shared" si="13"/>
        <v>1056</v>
      </c>
      <c r="R201" t="str">
        <f t="shared" si="14"/>
        <v>Weekday</v>
      </c>
      <c r="S201" t="str">
        <f t="shared" si="15"/>
        <v>Very_Active</v>
      </c>
    </row>
    <row r="202" spans="1:19" x14ac:dyDescent="0.25">
      <c r="A202">
        <v>5553957443</v>
      </c>
      <c r="B202" s="4">
        <v>42587</v>
      </c>
      <c r="C202">
        <v>6083</v>
      </c>
      <c r="D202" s="1">
        <v>4</v>
      </c>
      <c r="E202" s="1">
        <v>4</v>
      </c>
      <c r="F202" s="1">
        <v>0</v>
      </c>
      <c r="G202" s="1">
        <v>0.21999999880790699</v>
      </c>
      <c r="H202" s="1">
        <v>0.46999999880790699</v>
      </c>
      <c r="I202" s="1">
        <v>3.2999999523162802</v>
      </c>
      <c r="J202" s="1">
        <v>0</v>
      </c>
      <c r="K202">
        <v>3</v>
      </c>
      <c r="L202">
        <v>8</v>
      </c>
      <c r="M202">
        <v>210</v>
      </c>
      <c r="N202">
        <v>505</v>
      </c>
      <c r="O202">
        <v>1762</v>
      </c>
      <c r="P202" t="str">
        <f t="shared" si="12"/>
        <v>Friday</v>
      </c>
      <c r="Q202">
        <f t="shared" si="13"/>
        <v>726</v>
      </c>
      <c r="R202" t="str">
        <f t="shared" si="14"/>
        <v>Weekday</v>
      </c>
      <c r="S202" t="str">
        <f t="shared" si="15"/>
        <v>Lightly Active</v>
      </c>
    </row>
    <row r="203" spans="1:19" x14ac:dyDescent="0.25">
      <c r="A203">
        <v>1844505072</v>
      </c>
      <c r="B203" s="4">
        <v>42490</v>
      </c>
      <c r="C203">
        <v>4014</v>
      </c>
      <c r="D203" s="1">
        <v>2.6700000762939502</v>
      </c>
      <c r="E203" s="1">
        <v>2.6700000762939502</v>
      </c>
      <c r="F203" s="1">
        <v>0</v>
      </c>
      <c r="G203" s="1">
        <v>0</v>
      </c>
      <c r="H203" s="1">
        <v>0</v>
      </c>
      <c r="I203" s="1">
        <v>2.6500000953674299</v>
      </c>
      <c r="J203" s="1">
        <v>0</v>
      </c>
      <c r="K203">
        <v>0</v>
      </c>
      <c r="L203">
        <v>0</v>
      </c>
      <c r="M203">
        <v>184</v>
      </c>
      <c r="N203">
        <v>218</v>
      </c>
      <c r="O203">
        <v>1763</v>
      </c>
      <c r="P203" t="str">
        <f t="shared" si="12"/>
        <v>Saturday</v>
      </c>
      <c r="Q203">
        <f t="shared" si="13"/>
        <v>402</v>
      </c>
      <c r="R203" t="str">
        <f t="shared" si="14"/>
        <v>Weekend</v>
      </c>
      <c r="S203" t="str">
        <f t="shared" si="15"/>
        <v>Sedentary</v>
      </c>
    </row>
    <row r="204" spans="1:19" x14ac:dyDescent="0.25">
      <c r="A204">
        <v>8253242879</v>
      </c>
      <c r="B204" s="4">
        <v>42479</v>
      </c>
      <c r="C204">
        <v>4212</v>
      </c>
      <c r="D204" s="1">
        <v>2.7799999713897701</v>
      </c>
      <c r="E204" s="1">
        <v>2.7799999713897701</v>
      </c>
      <c r="F204" s="1">
        <v>0</v>
      </c>
      <c r="G204" s="1">
        <v>0</v>
      </c>
      <c r="H204" s="1">
        <v>0</v>
      </c>
      <c r="I204" s="1">
        <v>2.7799999713897701</v>
      </c>
      <c r="J204" s="1">
        <v>0</v>
      </c>
      <c r="K204">
        <v>0</v>
      </c>
      <c r="L204">
        <v>0</v>
      </c>
      <c r="M204">
        <v>164</v>
      </c>
      <c r="N204">
        <v>1276</v>
      </c>
      <c r="O204">
        <v>1763</v>
      </c>
      <c r="P204" t="str">
        <f t="shared" si="12"/>
        <v>Tuesday</v>
      </c>
      <c r="Q204">
        <f t="shared" si="13"/>
        <v>1440</v>
      </c>
      <c r="R204" t="str">
        <f t="shared" si="14"/>
        <v>Weekday</v>
      </c>
      <c r="S204" t="str">
        <f t="shared" si="15"/>
        <v>Sedentary</v>
      </c>
    </row>
    <row r="205" spans="1:19" x14ac:dyDescent="0.25">
      <c r="A205">
        <v>1503960366</v>
      </c>
      <c r="B205" s="4">
        <v>42481</v>
      </c>
      <c r="C205">
        <v>9819</v>
      </c>
      <c r="D205" s="1">
        <v>6.3400001525878897</v>
      </c>
      <c r="E205" s="1">
        <v>6.3400001525878897</v>
      </c>
      <c r="F205" s="1">
        <v>0</v>
      </c>
      <c r="G205" s="1">
        <v>1.3400000333786</v>
      </c>
      <c r="H205" s="1">
        <v>0.34999999403953602</v>
      </c>
      <c r="I205" s="1">
        <v>4.6500000953674299</v>
      </c>
      <c r="J205" s="1">
        <v>0</v>
      </c>
      <c r="K205">
        <v>19</v>
      </c>
      <c r="L205">
        <v>8</v>
      </c>
      <c r="M205">
        <v>211</v>
      </c>
      <c r="N205">
        <v>838</v>
      </c>
      <c r="O205">
        <v>1775</v>
      </c>
      <c r="P205" t="str">
        <f t="shared" si="12"/>
        <v>Thursday</v>
      </c>
      <c r="Q205">
        <f t="shared" si="13"/>
        <v>1076</v>
      </c>
      <c r="R205" t="str">
        <f t="shared" si="14"/>
        <v>Weekday</v>
      </c>
      <c r="S205" t="str">
        <f t="shared" si="15"/>
        <v>Fairly Active</v>
      </c>
    </row>
    <row r="206" spans="1:19" x14ac:dyDescent="0.25">
      <c r="A206">
        <v>4057192912</v>
      </c>
      <c r="B206" s="4">
        <v>42474</v>
      </c>
      <c r="C206">
        <v>0</v>
      </c>
      <c r="D206" s="1">
        <v>0</v>
      </c>
      <c r="E206" s="1">
        <v>0</v>
      </c>
      <c r="F206" s="1">
        <v>0</v>
      </c>
      <c r="G206" s="1">
        <v>0</v>
      </c>
      <c r="H206" s="1">
        <v>0</v>
      </c>
      <c r="I206" s="1">
        <v>0</v>
      </c>
      <c r="J206" s="1">
        <v>0</v>
      </c>
      <c r="K206">
        <v>0</v>
      </c>
      <c r="L206">
        <v>0</v>
      </c>
      <c r="M206">
        <v>0</v>
      </c>
      <c r="N206">
        <v>1440</v>
      </c>
      <c r="O206">
        <v>1776</v>
      </c>
      <c r="P206" t="str">
        <f t="shared" si="12"/>
        <v>Thursday</v>
      </c>
      <c r="Q206">
        <f t="shared" si="13"/>
        <v>1440</v>
      </c>
      <c r="R206" t="str">
        <f t="shared" si="14"/>
        <v>Weekday</v>
      </c>
      <c r="S206" t="str">
        <f t="shared" si="15"/>
        <v>Sedentary</v>
      </c>
    </row>
    <row r="207" spans="1:19" x14ac:dyDescent="0.25">
      <c r="A207">
        <v>5553957443</v>
      </c>
      <c r="B207" s="4">
        <v>42483</v>
      </c>
      <c r="C207">
        <v>4112</v>
      </c>
      <c r="D207" s="1">
        <v>2.6900000572204599</v>
      </c>
      <c r="E207" s="1">
        <v>2.6900000572204599</v>
      </c>
      <c r="F207" s="1">
        <v>0</v>
      </c>
      <c r="G207" s="1">
        <v>0</v>
      </c>
      <c r="H207" s="1">
        <v>0</v>
      </c>
      <c r="I207" s="1">
        <v>2.6800000667571999</v>
      </c>
      <c r="J207" s="1">
        <v>0</v>
      </c>
      <c r="K207">
        <v>0</v>
      </c>
      <c r="L207">
        <v>0</v>
      </c>
      <c r="M207">
        <v>272</v>
      </c>
      <c r="N207">
        <v>443</v>
      </c>
      <c r="O207">
        <v>1776</v>
      </c>
      <c r="P207" t="str">
        <f t="shared" si="12"/>
        <v>Saturday</v>
      </c>
      <c r="Q207">
        <f t="shared" si="13"/>
        <v>715</v>
      </c>
      <c r="R207" t="str">
        <f t="shared" si="14"/>
        <v>Weekend</v>
      </c>
      <c r="S207" t="str">
        <f t="shared" si="15"/>
        <v>Sedentary</v>
      </c>
    </row>
    <row r="208" spans="1:19" x14ac:dyDescent="0.25">
      <c r="A208">
        <v>1503960366</v>
      </c>
      <c r="B208" s="4">
        <v>42474</v>
      </c>
      <c r="C208">
        <v>10460</v>
      </c>
      <c r="D208" s="1">
        <v>6.7399997711181596</v>
      </c>
      <c r="E208" s="1">
        <v>6.7399997711181596</v>
      </c>
      <c r="F208" s="1">
        <v>0</v>
      </c>
      <c r="G208" s="1">
        <v>2.4400000572204599</v>
      </c>
      <c r="H208" s="1">
        <v>0.40000000596046398</v>
      </c>
      <c r="I208" s="1">
        <v>3.9100000858306898</v>
      </c>
      <c r="J208" s="1">
        <v>0</v>
      </c>
      <c r="K208">
        <v>30</v>
      </c>
      <c r="L208">
        <v>11</v>
      </c>
      <c r="M208">
        <v>181</v>
      </c>
      <c r="N208">
        <v>1218</v>
      </c>
      <c r="O208">
        <v>1776</v>
      </c>
      <c r="P208" t="str">
        <f t="shared" si="12"/>
        <v>Thursday</v>
      </c>
      <c r="Q208">
        <f t="shared" si="13"/>
        <v>1440</v>
      </c>
      <c r="R208" t="str">
        <f t="shared" si="14"/>
        <v>Weekday</v>
      </c>
      <c r="S208" t="str">
        <f t="shared" si="15"/>
        <v>Very_Active</v>
      </c>
    </row>
    <row r="209" spans="1:19" x14ac:dyDescent="0.25">
      <c r="A209">
        <v>2320127002</v>
      </c>
      <c r="B209" s="4">
        <v>42490</v>
      </c>
      <c r="C209">
        <v>4571</v>
      </c>
      <c r="D209" s="1">
        <v>3.0799999237060498</v>
      </c>
      <c r="E209" s="1">
        <v>3.0799999237060498</v>
      </c>
      <c r="F209" s="1">
        <v>0</v>
      </c>
      <c r="G209" s="1">
        <v>0</v>
      </c>
      <c r="H209" s="1">
        <v>0</v>
      </c>
      <c r="I209" s="1">
        <v>3.0699999332428001</v>
      </c>
      <c r="J209" s="1">
        <v>0</v>
      </c>
      <c r="K209">
        <v>0</v>
      </c>
      <c r="L209">
        <v>0</v>
      </c>
      <c r="M209">
        <v>234</v>
      </c>
      <c r="N209">
        <v>1206</v>
      </c>
      <c r="O209">
        <v>1779</v>
      </c>
      <c r="P209" t="str">
        <f t="shared" si="12"/>
        <v>Saturday</v>
      </c>
      <c r="Q209">
        <f t="shared" si="13"/>
        <v>1440</v>
      </c>
      <c r="R209" t="str">
        <f t="shared" si="14"/>
        <v>Weekend</v>
      </c>
      <c r="S209" t="str">
        <f t="shared" si="15"/>
        <v>Sedentary</v>
      </c>
    </row>
    <row r="210" spans="1:19" x14ac:dyDescent="0.25">
      <c r="A210">
        <v>2320127002</v>
      </c>
      <c r="B210" s="4">
        <v>42495</v>
      </c>
      <c r="C210">
        <v>5202</v>
      </c>
      <c r="D210" s="1">
        <v>3.5099999904632599</v>
      </c>
      <c r="E210" s="1">
        <v>3.5099999904632599</v>
      </c>
      <c r="F210" s="1">
        <v>0</v>
      </c>
      <c r="G210" s="1">
        <v>0</v>
      </c>
      <c r="H210" s="1">
        <v>0.38999998569488498</v>
      </c>
      <c r="I210" s="1">
        <v>3.1099998950958301</v>
      </c>
      <c r="J210" s="1">
        <v>0</v>
      </c>
      <c r="K210">
        <v>0</v>
      </c>
      <c r="L210">
        <v>11</v>
      </c>
      <c r="M210">
        <v>223</v>
      </c>
      <c r="N210">
        <v>1206</v>
      </c>
      <c r="O210">
        <v>1780</v>
      </c>
      <c r="P210" t="str">
        <f t="shared" si="12"/>
        <v>Thursday</v>
      </c>
      <c r="Q210">
        <f t="shared" si="13"/>
        <v>1440</v>
      </c>
      <c r="R210" t="str">
        <f t="shared" si="14"/>
        <v>Weekday</v>
      </c>
      <c r="S210" t="str">
        <f t="shared" si="15"/>
        <v>Lightly Active</v>
      </c>
    </row>
    <row r="211" spans="1:19" x14ac:dyDescent="0.25">
      <c r="A211">
        <v>2873212765</v>
      </c>
      <c r="B211" s="4">
        <v>42489</v>
      </c>
      <c r="C211">
        <v>7365</v>
      </c>
      <c r="D211" s="1">
        <v>4.9499998092651403</v>
      </c>
      <c r="E211" s="1">
        <v>4.9499998092651403</v>
      </c>
      <c r="F211" s="1">
        <v>0</v>
      </c>
      <c r="G211" s="1">
        <v>1.3600000143051101</v>
      </c>
      <c r="H211" s="1">
        <v>1.4099999666214</v>
      </c>
      <c r="I211" s="1">
        <v>2.1800000667571999</v>
      </c>
      <c r="J211" s="1">
        <v>0</v>
      </c>
      <c r="K211">
        <v>20</v>
      </c>
      <c r="L211">
        <v>23</v>
      </c>
      <c r="M211">
        <v>206</v>
      </c>
      <c r="N211">
        <v>1191</v>
      </c>
      <c r="O211">
        <v>1780</v>
      </c>
      <c r="P211" t="str">
        <f t="shared" si="12"/>
        <v>Friday</v>
      </c>
      <c r="Q211">
        <f t="shared" si="13"/>
        <v>1440</v>
      </c>
      <c r="R211" t="str">
        <f t="shared" si="14"/>
        <v>Weekday</v>
      </c>
      <c r="S211" t="str">
        <f t="shared" si="15"/>
        <v>Lightly Active</v>
      </c>
    </row>
    <row r="212" spans="1:19" x14ac:dyDescent="0.25">
      <c r="A212">
        <v>1503960366</v>
      </c>
      <c r="B212" s="4">
        <v>42679</v>
      </c>
      <c r="C212">
        <v>12770</v>
      </c>
      <c r="D212" s="1">
        <v>8.1300001144409197</v>
      </c>
      <c r="E212" s="1">
        <v>8.1300001144409197</v>
      </c>
      <c r="F212" s="1">
        <v>0</v>
      </c>
      <c r="G212" s="1">
        <v>2.5599999427795401</v>
      </c>
      <c r="H212" s="1">
        <v>1.0099999904632599</v>
      </c>
      <c r="I212" s="1">
        <v>4.5500001907348597</v>
      </c>
      <c r="J212" s="1">
        <v>0</v>
      </c>
      <c r="K212">
        <v>36</v>
      </c>
      <c r="L212">
        <v>23</v>
      </c>
      <c r="M212">
        <v>251</v>
      </c>
      <c r="N212">
        <v>669</v>
      </c>
      <c r="O212">
        <v>1783</v>
      </c>
      <c r="P212" t="str">
        <f t="shared" si="12"/>
        <v>Saturday</v>
      </c>
      <c r="Q212">
        <f t="shared" si="13"/>
        <v>979</v>
      </c>
      <c r="R212" t="str">
        <f t="shared" si="14"/>
        <v>Weekend</v>
      </c>
      <c r="S212" t="str">
        <f t="shared" si="15"/>
        <v>Very_Active</v>
      </c>
    </row>
    <row r="213" spans="1:19" x14ac:dyDescent="0.25">
      <c r="A213">
        <v>1503960366</v>
      </c>
      <c r="B213" s="4">
        <v>42480</v>
      </c>
      <c r="C213">
        <v>10544</v>
      </c>
      <c r="D213" s="1">
        <v>6.6799998283386204</v>
      </c>
      <c r="E213" s="1">
        <v>6.6799998283386204</v>
      </c>
      <c r="F213" s="1">
        <v>0</v>
      </c>
      <c r="G213" s="1">
        <v>1.96000003814697</v>
      </c>
      <c r="H213" s="1">
        <v>0.479999989271164</v>
      </c>
      <c r="I213" s="1">
        <v>4.2399997711181596</v>
      </c>
      <c r="J213" s="1">
        <v>0</v>
      </c>
      <c r="K213">
        <v>28</v>
      </c>
      <c r="L213">
        <v>12</v>
      </c>
      <c r="M213">
        <v>205</v>
      </c>
      <c r="N213">
        <v>818</v>
      </c>
      <c r="O213">
        <v>1786</v>
      </c>
      <c r="P213" t="str">
        <f t="shared" si="12"/>
        <v>Wednesday</v>
      </c>
      <c r="Q213">
        <f t="shared" si="13"/>
        <v>1063</v>
      </c>
      <c r="R213" t="str">
        <f t="shared" si="14"/>
        <v>Weekday</v>
      </c>
      <c r="S213" t="str">
        <f t="shared" si="15"/>
        <v>Very_Active</v>
      </c>
    </row>
    <row r="214" spans="1:19" x14ac:dyDescent="0.25">
      <c r="A214">
        <v>3372868164</v>
      </c>
      <c r="B214" s="4">
        <v>42708</v>
      </c>
      <c r="C214">
        <v>4747</v>
      </c>
      <c r="D214" s="1">
        <v>3.2400000095367401</v>
      </c>
      <c r="E214" s="1">
        <v>3.2400000095367401</v>
      </c>
      <c r="F214" s="1">
        <v>0</v>
      </c>
      <c r="G214" s="1">
        <v>0</v>
      </c>
      <c r="H214" s="1">
        <v>0</v>
      </c>
      <c r="I214" s="1">
        <v>3.2300000190734899</v>
      </c>
      <c r="J214" s="1">
        <v>9.9999997764825804E-3</v>
      </c>
      <c r="K214">
        <v>0</v>
      </c>
      <c r="L214">
        <v>0</v>
      </c>
      <c r="M214">
        <v>280</v>
      </c>
      <c r="N214">
        <v>1160</v>
      </c>
      <c r="O214">
        <v>1788</v>
      </c>
      <c r="P214" t="str">
        <f t="shared" si="12"/>
        <v>Sunday</v>
      </c>
      <c r="Q214">
        <f t="shared" si="13"/>
        <v>1440</v>
      </c>
      <c r="R214" t="str">
        <f t="shared" si="14"/>
        <v>Weekend</v>
      </c>
      <c r="S214" t="str">
        <f t="shared" si="15"/>
        <v>Sedentary</v>
      </c>
    </row>
    <row r="215" spans="1:19" x14ac:dyDescent="0.25">
      <c r="A215">
        <v>4558609924</v>
      </c>
      <c r="B215" s="4">
        <v>42480</v>
      </c>
      <c r="C215">
        <v>4803</v>
      </c>
      <c r="D215" s="1">
        <v>3.1700000762939502</v>
      </c>
      <c r="E215" s="1">
        <v>3.1700000762939502</v>
      </c>
      <c r="F215" s="1">
        <v>0</v>
      </c>
      <c r="G215" s="1">
        <v>0</v>
      </c>
      <c r="H215" s="1">
        <v>0</v>
      </c>
      <c r="I215" s="1">
        <v>3.1700000762939502</v>
      </c>
      <c r="J215" s="1">
        <v>0</v>
      </c>
      <c r="K215">
        <v>0</v>
      </c>
      <c r="L215">
        <v>0</v>
      </c>
      <c r="M215">
        <v>222</v>
      </c>
      <c r="N215">
        <v>1218</v>
      </c>
      <c r="O215">
        <v>1788</v>
      </c>
      <c r="P215" t="str">
        <f t="shared" si="12"/>
        <v>Wednesday</v>
      </c>
      <c r="Q215">
        <f t="shared" si="13"/>
        <v>1440</v>
      </c>
      <c r="R215" t="str">
        <f t="shared" si="14"/>
        <v>Weekday</v>
      </c>
      <c r="S215" t="str">
        <f t="shared" si="15"/>
        <v>Sedentary</v>
      </c>
    </row>
    <row r="216" spans="1:19" x14ac:dyDescent="0.25">
      <c r="A216">
        <v>1503960366</v>
      </c>
      <c r="B216" s="4">
        <v>42484</v>
      </c>
      <c r="C216">
        <v>10039</v>
      </c>
      <c r="D216" s="1">
        <v>6.4099998474121103</v>
      </c>
      <c r="E216" s="1">
        <v>6.4099998474121103</v>
      </c>
      <c r="F216" s="1">
        <v>0</v>
      </c>
      <c r="G216" s="1">
        <v>2.9200000762939502</v>
      </c>
      <c r="H216" s="1">
        <v>0.20999999344348899</v>
      </c>
      <c r="I216" s="1">
        <v>3.2799999713897701</v>
      </c>
      <c r="J216" s="1">
        <v>0</v>
      </c>
      <c r="K216">
        <v>39</v>
      </c>
      <c r="L216">
        <v>5</v>
      </c>
      <c r="M216">
        <v>238</v>
      </c>
      <c r="N216">
        <v>709</v>
      </c>
      <c r="O216">
        <v>1788</v>
      </c>
      <c r="P216" t="str">
        <f t="shared" si="12"/>
        <v>Sunday</v>
      </c>
      <c r="Q216">
        <f t="shared" si="13"/>
        <v>991</v>
      </c>
      <c r="R216" t="str">
        <f t="shared" si="14"/>
        <v>Weekend</v>
      </c>
      <c r="S216" t="str">
        <f t="shared" si="15"/>
        <v>Very_Active</v>
      </c>
    </row>
    <row r="217" spans="1:19" x14ac:dyDescent="0.25">
      <c r="A217">
        <v>4319703577</v>
      </c>
      <c r="B217" s="4">
        <v>42587</v>
      </c>
      <c r="C217">
        <v>3672</v>
      </c>
      <c r="D217" s="1">
        <v>2.46000003814697</v>
      </c>
      <c r="E217" s="1">
        <v>2.46000003814697</v>
      </c>
      <c r="F217" s="1">
        <v>0</v>
      </c>
      <c r="G217" s="1">
        <v>0</v>
      </c>
      <c r="H217" s="1">
        <v>0</v>
      </c>
      <c r="I217" s="1">
        <v>2.46000003814697</v>
      </c>
      <c r="J217" s="1">
        <v>0</v>
      </c>
      <c r="K217">
        <v>0</v>
      </c>
      <c r="L217">
        <v>0</v>
      </c>
      <c r="M217">
        <v>153</v>
      </c>
      <c r="N217">
        <v>603</v>
      </c>
      <c r="O217">
        <v>1792</v>
      </c>
      <c r="P217" t="str">
        <f t="shared" si="12"/>
        <v>Friday</v>
      </c>
      <c r="Q217">
        <f t="shared" si="13"/>
        <v>756</v>
      </c>
      <c r="R217" t="str">
        <f t="shared" si="14"/>
        <v>Weekday</v>
      </c>
      <c r="S217" t="str">
        <f t="shared" si="15"/>
        <v>Sedentary</v>
      </c>
    </row>
    <row r="218" spans="1:19" x14ac:dyDescent="0.25">
      <c r="A218">
        <v>4319703577</v>
      </c>
      <c r="B218" s="4">
        <v>42481</v>
      </c>
      <c r="C218">
        <v>3702</v>
      </c>
      <c r="D218" s="1">
        <v>2.4800000190734899</v>
      </c>
      <c r="E218" s="1">
        <v>2.4800000190734899</v>
      </c>
      <c r="F218" s="1">
        <v>0</v>
      </c>
      <c r="G218" s="1">
        <v>0</v>
      </c>
      <c r="H218" s="1">
        <v>0</v>
      </c>
      <c r="I218" s="1">
        <v>0.34999999403953602</v>
      </c>
      <c r="J218" s="1">
        <v>0</v>
      </c>
      <c r="K218">
        <v>0</v>
      </c>
      <c r="L218">
        <v>0</v>
      </c>
      <c r="M218">
        <v>34</v>
      </c>
      <c r="N218">
        <v>1265</v>
      </c>
      <c r="O218">
        <v>1792</v>
      </c>
      <c r="P218" t="str">
        <f t="shared" si="12"/>
        <v>Thursday</v>
      </c>
      <c r="Q218">
        <f t="shared" si="13"/>
        <v>1299</v>
      </c>
      <c r="R218" t="str">
        <f t="shared" si="14"/>
        <v>Weekday</v>
      </c>
      <c r="S218" t="str">
        <f t="shared" si="15"/>
        <v>Sedentary</v>
      </c>
    </row>
    <row r="219" spans="1:19" x14ac:dyDescent="0.25">
      <c r="A219">
        <v>1844505072</v>
      </c>
      <c r="B219" s="4">
        <v>42477</v>
      </c>
      <c r="C219">
        <v>4525</v>
      </c>
      <c r="D219" s="1">
        <v>2.9900000095367401</v>
      </c>
      <c r="E219" s="1">
        <v>2.9900000095367401</v>
      </c>
      <c r="F219" s="1">
        <v>0</v>
      </c>
      <c r="G219" s="1">
        <v>0.140000000596046</v>
      </c>
      <c r="H219" s="1">
        <v>0.259999990463257</v>
      </c>
      <c r="I219" s="1">
        <v>2.5899999141693102</v>
      </c>
      <c r="J219" s="1">
        <v>0</v>
      </c>
      <c r="K219">
        <v>2</v>
      </c>
      <c r="L219">
        <v>8</v>
      </c>
      <c r="M219">
        <v>199</v>
      </c>
      <c r="N219">
        <v>1231</v>
      </c>
      <c r="O219">
        <v>1793</v>
      </c>
      <c r="P219" t="str">
        <f t="shared" si="12"/>
        <v>Sunday</v>
      </c>
      <c r="Q219">
        <f t="shared" si="13"/>
        <v>1440</v>
      </c>
      <c r="R219" t="str">
        <f t="shared" si="14"/>
        <v>Weekend</v>
      </c>
      <c r="S219" t="str">
        <f t="shared" si="15"/>
        <v>Sedentary</v>
      </c>
    </row>
    <row r="220" spans="1:19" x14ac:dyDescent="0.25">
      <c r="A220">
        <v>1503960366</v>
      </c>
      <c r="B220" s="4">
        <v>42473</v>
      </c>
      <c r="C220">
        <v>10735</v>
      </c>
      <c r="D220" s="1">
        <v>6.9699997901916504</v>
      </c>
      <c r="E220" s="1">
        <v>6.9699997901916504</v>
      </c>
      <c r="F220" s="1">
        <v>0</v>
      </c>
      <c r="G220" s="1">
        <v>1.5700000524520901</v>
      </c>
      <c r="H220" s="1">
        <v>0.68999999761581399</v>
      </c>
      <c r="I220" s="1">
        <v>4.71000003814697</v>
      </c>
      <c r="J220" s="1">
        <v>0</v>
      </c>
      <c r="K220">
        <v>21</v>
      </c>
      <c r="L220">
        <v>19</v>
      </c>
      <c r="M220">
        <v>217</v>
      </c>
      <c r="N220">
        <v>776</v>
      </c>
      <c r="O220">
        <v>1797</v>
      </c>
      <c r="P220" t="str">
        <f t="shared" si="12"/>
        <v>Wednesday</v>
      </c>
      <c r="Q220">
        <f t="shared" si="13"/>
        <v>1033</v>
      </c>
      <c r="R220" t="str">
        <f t="shared" si="14"/>
        <v>Weekday</v>
      </c>
      <c r="S220" t="str">
        <f t="shared" si="15"/>
        <v>Very_Active</v>
      </c>
    </row>
    <row r="221" spans="1:19" x14ac:dyDescent="0.25">
      <c r="A221">
        <v>8792009665</v>
      </c>
      <c r="B221" s="4">
        <v>42484</v>
      </c>
      <c r="C221">
        <v>400</v>
      </c>
      <c r="D221" s="1">
        <v>0.259999990463257</v>
      </c>
      <c r="E221" s="1">
        <v>0.259999990463257</v>
      </c>
      <c r="F221" s="1">
        <v>0</v>
      </c>
      <c r="G221" s="1">
        <v>3.9999999105930301E-2</v>
      </c>
      <c r="H221" s="1">
        <v>5.0000000745058101E-2</v>
      </c>
      <c r="I221" s="1">
        <v>0.15999999642372101</v>
      </c>
      <c r="J221" s="1">
        <v>0</v>
      </c>
      <c r="K221">
        <v>3</v>
      </c>
      <c r="L221">
        <v>8</v>
      </c>
      <c r="M221">
        <v>19</v>
      </c>
      <c r="N221">
        <v>1410</v>
      </c>
      <c r="O221">
        <v>1799</v>
      </c>
      <c r="P221" t="str">
        <f t="shared" si="12"/>
        <v>Sunday</v>
      </c>
      <c r="Q221">
        <f t="shared" si="13"/>
        <v>1440</v>
      </c>
      <c r="R221" t="str">
        <f t="shared" si="14"/>
        <v>Weekend</v>
      </c>
      <c r="S221" t="str">
        <f t="shared" si="15"/>
        <v>Sedentary</v>
      </c>
    </row>
    <row r="222" spans="1:19" x14ac:dyDescent="0.25">
      <c r="A222">
        <v>2320127002</v>
      </c>
      <c r="B222" s="4">
        <v>42475</v>
      </c>
      <c r="C222">
        <v>5205</v>
      </c>
      <c r="D222" s="1">
        <v>3.5099999904632599</v>
      </c>
      <c r="E222" s="1">
        <v>3.5099999904632599</v>
      </c>
      <c r="F222" s="1">
        <v>0</v>
      </c>
      <c r="G222" s="1">
        <v>0</v>
      </c>
      <c r="H222" s="1">
        <v>0</v>
      </c>
      <c r="I222" s="1">
        <v>3.5099999904632599</v>
      </c>
      <c r="J222" s="1">
        <v>0</v>
      </c>
      <c r="K222">
        <v>0</v>
      </c>
      <c r="L222">
        <v>0</v>
      </c>
      <c r="M222">
        <v>245</v>
      </c>
      <c r="N222">
        <v>1195</v>
      </c>
      <c r="O222">
        <v>1801</v>
      </c>
      <c r="P222" t="str">
        <f t="shared" si="12"/>
        <v>Friday</v>
      </c>
      <c r="Q222">
        <f t="shared" si="13"/>
        <v>1440</v>
      </c>
      <c r="R222" t="str">
        <f t="shared" si="14"/>
        <v>Weekday</v>
      </c>
      <c r="S222" t="str">
        <f t="shared" si="15"/>
        <v>Lightly Active</v>
      </c>
    </row>
    <row r="223" spans="1:19" x14ac:dyDescent="0.25">
      <c r="A223">
        <v>2320127002</v>
      </c>
      <c r="B223" s="4">
        <v>42483</v>
      </c>
      <c r="C223">
        <v>5079</v>
      </c>
      <c r="D223" s="1">
        <v>3.4200000762939502</v>
      </c>
      <c r="E223" s="1">
        <v>3.4200000762939502</v>
      </c>
      <c r="F223" s="1">
        <v>0</v>
      </c>
      <c r="G223" s="1">
        <v>0</v>
      </c>
      <c r="H223" s="1">
        <v>0</v>
      </c>
      <c r="I223" s="1">
        <v>3.4200000762939502</v>
      </c>
      <c r="J223" s="1">
        <v>0</v>
      </c>
      <c r="K223">
        <v>0</v>
      </c>
      <c r="L223">
        <v>0</v>
      </c>
      <c r="M223">
        <v>242</v>
      </c>
      <c r="N223">
        <v>1129</v>
      </c>
      <c r="O223">
        <v>1804</v>
      </c>
      <c r="P223" t="str">
        <f t="shared" si="12"/>
        <v>Saturday</v>
      </c>
      <c r="Q223">
        <f t="shared" si="13"/>
        <v>1371</v>
      </c>
      <c r="R223" t="str">
        <f t="shared" si="14"/>
        <v>Weekend</v>
      </c>
      <c r="S223" t="str">
        <f t="shared" si="15"/>
        <v>Lightly Active</v>
      </c>
    </row>
    <row r="224" spans="1:19" x14ac:dyDescent="0.25">
      <c r="A224">
        <v>2320127002</v>
      </c>
      <c r="B224" s="4">
        <v>42479</v>
      </c>
      <c r="C224">
        <v>5997</v>
      </c>
      <c r="D224" s="1">
        <v>4.03999996185303</v>
      </c>
      <c r="E224" s="1">
        <v>4.03999996185303</v>
      </c>
      <c r="F224" s="1">
        <v>0</v>
      </c>
      <c r="G224" s="1">
        <v>0</v>
      </c>
      <c r="H224" s="1">
        <v>0.37999999523162797</v>
      </c>
      <c r="I224" s="1">
        <v>3.6600000858306898</v>
      </c>
      <c r="J224" s="1">
        <v>0</v>
      </c>
      <c r="K224">
        <v>0</v>
      </c>
      <c r="L224">
        <v>11</v>
      </c>
      <c r="M224">
        <v>228</v>
      </c>
      <c r="N224">
        <v>1201</v>
      </c>
      <c r="O224">
        <v>1811</v>
      </c>
      <c r="P224" t="str">
        <f t="shared" si="12"/>
        <v>Tuesday</v>
      </c>
      <c r="Q224">
        <f t="shared" si="13"/>
        <v>1440</v>
      </c>
      <c r="R224" t="str">
        <f t="shared" si="14"/>
        <v>Weekday</v>
      </c>
      <c r="S224" t="str">
        <f t="shared" si="15"/>
        <v>Lightly Active</v>
      </c>
    </row>
    <row r="225" spans="1:19" x14ac:dyDescent="0.25">
      <c r="A225">
        <v>8253242879</v>
      </c>
      <c r="B225" s="4">
        <v>42486</v>
      </c>
      <c r="C225">
        <v>4562</v>
      </c>
      <c r="D225" s="1">
        <v>3.03999996185303</v>
      </c>
      <c r="E225" s="1">
        <v>3.03999996185303</v>
      </c>
      <c r="F225" s="1">
        <v>0</v>
      </c>
      <c r="G225" s="1">
        <v>1.1799999475479099</v>
      </c>
      <c r="H225" s="1">
        <v>0.490000009536743</v>
      </c>
      <c r="I225" s="1">
        <v>1.37000000476837</v>
      </c>
      <c r="J225" s="1">
        <v>0</v>
      </c>
      <c r="K225">
        <v>19</v>
      </c>
      <c r="L225">
        <v>14</v>
      </c>
      <c r="M225">
        <v>108</v>
      </c>
      <c r="N225">
        <v>1299</v>
      </c>
      <c r="O225">
        <v>1813</v>
      </c>
      <c r="P225" t="str">
        <f t="shared" si="12"/>
        <v>Tuesday</v>
      </c>
      <c r="Q225">
        <f t="shared" si="13"/>
        <v>1440</v>
      </c>
      <c r="R225" t="str">
        <f t="shared" si="14"/>
        <v>Weekday</v>
      </c>
      <c r="S225" t="str">
        <f t="shared" si="15"/>
        <v>Sedentary</v>
      </c>
    </row>
    <row r="226" spans="1:19" x14ac:dyDescent="0.25">
      <c r="A226">
        <v>1844505072</v>
      </c>
      <c r="B226" s="4">
        <v>42478</v>
      </c>
      <c r="C226">
        <v>4597</v>
      </c>
      <c r="D226" s="1">
        <v>3.03999996185303</v>
      </c>
      <c r="E226" s="1">
        <v>3.03999996185303</v>
      </c>
      <c r="F226" s="1">
        <v>0</v>
      </c>
      <c r="G226" s="1">
        <v>0</v>
      </c>
      <c r="H226" s="1">
        <v>0.479999989271164</v>
      </c>
      <c r="I226" s="1">
        <v>2.5599999427795401</v>
      </c>
      <c r="J226" s="1">
        <v>0</v>
      </c>
      <c r="K226">
        <v>0</v>
      </c>
      <c r="L226">
        <v>12</v>
      </c>
      <c r="M226">
        <v>217</v>
      </c>
      <c r="N226">
        <v>1211</v>
      </c>
      <c r="O226">
        <v>1814</v>
      </c>
      <c r="P226" t="str">
        <f t="shared" si="12"/>
        <v>Monday</v>
      </c>
      <c r="Q226">
        <f t="shared" si="13"/>
        <v>1440</v>
      </c>
      <c r="R226" t="str">
        <f t="shared" si="14"/>
        <v>Weekday</v>
      </c>
      <c r="S226" t="str">
        <f t="shared" si="15"/>
        <v>Sedentary</v>
      </c>
    </row>
    <row r="227" spans="1:19" x14ac:dyDescent="0.25">
      <c r="A227">
        <v>5577150313</v>
      </c>
      <c r="B227" s="4">
        <v>42556</v>
      </c>
      <c r="C227">
        <v>0</v>
      </c>
      <c r="D227" s="1">
        <v>0</v>
      </c>
      <c r="E227" s="1">
        <v>0</v>
      </c>
      <c r="F227" s="1">
        <v>0</v>
      </c>
      <c r="G227" s="1">
        <v>0</v>
      </c>
      <c r="H227" s="1">
        <v>0</v>
      </c>
      <c r="I227" s="1">
        <v>0</v>
      </c>
      <c r="J227" s="1">
        <v>0</v>
      </c>
      <c r="K227">
        <v>0</v>
      </c>
      <c r="L227">
        <v>0</v>
      </c>
      <c r="M227">
        <v>0</v>
      </c>
      <c r="N227">
        <v>1440</v>
      </c>
      <c r="O227">
        <v>1819</v>
      </c>
      <c r="P227" t="str">
        <f t="shared" si="12"/>
        <v>Tuesday</v>
      </c>
      <c r="Q227">
        <f t="shared" si="13"/>
        <v>1440</v>
      </c>
      <c r="R227" t="str">
        <f t="shared" si="14"/>
        <v>Weekday</v>
      </c>
      <c r="S227" t="str">
        <f t="shared" si="15"/>
        <v>Sedentary</v>
      </c>
    </row>
    <row r="228" spans="1:19" x14ac:dyDescent="0.25">
      <c r="A228">
        <v>5577150313</v>
      </c>
      <c r="B228" s="4">
        <v>42587</v>
      </c>
      <c r="C228">
        <v>0</v>
      </c>
      <c r="D228" s="1">
        <v>0</v>
      </c>
      <c r="E228" s="1">
        <v>0</v>
      </c>
      <c r="F228" s="1">
        <v>0</v>
      </c>
      <c r="G228" s="1">
        <v>0</v>
      </c>
      <c r="H228" s="1">
        <v>0</v>
      </c>
      <c r="I228" s="1">
        <v>0</v>
      </c>
      <c r="J228" s="1">
        <v>0</v>
      </c>
      <c r="K228">
        <v>0</v>
      </c>
      <c r="L228">
        <v>0</v>
      </c>
      <c r="M228">
        <v>0</v>
      </c>
      <c r="N228">
        <v>1440</v>
      </c>
      <c r="O228">
        <v>1819</v>
      </c>
      <c r="P228" t="str">
        <f t="shared" si="12"/>
        <v>Friday</v>
      </c>
      <c r="Q228">
        <f t="shared" si="13"/>
        <v>1440</v>
      </c>
      <c r="R228" t="str">
        <f t="shared" si="14"/>
        <v>Weekday</v>
      </c>
      <c r="S228" t="str">
        <f t="shared" si="15"/>
        <v>Sedentary</v>
      </c>
    </row>
    <row r="229" spans="1:19" x14ac:dyDescent="0.25">
      <c r="A229">
        <v>1503960366</v>
      </c>
      <c r="B229" s="4">
        <v>42465</v>
      </c>
      <c r="C229">
        <v>11100</v>
      </c>
      <c r="D229" s="1">
        <v>7.1500000953674299</v>
      </c>
      <c r="E229" s="1">
        <v>7.1500000953674299</v>
      </c>
      <c r="F229" s="1">
        <v>0</v>
      </c>
      <c r="G229" s="1">
        <v>2.46000003814697</v>
      </c>
      <c r="H229" s="1">
        <v>0.87000000476837203</v>
      </c>
      <c r="I229" s="1">
        <v>3.8199999332428001</v>
      </c>
      <c r="J229" s="1">
        <v>0</v>
      </c>
      <c r="K229">
        <v>36</v>
      </c>
      <c r="L229">
        <v>22</v>
      </c>
      <c r="M229">
        <v>203</v>
      </c>
      <c r="N229">
        <v>1179</v>
      </c>
      <c r="O229">
        <v>1819</v>
      </c>
      <c r="P229" t="str">
        <f t="shared" si="12"/>
        <v>Tuesday</v>
      </c>
      <c r="Q229">
        <f t="shared" si="13"/>
        <v>1440</v>
      </c>
      <c r="R229" t="str">
        <f t="shared" si="14"/>
        <v>Weekday</v>
      </c>
      <c r="S229" t="str">
        <f t="shared" si="15"/>
        <v>Very_Active</v>
      </c>
    </row>
    <row r="230" spans="1:19" x14ac:dyDescent="0.25">
      <c r="A230">
        <v>1503960366</v>
      </c>
      <c r="B230" s="4">
        <v>42618</v>
      </c>
      <c r="C230">
        <v>12022</v>
      </c>
      <c r="D230" s="1">
        <v>7.7199997901916504</v>
      </c>
      <c r="E230" s="1">
        <v>7.7199997901916504</v>
      </c>
      <c r="F230" s="1">
        <v>0</v>
      </c>
      <c r="G230" s="1">
        <v>3.4500000476837198</v>
      </c>
      <c r="H230" s="1">
        <v>0.52999997138977095</v>
      </c>
      <c r="I230" s="1">
        <v>3.7400000095367401</v>
      </c>
      <c r="J230" s="1">
        <v>0</v>
      </c>
      <c r="K230">
        <v>46</v>
      </c>
      <c r="L230">
        <v>11</v>
      </c>
      <c r="M230">
        <v>206</v>
      </c>
      <c r="N230">
        <v>835</v>
      </c>
      <c r="O230">
        <v>1819</v>
      </c>
      <c r="P230" t="str">
        <f t="shared" si="12"/>
        <v>Monday</v>
      </c>
      <c r="Q230">
        <f t="shared" si="13"/>
        <v>1098</v>
      </c>
      <c r="R230" t="str">
        <f t="shared" si="14"/>
        <v>Weekday</v>
      </c>
      <c r="S230" t="str">
        <f t="shared" si="15"/>
        <v>Very_Active</v>
      </c>
    </row>
    <row r="231" spans="1:19" x14ac:dyDescent="0.25">
      <c r="A231">
        <v>1503960366</v>
      </c>
      <c r="B231" s="4">
        <v>42374</v>
      </c>
      <c r="C231">
        <v>10602</v>
      </c>
      <c r="D231" s="1">
        <v>6.8099999427795401</v>
      </c>
      <c r="E231" s="1">
        <v>6.8099999427795401</v>
      </c>
      <c r="F231" s="1">
        <v>0</v>
      </c>
      <c r="G231" s="1">
        <v>2.28999996185303</v>
      </c>
      <c r="H231" s="1">
        <v>1.6000000238418599</v>
      </c>
      <c r="I231" s="1">
        <v>2.9200000762939502</v>
      </c>
      <c r="J231" s="1">
        <v>0</v>
      </c>
      <c r="K231">
        <v>33</v>
      </c>
      <c r="L231">
        <v>35</v>
      </c>
      <c r="M231">
        <v>246</v>
      </c>
      <c r="N231">
        <v>730</v>
      </c>
      <c r="O231">
        <v>1820</v>
      </c>
      <c r="P231" t="str">
        <f t="shared" si="12"/>
        <v>Tuesday</v>
      </c>
      <c r="Q231">
        <f t="shared" si="13"/>
        <v>1044</v>
      </c>
      <c r="R231" t="str">
        <f t="shared" si="14"/>
        <v>Weekday</v>
      </c>
      <c r="S231" t="str">
        <f t="shared" si="15"/>
        <v>Very_Active</v>
      </c>
    </row>
    <row r="232" spans="1:19" x14ac:dyDescent="0.25">
      <c r="A232">
        <v>2320127002</v>
      </c>
      <c r="B232" s="4">
        <v>42587</v>
      </c>
      <c r="C232">
        <v>5161</v>
      </c>
      <c r="D232" s="1">
        <v>3.4800000190734899</v>
      </c>
      <c r="E232" s="1">
        <v>3.4800000190734899</v>
      </c>
      <c r="F232" s="1">
        <v>0</v>
      </c>
      <c r="G232" s="1">
        <v>0</v>
      </c>
      <c r="H232" s="1">
        <v>0</v>
      </c>
      <c r="I232" s="1">
        <v>3.4700000286102299</v>
      </c>
      <c r="J232" s="1">
        <v>0</v>
      </c>
      <c r="K232">
        <v>0</v>
      </c>
      <c r="L232">
        <v>0</v>
      </c>
      <c r="M232">
        <v>247</v>
      </c>
      <c r="N232">
        <v>1193</v>
      </c>
      <c r="O232">
        <v>1821</v>
      </c>
      <c r="P232" t="str">
        <f t="shared" si="12"/>
        <v>Friday</v>
      </c>
      <c r="Q232">
        <f t="shared" si="13"/>
        <v>1440</v>
      </c>
      <c r="R232" t="str">
        <f t="shared" si="14"/>
        <v>Weekday</v>
      </c>
      <c r="S232" t="str">
        <f t="shared" si="15"/>
        <v>Lightly Active</v>
      </c>
    </row>
    <row r="233" spans="1:19" x14ac:dyDescent="0.25">
      <c r="A233">
        <v>1503960366</v>
      </c>
      <c r="B233" s="4">
        <v>42556</v>
      </c>
      <c r="C233">
        <v>11992</v>
      </c>
      <c r="D233" s="1">
        <v>7.71000003814697</v>
      </c>
      <c r="E233" s="1">
        <v>7.71000003814697</v>
      </c>
      <c r="F233" s="1">
        <v>0</v>
      </c>
      <c r="G233" s="1">
        <v>2.46000003814697</v>
      </c>
      <c r="H233" s="1">
        <v>2.1199998855590798</v>
      </c>
      <c r="I233" s="1">
        <v>3.1300001144409202</v>
      </c>
      <c r="J233" s="1">
        <v>0</v>
      </c>
      <c r="K233">
        <v>37</v>
      </c>
      <c r="L233">
        <v>46</v>
      </c>
      <c r="M233">
        <v>175</v>
      </c>
      <c r="N233">
        <v>833</v>
      </c>
      <c r="O233">
        <v>1821</v>
      </c>
      <c r="P233" t="str">
        <f t="shared" si="12"/>
        <v>Tuesday</v>
      </c>
      <c r="Q233">
        <f t="shared" si="13"/>
        <v>1091</v>
      </c>
      <c r="R233" t="str">
        <f t="shared" si="14"/>
        <v>Weekday</v>
      </c>
      <c r="S233" t="str">
        <f t="shared" si="15"/>
        <v>Very_Active</v>
      </c>
    </row>
    <row r="234" spans="1:19" x14ac:dyDescent="0.25">
      <c r="A234">
        <v>2873212765</v>
      </c>
      <c r="B234" s="4">
        <v>42679</v>
      </c>
      <c r="C234">
        <v>6440</v>
      </c>
      <c r="D234" s="1">
        <v>4.3299999237060502</v>
      </c>
      <c r="E234" s="1">
        <v>4.3299999237060502</v>
      </c>
      <c r="F234" s="1">
        <v>0</v>
      </c>
      <c r="G234" s="1">
        <v>0</v>
      </c>
      <c r="H234" s="1">
        <v>0</v>
      </c>
      <c r="I234" s="1">
        <v>4.3200001716613796</v>
      </c>
      <c r="J234" s="1">
        <v>9.9999997764825804E-3</v>
      </c>
      <c r="K234">
        <v>0</v>
      </c>
      <c r="L234">
        <v>0</v>
      </c>
      <c r="M234">
        <v>319</v>
      </c>
      <c r="N234">
        <v>1121</v>
      </c>
      <c r="O234">
        <v>1826</v>
      </c>
      <c r="P234" t="str">
        <f t="shared" si="12"/>
        <v>Saturday</v>
      </c>
      <c r="Q234">
        <f t="shared" si="13"/>
        <v>1440</v>
      </c>
      <c r="R234" t="str">
        <f t="shared" si="14"/>
        <v>Weekend</v>
      </c>
      <c r="S234" t="str">
        <f t="shared" si="15"/>
        <v>Lightly Active</v>
      </c>
    </row>
    <row r="235" spans="1:19" x14ac:dyDescent="0.25">
      <c r="A235">
        <v>1844505072</v>
      </c>
      <c r="B235" s="4">
        <v>42482</v>
      </c>
      <c r="C235">
        <v>5372</v>
      </c>
      <c r="D235" s="1">
        <v>3.5499999523162802</v>
      </c>
      <c r="E235" s="1">
        <v>3.5499999523162802</v>
      </c>
      <c r="F235" s="1">
        <v>0</v>
      </c>
      <c r="G235" s="1">
        <v>0</v>
      </c>
      <c r="H235" s="1">
        <v>0</v>
      </c>
      <c r="I235" s="1">
        <v>3.5499999523162802</v>
      </c>
      <c r="J235" s="1">
        <v>0</v>
      </c>
      <c r="K235">
        <v>0</v>
      </c>
      <c r="L235">
        <v>0</v>
      </c>
      <c r="M235">
        <v>220</v>
      </c>
      <c r="N235">
        <v>1220</v>
      </c>
      <c r="O235">
        <v>1827</v>
      </c>
      <c r="P235" t="str">
        <f t="shared" si="12"/>
        <v>Friday</v>
      </c>
      <c r="Q235">
        <f t="shared" si="13"/>
        <v>1440</v>
      </c>
      <c r="R235" t="str">
        <f t="shared" si="14"/>
        <v>Weekday</v>
      </c>
      <c r="S235" t="str">
        <f t="shared" si="15"/>
        <v>Lightly Active</v>
      </c>
    </row>
    <row r="236" spans="1:19" x14ac:dyDescent="0.25">
      <c r="A236">
        <v>1503960366</v>
      </c>
      <c r="B236" s="4">
        <v>42482</v>
      </c>
      <c r="C236">
        <v>12764</v>
      </c>
      <c r="D236" s="1">
        <v>8.1300001144409197</v>
      </c>
      <c r="E236" s="1">
        <v>8.1300001144409197</v>
      </c>
      <c r="F236" s="1">
        <v>0</v>
      </c>
      <c r="G236" s="1">
        <v>4.7600002288818404</v>
      </c>
      <c r="H236" s="1">
        <v>1.12000000476837</v>
      </c>
      <c r="I236" s="1">
        <v>2.2400000095367401</v>
      </c>
      <c r="J236" s="1">
        <v>0</v>
      </c>
      <c r="K236">
        <v>66</v>
      </c>
      <c r="L236">
        <v>27</v>
      </c>
      <c r="M236">
        <v>130</v>
      </c>
      <c r="N236">
        <v>1217</v>
      </c>
      <c r="O236">
        <v>1827</v>
      </c>
      <c r="P236" t="str">
        <f t="shared" si="12"/>
        <v>Friday</v>
      </c>
      <c r="Q236">
        <f t="shared" si="13"/>
        <v>1440</v>
      </c>
      <c r="R236" t="str">
        <f t="shared" si="14"/>
        <v>Weekday</v>
      </c>
      <c r="S236" t="str">
        <f t="shared" si="15"/>
        <v>Very_Active</v>
      </c>
    </row>
    <row r="237" spans="1:19" x14ac:dyDescent="0.25">
      <c r="A237">
        <v>8253242879</v>
      </c>
      <c r="B237" s="4">
        <v>42478</v>
      </c>
      <c r="C237">
        <v>5151</v>
      </c>
      <c r="D237" s="1">
        <v>3.4800000190734899</v>
      </c>
      <c r="E237" s="1">
        <v>3.4800000190734899</v>
      </c>
      <c r="F237" s="1">
        <v>0</v>
      </c>
      <c r="G237" s="1">
        <v>1.03999996185303</v>
      </c>
      <c r="H237" s="1">
        <v>0.62999999523162797</v>
      </c>
      <c r="I237" s="1">
        <v>1.79999995231628</v>
      </c>
      <c r="J237" s="1">
        <v>0</v>
      </c>
      <c r="K237">
        <v>16</v>
      </c>
      <c r="L237">
        <v>16</v>
      </c>
      <c r="M237">
        <v>130</v>
      </c>
      <c r="N237">
        <v>1278</v>
      </c>
      <c r="O237">
        <v>1829</v>
      </c>
      <c r="P237" t="str">
        <f t="shared" si="12"/>
        <v>Monday</v>
      </c>
      <c r="Q237">
        <f t="shared" si="13"/>
        <v>1440</v>
      </c>
      <c r="R237" t="str">
        <f t="shared" si="14"/>
        <v>Weekday</v>
      </c>
      <c r="S237" t="str">
        <f t="shared" si="15"/>
        <v>Lightly Active</v>
      </c>
    </row>
    <row r="238" spans="1:19" x14ac:dyDescent="0.25">
      <c r="A238">
        <v>2873212765</v>
      </c>
      <c r="B238" s="4">
        <v>42490</v>
      </c>
      <c r="C238">
        <v>8452</v>
      </c>
      <c r="D238" s="1">
        <v>5.6799998283386204</v>
      </c>
      <c r="E238" s="1">
        <v>5.6799998283386204</v>
      </c>
      <c r="F238" s="1">
        <v>0</v>
      </c>
      <c r="G238" s="1">
        <v>0.33000001311302202</v>
      </c>
      <c r="H238" s="1">
        <v>1.08000004291534</v>
      </c>
      <c r="I238" s="1">
        <v>4.2600002288818404</v>
      </c>
      <c r="J238" s="1">
        <v>9.9999997764825804E-3</v>
      </c>
      <c r="K238">
        <v>5</v>
      </c>
      <c r="L238">
        <v>20</v>
      </c>
      <c r="M238">
        <v>248</v>
      </c>
      <c r="N238">
        <v>1167</v>
      </c>
      <c r="O238">
        <v>1830</v>
      </c>
      <c r="P238" t="str">
        <f t="shared" si="12"/>
        <v>Saturday</v>
      </c>
      <c r="Q238">
        <f t="shared" si="13"/>
        <v>1440</v>
      </c>
      <c r="R238" t="str">
        <f t="shared" si="14"/>
        <v>Weekend</v>
      </c>
      <c r="S238" t="str">
        <f t="shared" si="15"/>
        <v>Fairly Active</v>
      </c>
    </row>
    <row r="239" spans="1:19" x14ac:dyDescent="0.25">
      <c r="A239">
        <v>5553957443</v>
      </c>
      <c r="B239" s="4">
        <v>42476</v>
      </c>
      <c r="C239">
        <v>5771</v>
      </c>
      <c r="D239" s="1">
        <v>3.7699999809265101</v>
      </c>
      <c r="E239" s="1">
        <v>3.7699999809265101</v>
      </c>
      <c r="F239" s="1">
        <v>0</v>
      </c>
      <c r="G239" s="1">
        <v>0</v>
      </c>
      <c r="H239" s="1">
        <v>0</v>
      </c>
      <c r="I239" s="1">
        <v>3.7699999809265101</v>
      </c>
      <c r="J239" s="1">
        <v>0</v>
      </c>
      <c r="K239">
        <v>0</v>
      </c>
      <c r="L239">
        <v>0</v>
      </c>
      <c r="M239">
        <v>288</v>
      </c>
      <c r="N239">
        <v>521</v>
      </c>
      <c r="O239">
        <v>1831</v>
      </c>
      <c r="P239" t="str">
        <f t="shared" si="12"/>
        <v>Saturday</v>
      </c>
      <c r="Q239">
        <f t="shared" si="13"/>
        <v>809</v>
      </c>
      <c r="R239" t="str">
        <f t="shared" si="14"/>
        <v>Weekend</v>
      </c>
      <c r="S239" t="str">
        <f t="shared" si="15"/>
        <v>Lightly Active</v>
      </c>
    </row>
    <row r="240" spans="1:19" x14ac:dyDescent="0.25">
      <c r="A240">
        <v>2873212765</v>
      </c>
      <c r="B240" s="4">
        <v>42488</v>
      </c>
      <c r="C240">
        <v>7913</v>
      </c>
      <c r="D240" s="1">
        <v>5.4099998474121103</v>
      </c>
      <c r="E240" s="1">
        <v>5.4099998474121103</v>
      </c>
      <c r="F240" s="1">
        <v>0</v>
      </c>
      <c r="G240" s="1">
        <v>2.1600000858306898</v>
      </c>
      <c r="H240" s="1">
        <v>0.34000000357627902</v>
      </c>
      <c r="I240" s="1">
        <v>2.9100000858306898</v>
      </c>
      <c r="J240" s="1">
        <v>0</v>
      </c>
      <c r="K240">
        <v>28</v>
      </c>
      <c r="L240">
        <v>7</v>
      </c>
      <c r="M240">
        <v>213</v>
      </c>
      <c r="N240">
        <v>1192</v>
      </c>
      <c r="O240">
        <v>1835</v>
      </c>
      <c r="P240" t="str">
        <f t="shared" si="12"/>
        <v>Thursday</v>
      </c>
      <c r="Q240">
        <f t="shared" si="13"/>
        <v>1440</v>
      </c>
      <c r="R240" t="str">
        <f t="shared" si="14"/>
        <v>Weekday</v>
      </c>
      <c r="S240" t="str">
        <f t="shared" si="15"/>
        <v>Fairly Active</v>
      </c>
    </row>
    <row r="241" spans="1:19" x14ac:dyDescent="0.25">
      <c r="A241">
        <v>1503960366</v>
      </c>
      <c r="B241" s="4">
        <v>42489</v>
      </c>
      <c r="C241">
        <v>11181</v>
      </c>
      <c r="D241" s="1">
        <v>7.1500000953674299</v>
      </c>
      <c r="E241" s="1">
        <v>7.1500000953674299</v>
      </c>
      <c r="F241" s="1">
        <v>0</v>
      </c>
      <c r="G241" s="1">
        <v>1.0599999427795399</v>
      </c>
      <c r="H241" s="1">
        <v>0.5</v>
      </c>
      <c r="I241" s="1">
        <v>5.5799999237060502</v>
      </c>
      <c r="J241" s="1">
        <v>0</v>
      </c>
      <c r="K241">
        <v>16</v>
      </c>
      <c r="L241">
        <v>12</v>
      </c>
      <c r="M241">
        <v>243</v>
      </c>
      <c r="N241">
        <v>815</v>
      </c>
      <c r="O241">
        <v>1837</v>
      </c>
      <c r="P241" t="str">
        <f t="shared" si="12"/>
        <v>Friday</v>
      </c>
      <c r="Q241">
        <f t="shared" si="13"/>
        <v>1086</v>
      </c>
      <c r="R241" t="str">
        <f t="shared" si="14"/>
        <v>Weekday</v>
      </c>
      <c r="S241" t="str">
        <f t="shared" si="15"/>
        <v>Very_Active</v>
      </c>
    </row>
    <row r="242" spans="1:19" x14ac:dyDescent="0.25">
      <c r="A242">
        <v>6117666160</v>
      </c>
      <c r="B242" s="4">
        <v>42526</v>
      </c>
      <c r="C242">
        <v>3365</v>
      </c>
      <c r="D242" s="1">
        <v>2.6800000667571999</v>
      </c>
      <c r="E242" s="1">
        <v>2.6800000667571999</v>
      </c>
      <c r="F242" s="1">
        <v>0</v>
      </c>
      <c r="G242" s="1">
        <v>0</v>
      </c>
      <c r="H242" s="1">
        <v>0</v>
      </c>
      <c r="I242" s="1">
        <v>2.6800000667571999</v>
      </c>
      <c r="J242" s="1">
        <v>0</v>
      </c>
      <c r="K242">
        <v>0</v>
      </c>
      <c r="L242">
        <v>0</v>
      </c>
      <c r="M242">
        <v>133</v>
      </c>
      <c r="N242">
        <v>673</v>
      </c>
      <c r="O242">
        <v>1838</v>
      </c>
      <c r="P242" t="str">
        <f t="shared" si="12"/>
        <v>Sunday</v>
      </c>
      <c r="Q242">
        <f t="shared" si="13"/>
        <v>806</v>
      </c>
      <c r="R242" t="str">
        <f t="shared" si="14"/>
        <v>Weekend</v>
      </c>
      <c r="S242" t="str">
        <f t="shared" si="15"/>
        <v>Sedentary</v>
      </c>
    </row>
    <row r="243" spans="1:19" x14ac:dyDescent="0.25">
      <c r="A243">
        <v>6775888955</v>
      </c>
      <c r="B243" s="4">
        <v>42708</v>
      </c>
      <c r="C243">
        <v>0</v>
      </c>
      <c r="D243" s="1">
        <v>0</v>
      </c>
      <c r="E243" s="1">
        <v>0</v>
      </c>
      <c r="F243" s="1">
        <v>0</v>
      </c>
      <c r="G243" s="1">
        <v>0</v>
      </c>
      <c r="H243" s="1">
        <v>0</v>
      </c>
      <c r="I243" s="1">
        <v>0</v>
      </c>
      <c r="J243" s="1">
        <v>0</v>
      </c>
      <c r="K243">
        <v>0</v>
      </c>
      <c r="L243">
        <v>0</v>
      </c>
      <c r="M243">
        <v>0</v>
      </c>
      <c r="N243">
        <v>1440</v>
      </c>
      <c r="O243">
        <v>1841</v>
      </c>
      <c r="P243" t="str">
        <f t="shared" si="12"/>
        <v>Sunday</v>
      </c>
      <c r="Q243">
        <f t="shared" si="13"/>
        <v>1440</v>
      </c>
      <c r="R243" t="str">
        <f t="shared" si="14"/>
        <v>Weekend</v>
      </c>
      <c r="S243" t="str">
        <f t="shared" si="15"/>
        <v>Sedentary</v>
      </c>
    </row>
    <row r="244" spans="1:19" x14ac:dyDescent="0.25">
      <c r="A244">
        <v>6775888955</v>
      </c>
      <c r="B244" s="4">
        <v>42479</v>
      </c>
      <c r="C244">
        <v>0</v>
      </c>
      <c r="D244" s="1">
        <v>0</v>
      </c>
      <c r="E244" s="1">
        <v>0</v>
      </c>
      <c r="F244" s="1">
        <v>0</v>
      </c>
      <c r="G244" s="1">
        <v>0</v>
      </c>
      <c r="H244" s="1">
        <v>0</v>
      </c>
      <c r="I244" s="1">
        <v>0</v>
      </c>
      <c r="J244" s="1">
        <v>0</v>
      </c>
      <c r="K244">
        <v>0</v>
      </c>
      <c r="L244">
        <v>0</v>
      </c>
      <c r="M244">
        <v>0</v>
      </c>
      <c r="N244">
        <v>1440</v>
      </c>
      <c r="O244">
        <v>1841</v>
      </c>
      <c r="P244" t="str">
        <f t="shared" si="12"/>
        <v>Tuesday</v>
      </c>
      <c r="Q244">
        <f t="shared" si="13"/>
        <v>1440</v>
      </c>
      <c r="R244" t="str">
        <f t="shared" si="14"/>
        <v>Weekday</v>
      </c>
      <c r="S244" t="str">
        <f t="shared" si="15"/>
        <v>Sedentary</v>
      </c>
    </row>
    <row r="245" spans="1:19" x14ac:dyDescent="0.25">
      <c r="A245">
        <v>6775888955</v>
      </c>
      <c r="B245" s="4">
        <v>42481</v>
      </c>
      <c r="C245">
        <v>0</v>
      </c>
      <c r="D245" s="1">
        <v>0</v>
      </c>
      <c r="E245" s="1">
        <v>0</v>
      </c>
      <c r="F245" s="1">
        <v>0</v>
      </c>
      <c r="G245" s="1">
        <v>0</v>
      </c>
      <c r="H245" s="1">
        <v>0</v>
      </c>
      <c r="I245" s="1">
        <v>0</v>
      </c>
      <c r="J245" s="1">
        <v>0</v>
      </c>
      <c r="K245">
        <v>0</v>
      </c>
      <c r="L245">
        <v>0</v>
      </c>
      <c r="M245">
        <v>0</v>
      </c>
      <c r="N245">
        <v>1440</v>
      </c>
      <c r="O245">
        <v>1841</v>
      </c>
      <c r="P245" t="str">
        <f t="shared" si="12"/>
        <v>Thursday</v>
      </c>
      <c r="Q245">
        <f t="shared" si="13"/>
        <v>1440</v>
      </c>
      <c r="R245" t="str">
        <f t="shared" si="14"/>
        <v>Weekday</v>
      </c>
      <c r="S245" t="str">
        <f t="shared" si="15"/>
        <v>Sedentary</v>
      </c>
    </row>
    <row r="246" spans="1:19" x14ac:dyDescent="0.25">
      <c r="A246">
        <v>6775888955</v>
      </c>
      <c r="B246" s="4">
        <v>42483</v>
      </c>
      <c r="C246">
        <v>0</v>
      </c>
      <c r="D246" s="1">
        <v>0</v>
      </c>
      <c r="E246" s="1">
        <v>0</v>
      </c>
      <c r="F246" s="1">
        <v>0</v>
      </c>
      <c r="G246" s="1">
        <v>0</v>
      </c>
      <c r="H246" s="1">
        <v>0</v>
      </c>
      <c r="I246" s="1">
        <v>0</v>
      </c>
      <c r="J246" s="1">
        <v>0</v>
      </c>
      <c r="K246">
        <v>0</v>
      </c>
      <c r="L246">
        <v>0</v>
      </c>
      <c r="M246">
        <v>0</v>
      </c>
      <c r="N246">
        <v>1440</v>
      </c>
      <c r="O246">
        <v>1841</v>
      </c>
      <c r="P246" t="str">
        <f t="shared" si="12"/>
        <v>Saturday</v>
      </c>
      <c r="Q246">
        <f t="shared" si="13"/>
        <v>1440</v>
      </c>
      <c r="R246" t="str">
        <f t="shared" si="14"/>
        <v>Weekend</v>
      </c>
      <c r="S246" t="str">
        <f t="shared" si="15"/>
        <v>Sedentary</v>
      </c>
    </row>
    <row r="247" spans="1:19" x14ac:dyDescent="0.25">
      <c r="A247">
        <v>6775888955</v>
      </c>
      <c r="B247" s="4">
        <v>42487</v>
      </c>
      <c r="C247">
        <v>0</v>
      </c>
      <c r="D247" s="1">
        <v>0</v>
      </c>
      <c r="E247" s="1">
        <v>0</v>
      </c>
      <c r="F247" s="1">
        <v>0</v>
      </c>
      <c r="G247" s="1">
        <v>0</v>
      </c>
      <c r="H247" s="1">
        <v>0</v>
      </c>
      <c r="I247" s="1">
        <v>0</v>
      </c>
      <c r="J247" s="1">
        <v>0</v>
      </c>
      <c r="K247">
        <v>0</v>
      </c>
      <c r="L247">
        <v>0</v>
      </c>
      <c r="M247">
        <v>0</v>
      </c>
      <c r="N247">
        <v>1440</v>
      </c>
      <c r="O247">
        <v>1841</v>
      </c>
      <c r="P247" t="str">
        <f t="shared" si="12"/>
        <v>Wednesday</v>
      </c>
      <c r="Q247">
        <f t="shared" si="13"/>
        <v>1440</v>
      </c>
      <c r="R247" t="str">
        <f t="shared" si="14"/>
        <v>Weekday</v>
      </c>
      <c r="S247" t="str">
        <f t="shared" si="15"/>
        <v>Sedentary</v>
      </c>
    </row>
    <row r="248" spans="1:19" x14ac:dyDescent="0.25">
      <c r="A248">
        <v>6775888955</v>
      </c>
      <c r="B248" s="4">
        <v>42489</v>
      </c>
      <c r="C248">
        <v>0</v>
      </c>
      <c r="D248" s="1">
        <v>0</v>
      </c>
      <c r="E248" s="1">
        <v>0</v>
      </c>
      <c r="F248" s="1">
        <v>0</v>
      </c>
      <c r="G248" s="1">
        <v>0</v>
      </c>
      <c r="H248" s="1">
        <v>0</v>
      </c>
      <c r="I248" s="1">
        <v>0</v>
      </c>
      <c r="J248" s="1">
        <v>0</v>
      </c>
      <c r="K248">
        <v>0</v>
      </c>
      <c r="L248">
        <v>0</v>
      </c>
      <c r="M248">
        <v>0</v>
      </c>
      <c r="N248">
        <v>1440</v>
      </c>
      <c r="O248">
        <v>1841</v>
      </c>
      <c r="P248" t="str">
        <f t="shared" si="12"/>
        <v>Friday</v>
      </c>
      <c r="Q248">
        <f t="shared" si="13"/>
        <v>1440</v>
      </c>
      <c r="R248" t="str">
        <f t="shared" si="14"/>
        <v>Weekday</v>
      </c>
      <c r="S248" t="str">
        <f t="shared" si="15"/>
        <v>Sedentary</v>
      </c>
    </row>
    <row r="249" spans="1:19" x14ac:dyDescent="0.25">
      <c r="A249">
        <v>6775888955</v>
      </c>
      <c r="B249" s="4">
        <v>42405</v>
      </c>
      <c r="C249">
        <v>0</v>
      </c>
      <c r="D249" s="1">
        <v>0</v>
      </c>
      <c r="E249" s="1">
        <v>0</v>
      </c>
      <c r="F249" s="1">
        <v>0</v>
      </c>
      <c r="G249" s="1">
        <v>0</v>
      </c>
      <c r="H249" s="1">
        <v>0</v>
      </c>
      <c r="I249" s="1">
        <v>0</v>
      </c>
      <c r="J249" s="1">
        <v>0</v>
      </c>
      <c r="K249">
        <v>0</v>
      </c>
      <c r="L249">
        <v>0</v>
      </c>
      <c r="M249">
        <v>0</v>
      </c>
      <c r="N249">
        <v>1440</v>
      </c>
      <c r="O249">
        <v>1841</v>
      </c>
      <c r="P249" t="str">
        <f t="shared" si="12"/>
        <v>Friday</v>
      </c>
      <c r="Q249">
        <f t="shared" si="13"/>
        <v>1440</v>
      </c>
      <c r="R249" t="str">
        <f t="shared" si="14"/>
        <v>Weekday</v>
      </c>
      <c r="S249" t="str">
        <f t="shared" si="15"/>
        <v>Sedentary</v>
      </c>
    </row>
    <row r="250" spans="1:19" x14ac:dyDescent="0.25">
      <c r="A250">
        <v>6775888955</v>
      </c>
      <c r="B250" s="4">
        <v>42465</v>
      </c>
      <c r="C250">
        <v>0</v>
      </c>
      <c r="D250" s="1">
        <v>0</v>
      </c>
      <c r="E250" s="1">
        <v>0</v>
      </c>
      <c r="F250" s="1">
        <v>0</v>
      </c>
      <c r="G250" s="1">
        <v>0</v>
      </c>
      <c r="H250" s="1">
        <v>0</v>
      </c>
      <c r="I250" s="1">
        <v>0</v>
      </c>
      <c r="J250" s="1">
        <v>0</v>
      </c>
      <c r="K250">
        <v>0</v>
      </c>
      <c r="L250">
        <v>0</v>
      </c>
      <c r="M250">
        <v>0</v>
      </c>
      <c r="N250">
        <v>1440</v>
      </c>
      <c r="O250">
        <v>1841</v>
      </c>
      <c r="P250" t="str">
        <f t="shared" si="12"/>
        <v>Tuesday</v>
      </c>
      <c r="Q250">
        <f t="shared" si="13"/>
        <v>1440</v>
      </c>
      <c r="R250" t="str">
        <f t="shared" si="14"/>
        <v>Weekday</v>
      </c>
      <c r="S250" t="str">
        <f t="shared" si="15"/>
        <v>Sedentary</v>
      </c>
    </row>
    <row r="251" spans="1:19" x14ac:dyDescent="0.25">
      <c r="A251">
        <v>6775888955</v>
      </c>
      <c r="B251" s="4">
        <v>42495</v>
      </c>
      <c r="C251">
        <v>0</v>
      </c>
      <c r="D251" s="1">
        <v>0</v>
      </c>
      <c r="E251" s="1">
        <v>0</v>
      </c>
      <c r="F251" s="1">
        <v>0</v>
      </c>
      <c r="G251" s="1">
        <v>0</v>
      </c>
      <c r="H251" s="1">
        <v>0</v>
      </c>
      <c r="I251" s="1">
        <v>0</v>
      </c>
      <c r="J251" s="1">
        <v>0</v>
      </c>
      <c r="K251">
        <v>0</v>
      </c>
      <c r="L251">
        <v>0</v>
      </c>
      <c r="M251">
        <v>0</v>
      </c>
      <c r="N251">
        <v>1440</v>
      </c>
      <c r="O251">
        <v>1841</v>
      </c>
      <c r="P251" t="str">
        <f t="shared" si="12"/>
        <v>Thursday</v>
      </c>
      <c r="Q251">
        <f t="shared" si="13"/>
        <v>1440</v>
      </c>
      <c r="R251" t="str">
        <f t="shared" si="14"/>
        <v>Weekday</v>
      </c>
      <c r="S251" t="str">
        <f t="shared" si="15"/>
        <v>Sedentary</v>
      </c>
    </row>
    <row r="252" spans="1:19" x14ac:dyDescent="0.25">
      <c r="A252">
        <v>4558609924</v>
      </c>
      <c r="B252" s="4">
        <v>42465</v>
      </c>
      <c r="C252">
        <v>5232</v>
      </c>
      <c r="D252" s="1">
        <v>3.46000003814697</v>
      </c>
      <c r="E252" s="1">
        <v>3.46000003814697</v>
      </c>
      <c r="F252" s="1">
        <v>0</v>
      </c>
      <c r="G252" s="1">
        <v>0</v>
      </c>
      <c r="H252" s="1">
        <v>0</v>
      </c>
      <c r="I252" s="1">
        <v>3.46000003814697</v>
      </c>
      <c r="J252" s="1">
        <v>0</v>
      </c>
      <c r="K252">
        <v>0</v>
      </c>
      <c r="L252">
        <v>0</v>
      </c>
      <c r="M252">
        <v>252</v>
      </c>
      <c r="N252">
        <v>1188</v>
      </c>
      <c r="O252">
        <v>1842</v>
      </c>
      <c r="P252" t="str">
        <f t="shared" si="12"/>
        <v>Tuesday</v>
      </c>
      <c r="Q252">
        <f t="shared" si="13"/>
        <v>1440</v>
      </c>
      <c r="R252" t="str">
        <f t="shared" si="14"/>
        <v>Weekday</v>
      </c>
      <c r="S252" t="str">
        <f t="shared" si="15"/>
        <v>Lightly Active</v>
      </c>
    </row>
    <row r="253" spans="1:19" x14ac:dyDescent="0.25">
      <c r="A253">
        <v>6775888955</v>
      </c>
      <c r="B253" s="4">
        <v>42434</v>
      </c>
      <c r="C253">
        <v>9</v>
      </c>
      <c r="D253" s="1">
        <v>9.9999997764825804E-3</v>
      </c>
      <c r="E253" s="1">
        <v>9.9999997764825804E-3</v>
      </c>
      <c r="F253" s="1">
        <v>0</v>
      </c>
      <c r="G253" s="1">
        <v>0</v>
      </c>
      <c r="H253" s="1">
        <v>0</v>
      </c>
      <c r="I253" s="1">
        <v>9.9999997764825804E-3</v>
      </c>
      <c r="J253" s="1">
        <v>0</v>
      </c>
      <c r="K253">
        <v>0</v>
      </c>
      <c r="L253">
        <v>0</v>
      </c>
      <c r="M253">
        <v>1</v>
      </c>
      <c r="N253">
        <v>1439</v>
      </c>
      <c r="O253">
        <v>1843</v>
      </c>
      <c r="P253" t="str">
        <f t="shared" si="12"/>
        <v>Saturday</v>
      </c>
      <c r="Q253">
        <f t="shared" si="13"/>
        <v>1440</v>
      </c>
      <c r="R253" t="str">
        <f t="shared" si="14"/>
        <v>Weekend</v>
      </c>
      <c r="S253" t="str">
        <f t="shared" si="15"/>
        <v>Sedentary</v>
      </c>
    </row>
    <row r="254" spans="1:19" x14ac:dyDescent="0.25">
      <c r="A254">
        <v>2022484408</v>
      </c>
      <c r="B254" s="4">
        <v>42587</v>
      </c>
      <c r="C254">
        <v>3292</v>
      </c>
      <c r="D254" s="1">
        <v>2.3099999427795401</v>
      </c>
      <c r="E254" s="1">
        <v>2.3099999427795401</v>
      </c>
      <c r="F254" s="1">
        <v>0</v>
      </c>
      <c r="G254" s="1">
        <v>0</v>
      </c>
      <c r="H254" s="1">
        <v>0</v>
      </c>
      <c r="I254" s="1">
        <v>2.3099999427795401</v>
      </c>
      <c r="J254" s="1">
        <v>0</v>
      </c>
      <c r="K254">
        <v>0</v>
      </c>
      <c r="L254">
        <v>0</v>
      </c>
      <c r="M254">
        <v>135</v>
      </c>
      <c r="N254">
        <v>1305</v>
      </c>
      <c r="O254">
        <v>1848</v>
      </c>
      <c r="P254" t="str">
        <f t="shared" si="12"/>
        <v>Friday</v>
      </c>
      <c r="Q254">
        <f t="shared" si="13"/>
        <v>1440</v>
      </c>
      <c r="R254" t="str">
        <f t="shared" si="14"/>
        <v>Weekday</v>
      </c>
      <c r="S254" t="str">
        <f t="shared" si="15"/>
        <v>Sedentary</v>
      </c>
    </row>
    <row r="255" spans="1:19" x14ac:dyDescent="0.25">
      <c r="A255">
        <v>8877689391</v>
      </c>
      <c r="B255" s="4">
        <v>42709</v>
      </c>
      <c r="C255">
        <v>8064</v>
      </c>
      <c r="D255" s="1">
        <v>6.1199998855590803</v>
      </c>
      <c r="E255" s="1">
        <v>6.1199998855590803</v>
      </c>
      <c r="F255" s="1">
        <v>0</v>
      </c>
      <c r="G255" s="1">
        <v>1.8200000524520901</v>
      </c>
      <c r="H255" s="1">
        <v>3.9999999105930301E-2</v>
      </c>
      <c r="I255" s="1">
        <v>4.25</v>
      </c>
      <c r="J255" s="1">
        <v>0</v>
      </c>
      <c r="K255">
        <v>23</v>
      </c>
      <c r="L255">
        <v>1</v>
      </c>
      <c r="M255">
        <v>137</v>
      </c>
      <c r="N255">
        <v>770</v>
      </c>
      <c r="O255">
        <v>1849</v>
      </c>
      <c r="P255" t="str">
        <f t="shared" si="12"/>
        <v>Monday</v>
      </c>
      <c r="Q255">
        <f t="shared" si="13"/>
        <v>931</v>
      </c>
      <c r="R255" t="str">
        <f t="shared" si="14"/>
        <v>Weekday</v>
      </c>
      <c r="S255" t="str">
        <f t="shared" si="15"/>
        <v>Fairly Active</v>
      </c>
    </row>
    <row r="256" spans="1:19" x14ac:dyDescent="0.25">
      <c r="A256">
        <v>6962181067</v>
      </c>
      <c r="B256" s="4">
        <v>42526</v>
      </c>
      <c r="C256">
        <v>5908</v>
      </c>
      <c r="D256" s="1">
        <v>3.9100000858306898</v>
      </c>
      <c r="E256" s="1">
        <v>3.9100000858306898</v>
      </c>
      <c r="F256" s="1">
        <v>0</v>
      </c>
      <c r="G256" s="1">
        <v>0</v>
      </c>
      <c r="H256" s="1">
        <v>0</v>
      </c>
      <c r="I256" s="1">
        <v>3.9100000858306898</v>
      </c>
      <c r="J256" s="1">
        <v>0</v>
      </c>
      <c r="K256">
        <v>0</v>
      </c>
      <c r="L256">
        <v>0</v>
      </c>
      <c r="M256">
        <v>299</v>
      </c>
      <c r="N256">
        <v>717</v>
      </c>
      <c r="O256">
        <v>1850</v>
      </c>
      <c r="P256" t="str">
        <f t="shared" si="12"/>
        <v>Sunday</v>
      </c>
      <c r="Q256">
        <f t="shared" si="13"/>
        <v>1016</v>
      </c>
      <c r="R256" t="str">
        <f t="shared" si="14"/>
        <v>Weekend</v>
      </c>
      <c r="S256" t="str">
        <f t="shared" si="15"/>
        <v>Lightly Active</v>
      </c>
    </row>
    <row r="257" spans="1:19" x14ac:dyDescent="0.25">
      <c r="A257">
        <v>2320127002</v>
      </c>
      <c r="B257" s="4">
        <v>42482</v>
      </c>
      <c r="C257">
        <v>5583</v>
      </c>
      <c r="D257" s="1">
        <v>3.7599999904632599</v>
      </c>
      <c r="E257" s="1">
        <v>3.7599999904632599</v>
      </c>
      <c r="F257" s="1">
        <v>0</v>
      </c>
      <c r="G257" s="1">
        <v>0</v>
      </c>
      <c r="H257" s="1">
        <v>0</v>
      </c>
      <c r="I257" s="1">
        <v>3.7599999904632599</v>
      </c>
      <c r="J257" s="1">
        <v>0</v>
      </c>
      <c r="K257">
        <v>0</v>
      </c>
      <c r="L257">
        <v>0</v>
      </c>
      <c r="M257">
        <v>266</v>
      </c>
      <c r="N257">
        <v>1174</v>
      </c>
      <c r="O257">
        <v>1851</v>
      </c>
      <c r="P257" t="str">
        <f t="shared" si="12"/>
        <v>Friday</v>
      </c>
      <c r="Q257">
        <f t="shared" si="13"/>
        <v>1440</v>
      </c>
      <c r="R257" t="str">
        <f t="shared" si="14"/>
        <v>Weekday</v>
      </c>
      <c r="S257" t="str">
        <f t="shared" si="15"/>
        <v>Lightly Active</v>
      </c>
    </row>
    <row r="258" spans="1:19" x14ac:dyDescent="0.25">
      <c r="A258">
        <v>2320127002</v>
      </c>
      <c r="B258" s="4">
        <v>42477</v>
      </c>
      <c r="C258">
        <v>6198</v>
      </c>
      <c r="D258" s="1">
        <v>4.1799998283386204</v>
      </c>
      <c r="E258" s="1">
        <v>4.1799998283386204</v>
      </c>
      <c r="F258" s="1">
        <v>0</v>
      </c>
      <c r="G258" s="1">
        <v>0</v>
      </c>
      <c r="H258" s="1">
        <v>0</v>
      </c>
      <c r="I258" s="1">
        <v>4.1799998283386204</v>
      </c>
      <c r="J258" s="1">
        <v>0</v>
      </c>
      <c r="K258">
        <v>0</v>
      </c>
      <c r="L258">
        <v>0</v>
      </c>
      <c r="M258">
        <v>249</v>
      </c>
      <c r="N258">
        <v>1191</v>
      </c>
      <c r="O258">
        <v>1852</v>
      </c>
      <c r="P258" t="str">
        <f t="shared" ref="P258:P321" si="16">TEXT(B258,"dddd")</f>
        <v>Sunday</v>
      </c>
      <c r="Q258">
        <f t="shared" ref="Q258:Q321" si="17">SUM(K258:N258)</f>
        <v>1440</v>
      </c>
      <c r="R258" t="str">
        <f t="shared" ref="R258:R321" si="18">IF(WEEKDAY(B258,2)&lt;=5,"Weekday","Weekend")</f>
        <v>Weekend</v>
      </c>
      <c r="S258" t="str">
        <f t="shared" ref="S258:S321" si="19">IF(C258&lt;5000,"Sedentary",IF(C258&lt;7500,"Lightly Active",IF(C258&lt;10000,"Fairly Active","Very_Active")))</f>
        <v>Lightly Active</v>
      </c>
    </row>
    <row r="259" spans="1:19" x14ac:dyDescent="0.25">
      <c r="A259">
        <v>2022484408</v>
      </c>
      <c r="B259" s="4">
        <v>42709</v>
      </c>
      <c r="C259">
        <v>9117</v>
      </c>
      <c r="D259" s="1">
        <v>6.4099998474121103</v>
      </c>
      <c r="E259" s="1">
        <v>6.4099998474121103</v>
      </c>
      <c r="F259" s="1">
        <v>0</v>
      </c>
      <c r="G259" s="1">
        <v>1.2799999713897701</v>
      </c>
      <c r="H259" s="1">
        <v>0.67000001668930098</v>
      </c>
      <c r="I259" s="1">
        <v>4.4400000572204599</v>
      </c>
      <c r="J259" s="1">
        <v>0</v>
      </c>
      <c r="K259">
        <v>16</v>
      </c>
      <c r="L259">
        <v>16</v>
      </c>
      <c r="M259">
        <v>236</v>
      </c>
      <c r="N259">
        <v>728</v>
      </c>
      <c r="O259">
        <v>1853</v>
      </c>
      <c r="P259" t="str">
        <f t="shared" si="16"/>
        <v>Monday</v>
      </c>
      <c r="Q259">
        <f t="shared" si="17"/>
        <v>996</v>
      </c>
      <c r="R259" t="str">
        <f t="shared" si="18"/>
        <v>Weekday</v>
      </c>
      <c r="S259" t="str">
        <f t="shared" si="19"/>
        <v>Fairly Active</v>
      </c>
    </row>
    <row r="260" spans="1:19" x14ac:dyDescent="0.25">
      <c r="A260">
        <v>2347167796</v>
      </c>
      <c r="B260" s="4">
        <v>42488</v>
      </c>
      <c r="C260">
        <v>5439</v>
      </c>
      <c r="D260" s="1">
        <v>3.5999999046325701</v>
      </c>
      <c r="E260" s="1">
        <v>3.5999999046325701</v>
      </c>
      <c r="F260" s="1">
        <v>0</v>
      </c>
      <c r="G260" s="1">
        <v>0</v>
      </c>
      <c r="H260" s="1">
        <v>0</v>
      </c>
      <c r="I260" s="1">
        <v>3.5999999046325701</v>
      </c>
      <c r="J260" s="1">
        <v>0</v>
      </c>
      <c r="K260">
        <v>0</v>
      </c>
      <c r="L260">
        <v>0</v>
      </c>
      <c r="M260">
        <v>229</v>
      </c>
      <c r="N260">
        <v>764</v>
      </c>
      <c r="O260">
        <v>1854</v>
      </c>
      <c r="P260" t="str">
        <f t="shared" si="16"/>
        <v>Thursday</v>
      </c>
      <c r="Q260">
        <f t="shared" si="17"/>
        <v>993</v>
      </c>
      <c r="R260" t="str">
        <f t="shared" si="18"/>
        <v>Weekday</v>
      </c>
      <c r="S260" t="str">
        <f t="shared" si="19"/>
        <v>Lightly Active</v>
      </c>
    </row>
    <row r="261" spans="1:19" x14ac:dyDescent="0.25">
      <c r="A261">
        <v>8253242879</v>
      </c>
      <c r="B261" s="4">
        <v>42489</v>
      </c>
      <c r="C261">
        <v>6260</v>
      </c>
      <c r="D261" s="1">
        <v>4.2600002288818404</v>
      </c>
      <c r="E261" s="1">
        <v>4.2600002288818404</v>
      </c>
      <c r="F261" s="1">
        <v>0</v>
      </c>
      <c r="G261" s="1">
        <v>1.28999996185303</v>
      </c>
      <c r="H261" s="1">
        <v>0.54000002145767201</v>
      </c>
      <c r="I261" s="1">
        <v>2.4000000953674299</v>
      </c>
      <c r="J261" s="1">
        <v>0</v>
      </c>
      <c r="K261">
        <v>16</v>
      </c>
      <c r="L261">
        <v>14</v>
      </c>
      <c r="M261">
        <v>136</v>
      </c>
      <c r="N261">
        <v>1257</v>
      </c>
      <c r="O261">
        <v>1854</v>
      </c>
      <c r="P261" t="str">
        <f t="shared" si="16"/>
        <v>Friday</v>
      </c>
      <c r="Q261">
        <f t="shared" si="17"/>
        <v>1423</v>
      </c>
      <c r="R261" t="str">
        <f t="shared" si="18"/>
        <v>Weekday</v>
      </c>
      <c r="S261" t="str">
        <f t="shared" si="19"/>
        <v>Lightly Active</v>
      </c>
    </row>
    <row r="262" spans="1:19" x14ac:dyDescent="0.25">
      <c r="A262">
        <v>6962181067</v>
      </c>
      <c r="B262" s="4">
        <v>42679</v>
      </c>
      <c r="C262">
        <v>6722</v>
      </c>
      <c r="D262" s="1">
        <v>4.4400000572204599</v>
      </c>
      <c r="E262" s="1">
        <v>4.4400000572204599</v>
      </c>
      <c r="F262" s="1">
        <v>0</v>
      </c>
      <c r="G262" s="1">
        <v>1.4900000095367401</v>
      </c>
      <c r="H262" s="1">
        <v>0.31000000238418601</v>
      </c>
      <c r="I262" s="1">
        <v>2.6500000953674299</v>
      </c>
      <c r="J262" s="1">
        <v>0</v>
      </c>
      <c r="K262">
        <v>24</v>
      </c>
      <c r="L262">
        <v>7</v>
      </c>
      <c r="M262">
        <v>199</v>
      </c>
      <c r="N262">
        <v>709</v>
      </c>
      <c r="O262">
        <v>1855</v>
      </c>
      <c r="P262" t="str">
        <f t="shared" si="16"/>
        <v>Saturday</v>
      </c>
      <c r="Q262">
        <f t="shared" si="17"/>
        <v>939</v>
      </c>
      <c r="R262" t="str">
        <f t="shared" si="18"/>
        <v>Weekend</v>
      </c>
      <c r="S262" t="str">
        <f t="shared" si="19"/>
        <v>Lightly Active</v>
      </c>
    </row>
    <row r="263" spans="1:19" x14ac:dyDescent="0.25">
      <c r="A263">
        <v>1844505072</v>
      </c>
      <c r="B263" s="4">
        <v>42489</v>
      </c>
      <c r="C263">
        <v>4920</v>
      </c>
      <c r="D263" s="1">
        <v>3.25</v>
      </c>
      <c r="E263" s="1">
        <v>3.25</v>
      </c>
      <c r="F263" s="1">
        <v>0</v>
      </c>
      <c r="G263" s="1">
        <v>0</v>
      </c>
      <c r="H263" s="1">
        <v>0</v>
      </c>
      <c r="I263" s="1">
        <v>3.25</v>
      </c>
      <c r="J263" s="1">
        <v>0</v>
      </c>
      <c r="K263">
        <v>0</v>
      </c>
      <c r="L263">
        <v>0</v>
      </c>
      <c r="M263">
        <v>247</v>
      </c>
      <c r="N263">
        <v>1082</v>
      </c>
      <c r="O263">
        <v>1856</v>
      </c>
      <c r="P263" t="str">
        <f t="shared" si="16"/>
        <v>Friday</v>
      </c>
      <c r="Q263">
        <f t="shared" si="17"/>
        <v>1329</v>
      </c>
      <c r="R263" t="str">
        <f t="shared" si="18"/>
        <v>Weekday</v>
      </c>
      <c r="S263" t="str">
        <f t="shared" si="19"/>
        <v>Sedentary</v>
      </c>
    </row>
    <row r="264" spans="1:19" x14ac:dyDescent="0.25">
      <c r="A264">
        <v>1503960366</v>
      </c>
      <c r="B264" s="4">
        <v>42648</v>
      </c>
      <c r="C264">
        <v>12207</v>
      </c>
      <c r="D264" s="1">
        <v>7.7699999809265101</v>
      </c>
      <c r="E264" s="1">
        <v>7.7699999809265101</v>
      </c>
      <c r="F264" s="1">
        <v>0</v>
      </c>
      <c r="G264" s="1">
        <v>3.3499999046325701</v>
      </c>
      <c r="H264" s="1">
        <v>1.1599999666214</v>
      </c>
      <c r="I264" s="1">
        <v>3.2599999904632599</v>
      </c>
      <c r="J264" s="1">
        <v>0</v>
      </c>
      <c r="K264">
        <v>46</v>
      </c>
      <c r="L264">
        <v>31</v>
      </c>
      <c r="M264">
        <v>214</v>
      </c>
      <c r="N264">
        <v>746</v>
      </c>
      <c r="O264">
        <v>1859</v>
      </c>
      <c r="P264" t="str">
        <f t="shared" si="16"/>
        <v>Wednesday</v>
      </c>
      <c r="Q264">
        <f t="shared" si="17"/>
        <v>1037</v>
      </c>
      <c r="R264" t="str">
        <f t="shared" si="18"/>
        <v>Weekday</v>
      </c>
      <c r="S264" t="str">
        <f t="shared" si="19"/>
        <v>Very_Active</v>
      </c>
    </row>
    <row r="265" spans="1:19" x14ac:dyDescent="0.25">
      <c r="A265">
        <v>1844505072</v>
      </c>
      <c r="B265" s="4">
        <v>42473</v>
      </c>
      <c r="C265">
        <v>4929</v>
      </c>
      <c r="D265" s="1">
        <v>3.2599999904632599</v>
      </c>
      <c r="E265" s="1">
        <v>3.2599999904632599</v>
      </c>
      <c r="F265" s="1">
        <v>0</v>
      </c>
      <c r="G265" s="1">
        <v>0</v>
      </c>
      <c r="H265" s="1">
        <v>0</v>
      </c>
      <c r="I265" s="1">
        <v>3.2599999904632599</v>
      </c>
      <c r="J265" s="1">
        <v>0</v>
      </c>
      <c r="K265">
        <v>0</v>
      </c>
      <c r="L265">
        <v>0</v>
      </c>
      <c r="M265">
        <v>248</v>
      </c>
      <c r="N265">
        <v>1192</v>
      </c>
      <c r="O265">
        <v>1860</v>
      </c>
      <c r="P265" t="str">
        <f t="shared" si="16"/>
        <v>Wednesday</v>
      </c>
      <c r="Q265">
        <f t="shared" si="17"/>
        <v>1440</v>
      </c>
      <c r="R265" t="str">
        <f t="shared" si="18"/>
        <v>Weekday</v>
      </c>
      <c r="S265" t="str">
        <f t="shared" si="19"/>
        <v>Sedentary</v>
      </c>
    </row>
    <row r="266" spans="1:19" x14ac:dyDescent="0.25">
      <c r="A266">
        <v>2347167796</v>
      </c>
      <c r="B266" s="4">
        <v>42486</v>
      </c>
      <c r="C266">
        <v>5980</v>
      </c>
      <c r="D266" s="1">
        <v>3.9500000476837198</v>
      </c>
      <c r="E266" s="1">
        <v>3.9500000476837198</v>
      </c>
      <c r="F266" s="1">
        <v>0</v>
      </c>
      <c r="G266" s="1">
        <v>0</v>
      </c>
      <c r="H266" s="1">
        <v>0</v>
      </c>
      <c r="I266" s="1">
        <v>3.9500000476837198</v>
      </c>
      <c r="J266" s="1">
        <v>0</v>
      </c>
      <c r="K266">
        <v>0</v>
      </c>
      <c r="L266">
        <v>0</v>
      </c>
      <c r="M266">
        <v>227</v>
      </c>
      <c r="N266">
        <v>732</v>
      </c>
      <c r="O266">
        <v>1861</v>
      </c>
      <c r="P266" t="str">
        <f t="shared" si="16"/>
        <v>Tuesday</v>
      </c>
      <c r="Q266">
        <f t="shared" si="17"/>
        <v>959</v>
      </c>
      <c r="R266" t="str">
        <f t="shared" si="18"/>
        <v>Weekday</v>
      </c>
      <c r="S266" t="str">
        <f t="shared" si="19"/>
        <v>Lightly Active</v>
      </c>
    </row>
    <row r="267" spans="1:19" x14ac:dyDescent="0.25">
      <c r="A267">
        <v>1503960366</v>
      </c>
      <c r="B267" s="4">
        <v>42476</v>
      </c>
      <c r="C267">
        <v>12669</v>
      </c>
      <c r="D267" s="1">
        <v>8.1599998474121094</v>
      </c>
      <c r="E267" s="1">
        <v>8.1599998474121094</v>
      </c>
      <c r="F267" s="1">
        <v>0</v>
      </c>
      <c r="G267" s="1">
        <v>2.71000003814697</v>
      </c>
      <c r="H267" s="1">
        <v>0.40999999642372098</v>
      </c>
      <c r="I267" s="1">
        <v>5.03999996185303</v>
      </c>
      <c r="J267" s="1">
        <v>0</v>
      </c>
      <c r="K267">
        <v>36</v>
      </c>
      <c r="L267">
        <v>10</v>
      </c>
      <c r="M267">
        <v>221</v>
      </c>
      <c r="N267">
        <v>773</v>
      </c>
      <c r="O267">
        <v>1863</v>
      </c>
      <c r="P267" t="str">
        <f t="shared" si="16"/>
        <v>Saturday</v>
      </c>
      <c r="Q267">
        <f t="shared" si="17"/>
        <v>1040</v>
      </c>
      <c r="R267" t="str">
        <f t="shared" si="18"/>
        <v>Weekend</v>
      </c>
      <c r="S267" t="str">
        <f t="shared" si="19"/>
        <v>Very_Active</v>
      </c>
    </row>
    <row r="268" spans="1:19" x14ac:dyDescent="0.25">
      <c r="A268">
        <v>3372868164</v>
      </c>
      <c r="B268" s="4">
        <v>42480</v>
      </c>
      <c r="C268">
        <v>4880</v>
      </c>
      <c r="D268" s="1">
        <v>3.3299999237060498</v>
      </c>
      <c r="E268" s="1">
        <v>3.3299999237060498</v>
      </c>
      <c r="F268" s="1">
        <v>0</v>
      </c>
      <c r="G268" s="1">
        <v>0.83999997377395597</v>
      </c>
      <c r="H268" s="1">
        <v>9.00000035762787E-2</v>
      </c>
      <c r="I268" s="1">
        <v>2.3800001144409202</v>
      </c>
      <c r="J268" s="1">
        <v>1.9999999552965199E-2</v>
      </c>
      <c r="K268">
        <v>15</v>
      </c>
      <c r="L268">
        <v>3</v>
      </c>
      <c r="M268">
        <v>274</v>
      </c>
      <c r="N268">
        <v>1148</v>
      </c>
      <c r="O268">
        <v>1867</v>
      </c>
      <c r="P268" t="str">
        <f t="shared" si="16"/>
        <v>Wednesday</v>
      </c>
      <c r="Q268">
        <f t="shared" si="17"/>
        <v>1440</v>
      </c>
      <c r="R268" t="str">
        <f t="shared" si="18"/>
        <v>Weekday</v>
      </c>
      <c r="S268" t="str">
        <f t="shared" si="19"/>
        <v>Sedentary</v>
      </c>
    </row>
    <row r="269" spans="1:19" x14ac:dyDescent="0.25">
      <c r="A269">
        <v>2026352035</v>
      </c>
      <c r="B269" s="4">
        <v>42618</v>
      </c>
      <c r="C269">
        <v>10685</v>
      </c>
      <c r="D269" s="1">
        <v>6.6199998855590803</v>
      </c>
      <c r="E269" s="1">
        <v>6.6199998855590803</v>
      </c>
      <c r="F269" s="1">
        <v>0</v>
      </c>
      <c r="G269" s="1">
        <v>0</v>
      </c>
      <c r="H269" s="1">
        <v>0</v>
      </c>
      <c r="I269" s="1">
        <v>6.5999999046325701</v>
      </c>
      <c r="J269" s="1">
        <v>0</v>
      </c>
      <c r="K269">
        <v>0</v>
      </c>
      <c r="L269">
        <v>0</v>
      </c>
      <c r="M269">
        <v>401</v>
      </c>
      <c r="N269">
        <v>543</v>
      </c>
      <c r="O269">
        <v>1869</v>
      </c>
      <c r="P269" t="str">
        <f t="shared" si="16"/>
        <v>Monday</v>
      </c>
      <c r="Q269">
        <f t="shared" si="17"/>
        <v>944</v>
      </c>
      <c r="R269" t="str">
        <f t="shared" si="18"/>
        <v>Weekday</v>
      </c>
      <c r="S269" t="str">
        <f t="shared" si="19"/>
        <v>Very_Active</v>
      </c>
    </row>
    <row r="270" spans="1:19" x14ac:dyDescent="0.25">
      <c r="A270">
        <v>4558609924</v>
      </c>
      <c r="B270" s="4">
        <v>42479</v>
      </c>
      <c r="C270">
        <v>5401</v>
      </c>
      <c r="D270" s="1">
        <v>3.5699999332428001</v>
      </c>
      <c r="E270" s="1">
        <v>3.5699999332428001</v>
      </c>
      <c r="F270" s="1">
        <v>0</v>
      </c>
      <c r="G270" s="1">
        <v>5.0000000745058101E-2</v>
      </c>
      <c r="H270" s="1">
        <v>0.36000001430511502</v>
      </c>
      <c r="I270" s="1">
        <v>3.1600000858306898</v>
      </c>
      <c r="J270" s="1">
        <v>0</v>
      </c>
      <c r="K270">
        <v>1</v>
      </c>
      <c r="L270">
        <v>9</v>
      </c>
      <c r="M270">
        <v>248</v>
      </c>
      <c r="N270">
        <v>1182</v>
      </c>
      <c r="O270">
        <v>1876</v>
      </c>
      <c r="P270" t="str">
        <f t="shared" si="16"/>
        <v>Tuesday</v>
      </c>
      <c r="Q270">
        <f t="shared" si="17"/>
        <v>1440</v>
      </c>
      <c r="R270" t="str">
        <f t="shared" si="18"/>
        <v>Weekday</v>
      </c>
      <c r="S270" t="str">
        <f t="shared" si="19"/>
        <v>Lightly Active</v>
      </c>
    </row>
    <row r="271" spans="1:19" x14ac:dyDescent="0.25">
      <c r="A271">
        <v>2320127002</v>
      </c>
      <c r="B271" s="4">
        <v>42434</v>
      </c>
      <c r="C271">
        <v>7443</v>
      </c>
      <c r="D271" s="1">
        <v>5.0199999809265101</v>
      </c>
      <c r="E271" s="1">
        <v>5.0199999809265101</v>
      </c>
      <c r="F271" s="1">
        <v>0</v>
      </c>
      <c r="G271" s="1">
        <v>1.4900000095367401</v>
      </c>
      <c r="H271" s="1">
        <v>0.37000000476837203</v>
      </c>
      <c r="I271" s="1">
        <v>3.1600000858306898</v>
      </c>
      <c r="J271" s="1">
        <v>0</v>
      </c>
      <c r="K271">
        <v>20</v>
      </c>
      <c r="L271">
        <v>10</v>
      </c>
      <c r="M271">
        <v>206</v>
      </c>
      <c r="N271">
        <v>1204</v>
      </c>
      <c r="O271">
        <v>1878</v>
      </c>
      <c r="P271" t="str">
        <f t="shared" si="16"/>
        <v>Saturday</v>
      </c>
      <c r="Q271">
        <f t="shared" si="17"/>
        <v>1440</v>
      </c>
      <c r="R271" t="str">
        <f t="shared" si="18"/>
        <v>Weekend</v>
      </c>
      <c r="S271" t="str">
        <f t="shared" si="19"/>
        <v>Lightly Active</v>
      </c>
    </row>
    <row r="272" spans="1:19" x14ac:dyDescent="0.25">
      <c r="A272">
        <v>2873212765</v>
      </c>
      <c r="B272" s="4">
        <v>42405</v>
      </c>
      <c r="C272">
        <v>7525</v>
      </c>
      <c r="D272" s="1">
        <v>5.0599999427795401</v>
      </c>
      <c r="E272" s="1">
        <v>5.0599999427795401</v>
      </c>
      <c r="F272" s="1">
        <v>0</v>
      </c>
      <c r="G272" s="1">
        <v>0</v>
      </c>
      <c r="H272" s="1">
        <v>0.20999999344348899</v>
      </c>
      <c r="I272" s="1">
        <v>4.8299999237060502</v>
      </c>
      <c r="J272" s="1">
        <v>1.9999999552965199E-2</v>
      </c>
      <c r="K272">
        <v>0</v>
      </c>
      <c r="L272">
        <v>7</v>
      </c>
      <c r="M272">
        <v>334</v>
      </c>
      <c r="N272">
        <v>1099</v>
      </c>
      <c r="O272">
        <v>1878</v>
      </c>
      <c r="P272" t="str">
        <f t="shared" si="16"/>
        <v>Friday</v>
      </c>
      <c r="Q272">
        <f t="shared" si="17"/>
        <v>1440</v>
      </c>
      <c r="R272" t="str">
        <f t="shared" si="18"/>
        <v>Weekday</v>
      </c>
      <c r="S272" t="str">
        <f t="shared" si="19"/>
        <v>Fairly Active</v>
      </c>
    </row>
    <row r="273" spans="1:19" x14ac:dyDescent="0.25">
      <c r="A273">
        <v>6117666160</v>
      </c>
      <c r="B273" s="4">
        <v>42488</v>
      </c>
      <c r="C273">
        <v>3403</v>
      </c>
      <c r="D273" s="1">
        <v>2.5999999046325701</v>
      </c>
      <c r="E273" s="1">
        <v>2.5999999046325701</v>
      </c>
      <c r="F273" s="1">
        <v>0</v>
      </c>
      <c r="G273" s="1">
        <v>0</v>
      </c>
      <c r="H273" s="1">
        <v>0</v>
      </c>
      <c r="I273" s="1">
        <v>2.5999999046325701</v>
      </c>
      <c r="J273" s="1">
        <v>0</v>
      </c>
      <c r="K273">
        <v>0</v>
      </c>
      <c r="L273">
        <v>0</v>
      </c>
      <c r="M273">
        <v>141</v>
      </c>
      <c r="N273">
        <v>758</v>
      </c>
      <c r="O273">
        <v>1879</v>
      </c>
      <c r="P273" t="str">
        <f t="shared" si="16"/>
        <v>Thursday</v>
      </c>
      <c r="Q273">
        <f t="shared" si="17"/>
        <v>899</v>
      </c>
      <c r="R273" t="str">
        <f t="shared" si="18"/>
        <v>Weekday</v>
      </c>
      <c r="S273" t="str">
        <f t="shared" si="19"/>
        <v>Sedentary</v>
      </c>
    </row>
    <row r="274" spans="1:19" x14ac:dyDescent="0.25">
      <c r="A274">
        <v>4319703577</v>
      </c>
      <c r="B274" s="4">
        <v>42484</v>
      </c>
      <c r="C274">
        <v>4081</v>
      </c>
      <c r="D274" s="1">
        <v>2.7400000095367401</v>
      </c>
      <c r="E274" s="1">
        <v>2.7400000095367401</v>
      </c>
      <c r="F274" s="1">
        <v>0</v>
      </c>
      <c r="G274" s="1">
        <v>5.9999998658895499E-2</v>
      </c>
      <c r="H274" s="1">
        <v>0.20000000298023199</v>
      </c>
      <c r="I274" s="1">
        <v>2.4700000286102299</v>
      </c>
      <c r="J274" s="1">
        <v>0</v>
      </c>
      <c r="K274">
        <v>1</v>
      </c>
      <c r="L274">
        <v>5</v>
      </c>
      <c r="M274">
        <v>191</v>
      </c>
      <c r="N274">
        <v>692</v>
      </c>
      <c r="O274">
        <v>1880</v>
      </c>
      <c r="P274" t="str">
        <f t="shared" si="16"/>
        <v>Sunday</v>
      </c>
      <c r="Q274">
        <f t="shared" si="17"/>
        <v>889</v>
      </c>
      <c r="R274" t="str">
        <f t="shared" si="18"/>
        <v>Weekend</v>
      </c>
      <c r="S274" t="str">
        <f t="shared" si="19"/>
        <v>Sedentary</v>
      </c>
    </row>
    <row r="275" spans="1:19" x14ac:dyDescent="0.25">
      <c r="A275">
        <v>8253242879</v>
      </c>
      <c r="B275" s="4">
        <v>42476</v>
      </c>
      <c r="C275">
        <v>9256</v>
      </c>
      <c r="D275" s="1">
        <v>6.1399998664856001</v>
      </c>
      <c r="E275" s="1">
        <v>6.1399998664856001</v>
      </c>
      <c r="F275" s="1">
        <v>0</v>
      </c>
      <c r="G275" s="1">
        <v>0.43000000715255698</v>
      </c>
      <c r="H275" s="1">
        <v>3.2699999809265101</v>
      </c>
      <c r="I275" s="1">
        <v>2.4500000476837198</v>
      </c>
      <c r="J275" s="1">
        <v>0</v>
      </c>
      <c r="K275">
        <v>6</v>
      </c>
      <c r="L275">
        <v>51</v>
      </c>
      <c r="M275">
        <v>115</v>
      </c>
      <c r="N275">
        <v>1268</v>
      </c>
      <c r="O275">
        <v>1880</v>
      </c>
      <c r="P275" t="str">
        <f t="shared" si="16"/>
        <v>Saturday</v>
      </c>
      <c r="Q275">
        <f t="shared" si="17"/>
        <v>1440</v>
      </c>
      <c r="R275" t="str">
        <f t="shared" si="18"/>
        <v>Weekend</v>
      </c>
      <c r="S275" t="str">
        <f t="shared" si="19"/>
        <v>Fairly Active</v>
      </c>
    </row>
    <row r="276" spans="1:19" x14ac:dyDescent="0.25">
      <c r="A276">
        <v>2347167796</v>
      </c>
      <c r="B276" s="4">
        <v>42477</v>
      </c>
      <c r="C276">
        <v>5472</v>
      </c>
      <c r="D276" s="1">
        <v>3.6199998855590798</v>
      </c>
      <c r="E276" s="1">
        <v>3.6199998855590798</v>
      </c>
      <c r="F276" s="1">
        <v>0</v>
      </c>
      <c r="G276" s="1">
        <v>7.9999998211860698E-2</v>
      </c>
      <c r="H276" s="1">
        <v>0.28000000119209301</v>
      </c>
      <c r="I276" s="1">
        <v>3.2599999904632599</v>
      </c>
      <c r="J276" s="1">
        <v>0</v>
      </c>
      <c r="K276">
        <v>1</v>
      </c>
      <c r="L276">
        <v>7</v>
      </c>
      <c r="M276">
        <v>249</v>
      </c>
      <c r="N276">
        <v>508</v>
      </c>
      <c r="O276">
        <v>1882</v>
      </c>
      <c r="P276" t="str">
        <f t="shared" si="16"/>
        <v>Sunday</v>
      </c>
      <c r="Q276">
        <f t="shared" si="17"/>
        <v>765</v>
      </c>
      <c r="R276" t="str">
        <f t="shared" si="18"/>
        <v>Weekend</v>
      </c>
      <c r="S276" t="str">
        <f t="shared" si="19"/>
        <v>Lightly Active</v>
      </c>
    </row>
    <row r="277" spans="1:19" x14ac:dyDescent="0.25">
      <c r="A277">
        <v>2873212765</v>
      </c>
      <c r="B277" s="4">
        <v>42486</v>
      </c>
      <c r="C277">
        <v>8242</v>
      </c>
      <c r="D277" s="1">
        <v>5.53999996185303</v>
      </c>
      <c r="E277" s="1">
        <v>5.53999996185303</v>
      </c>
      <c r="F277" s="1">
        <v>0</v>
      </c>
      <c r="G277" s="1">
        <v>0.119999997317791</v>
      </c>
      <c r="H277" s="1">
        <v>0.18000000715255701</v>
      </c>
      <c r="I277" s="1">
        <v>5.2399997711181596</v>
      </c>
      <c r="J277" s="1">
        <v>0</v>
      </c>
      <c r="K277">
        <v>2</v>
      </c>
      <c r="L277">
        <v>5</v>
      </c>
      <c r="M277">
        <v>309</v>
      </c>
      <c r="N277">
        <v>1124</v>
      </c>
      <c r="O277">
        <v>1882</v>
      </c>
      <c r="P277" t="str">
        <f t="shared" si="16"/>
        <v>Tuesday</v>
      </c>
      <c r="Q277">
        <f t="shared" si="17"/>
        <v>1440</v>
      </c>
      <c r="R277" t="str">
        <f t="shared" si="18"/>
        <v>Weekday</v>
      </c>
      <c r="S277" t="str">
        <f t="shared" si="19"/>
        <v>Fairly Active</v>
      </c>
    </row>
    <row r="278" spans="1:19" x14ac:dyDescent="0.25">
      <c r="A278">
        <v>4319703577</v>
      </c>
      <c r="B278" s="4">
        <v>42476</v>
      </c>
      <c r="C278">
        <v>4744</v>
      </c>
      <c r="D278" s="1">
        <v>3.1800000667571999</v>
      </c>
      <c r="E278" s="1">
        <v>3.1800000667571999</v>
      </c>
      <c r="F278" s="1">
        <v>0</v>
      </c>
      <c r="G278" s="1">
        <v>0</v>
      </c>
      <c r="H278" s="1">
        <v>0</v>
      </c>
      <c r="I278" s="1">
        <v>3.1800000667571999</v>
      </c>
      <c r="J278" s="1">
        <v>0</v>
      </c>
      <c r="K278">
        <v>0</v>
      </c>
      <c r="L278">
        <v>0</v>
      </c>
      <c r="M278">
        <v>194</v>
      </c>
      <c r="N278">
        <v>724</v>
      </c>
      <c r="O278">
        <v>1884</v>
      </c>
      <c r="P278" t="str">
        <f t="shared" si="16"/>
        <v>Saturday</v>
      </c>
      <c r="Q278">
        <f t="shared" si="17"/>
        <v>918</v>
      </c>
      <c r="R278" t="str">
        <f t="shared" si="18"/>
        <v>Weekend</v>
      </c>
      <c r="S278" t="str">
        <f t="shared" si="19"/>
        <v>Sedentary</v>
      </c>
    </row>
    <row r="279" spans="1:19" x14ac:dyDescent="0.25">
      <c r="A279">
        <v>8053475328</v>
      </c>
      <c r="B279" s="4">
        <v>42374</v>
      </c>
      <c r="C279">
        <v>1170</v>
      </c>
      <c r="D279" s="1">
        <v>0.85000002384185802</v>
      </c>
      <c r="E279" s="1">
        <v>0.85000002384185802</v>
      </c>
      <c r="F279" s="1">
        <v>0</v>
      </c>
      <c r="G279" s="1">
        <v>0</v>
      </c>
      <c r="H279" s="1">
        <v>0</v>
      </c>
      <c r="I279" s="1">
        <v>0.85000002384185802</v>
      </c>
      <c r="J279" s="1">
        <v>0</v>
      </c>
      <c r="K279">
        <v>0</v>
      </c>
      <c r="L279">
        <v>0</v>
      </c>
      <c r="M279">
        <v>51</v>
      </c>
      <c r="N279">
        <v>1389</v>
      </c>
      <c r="O279">
        <v>1886</v>
      </c>
      <c r="P279" t="str">
        <f t="shared" si="16"/>
        <v>Tuesday</v>
      </c>
      <c r="Q279">
        <f t="shared" si="17"/>
        <v>1440</v>
      </c>
      <c r="R279" t="str">
        <f t="shared" si="18"/>
        <v>Weekday</v>
      </c>
      <c r="S279" t="str">
        <f t="shared" si="19"/>
        <v>Sedentary</v>
      </c>
    </row>
    <row r="280" spans="1:19" x14ac:dyDescent="0.25">
      <c r="A280">
        <v>4319703577</v>
      </c>
      <c r="B280" s="4">
        <v>42482</v>
      </c>
      <c r="C280">
        <v>4500</v>
      </c>
      <c r="D280" s="1">
        <v>3.0199999809265101</v>
      </c>
      <c r="E280" s="1">
        <v>3.0199999809265101</v>
      </c>
      <c r="F280" s="1">
        <v>0</v>
      </c>
      <c r="G280" s="1">
        <v>5.9999998658895499E-2</v>
      </c>
      <c r="H280" s="1">
        <v>0.81000000238418601</v>
      </c>
      <c r="I280" s="1">
        <v>2.1500000953674299</v>
      </c>
      <c r="J280" s="1">
        <v>0</v>
      </c>
      <c r="K280">
        <v>1</v>
      </c>
      <c r="L280">
        <v>19</v>
      </c>
      <c r="M280">
        <v>176</v>
      </c>
      <c r="N280">
        <v>709</v>
      </c>
      <c r="O280">
        <v>1886</v>
      </c>
      <c r="P280" t="str">
        <f t="shared" si="16"/>
        <v>Friday</v>
      </c>
      <c r="Q280">
        <f t="shared" si="17"/>
        <v>905</v>
      </c>
      <c r="R280" t="str">
        <f t="shared" si="18"/>
        <v>Weekday</v>
      </c>
      <c r="S280" t="str">
        <f t="shared" si="19"/>
        <v>Sedentary</v>
      </c>
    </row>
    <row r="281" spans="1:19" x14ac:dyDescent="0.25">
      <c r="A281">
        <v>4558609924</v>
      </c>
      <c r="B281" s="4">
        <v>42648</v>
      </c>
      <c r="C281">
        <v>6435</v>
      </c>
      <c r="D281" s="1">
        <v>4.25</v>
      </c>
      <c r="E281" s="1">
        <v>4.25</v>
      </c>
      <c r="F281" s="1">
        <v>0</v>
      </c>
      <c r="G281" s="1">
        <v>0.74000000953674305</v>
      </c>
      <c r="H281" s="1">
        <v>1.12000000476837</v>
      </c>
      <c r="I281" s="1">
        <v>2.3900001049041699</v>
      </c>
      <c r="J281" s="1">
        <v>0</v>
      </c>
      <c r="K281">
        <v>11</v>
      </c>
      <c r="L281">
        <v>18</v>
      </c>
      <c r="M281">
        <v>220</v>
      </c>
      <c r="N281">
        <v>1191</v>
      </c>
      <c r="O281">
        <v>1889</v>
      </c>
      <c r="P281" t="str">
        <f t="shared" si="16"/>
        <v>Wednesday</v>
      </c>
      <c r="Q281">
        <f t="shared" si="17"/>
        <v>1440</v>
      </c>
      <c r="R281" t="str">
        <f t="shared" si="18"/>
        <v>Weekday</v>
      </c>
      <c r="S281" t="str">
        <f t="shared" si="19"/>
        <v>Lightly Active</v>
      </c>
    </row>
    <row r="282" spans="1:19" x14ac:dyDescent="0.25">
      <c r="A282">
        <v>2873212765</v>
      </c>
      <c r="B282" s="4">
        <v>42478</v>
      </c>
      <c r="C282">
        <v>7762</v>
      </c>
      <c r="D282" s="1">
        <v>5.2399997711181596</v>
      </c>
      <c r="E282" s="1">
        <v>5.2399997711181596</v>
      </c>
      <c r="F282" s="1">
        <v>0</v>
      </c>
      <c r="G282" s="1">
        <v>7.0000000298023196E-2</v>
      </c>
      <c r="H282" s="1">
        <v>0.28000000119209301</v>
      </c>
      <c r="I282" s="1">
        <v>4.8899998664856001</v>
      </c>
      <c r="J282" s="1">
        <v>0</v>
      </c>
      <c r="K282">
        <v>1</v>
      </c>
      <c r="L282">
        <v>6</v>
      </c>
      <c r="M282">
        <v>311</v>
      </c>
      <c r="N282">
        <v>1122</v>
      </c>
      <c r="O282">
        <v>1890</v>
      </c>
      <c r="P282" t="str">
        <f t="shared" si="16"/>
        <v>Monday</v>
      </c>
      <c r="Q282">
        <f t="shared" si="17"/>
        <v>1440</v>
      </c>
      <c r="R282" t="str">
        <f t="shared" si="18"/>
        <v>Weekday</v>
      </c>
      <c r="S282" t="str">
        <f t="shared" si="19"/>
        <v>Fairly Active</v>
      </c>
    </row>
    <row r="283" spans="1:19" x14ac:dyDescent="0.25">
      <c r="A283">
        <v>2873212765</v>
      </c>
      <c r="B283" s="4">
        <v>42474</v>
      </c>
      <c r="C283">
        <v>7910</v>
      </c>
      <c r="D283" s="1">
        <v>5.3200001716613796</v>
      </c>
      <c r="E283" s="1">
        <v>5.3200001716613796</v>
      </c>
      <c r="F283" s="1">
        <v>0</v>
      </c>
      <c r="G283" s="1">
        <v>0</v>
      </c>
      <c r="H283" s="1">
        <v>0</v>
      </c>
      <c r="I283" s="1">
        <v>5.3200001716613796</v>
      </c>
      <c r="J283" s="1">
        <v>0</v>
      </c>
      <c r="K283">
        <v>0</v>
      </c>
      <c r="L283">
        <v>0</v>
      </c>
      <c r="M283">
        <v>331</v>
      </c>
      <c r="N283">
        <v>1109</v>
      </c>
      <c r="O283">
        <v>1893</v>
      </c>
      <c r="P283" t="str">
        <f t="shared" si="16"/>
        <v>Thursday</v>
      </c>
      <c r="Q283">
        <f t="shared" si="17"/>
        <v>1440</v>
      </c>
      <c r="R283" t="str">
        <f t="shared" si="18"/>
        <v>Weekday</v>
      </c>
      <c r="S283" t="str">
        <f t="shared" si="19"/>
        <v>Fairly Active</v>
      </c>
    </row>
    <row r="284" spans="1:19" x14ac:dyDescent="0.25">
      <c r="A284">
        <v>1503960366</v>
      </c>
      <c r="B284" s="4">
        <v>42526</v>
      </c>
      <c r="C284">
        <v>12159</v>
      </c>
      <c r="D284" s="1">
        <v>8.0299997329711896</v>
      </c>
      <c r="E284" s="1">
        <v>8.0299997329711896</v>
      </c>
      <c r="F284" s="1">
        <v>0</v>
      </c>
      <c r="G284" s="1">
        <v>1.9700000286102299</v>
      </c>
      <c r="H284" s="1">
        <v>0.25</v>
      </c>
      <c r="I284" s="1">
        <v>5.8099999427795401</v>
      </c>
      <c r="J284" s="1">
        <v>0</v>
      </c>
      <c r="K284">
        <v>24</v>
      </c>
      <c r="L284">
        <v>6</v>
      </c>
      <c r="M284">
        <v>289</v>
      </c>
      <c r="N284">
        <v>754</v>
      </c>
      <c r="O284">
        <v>1896</v>
      </c>
      <c r="P284" t="str">
        <f t="shared" si="16"/>
        <v>Sunday</v>
      </c>
      <c r="Q284">
        <f t="shared" si="17"/>
        <v>1073</v>
      </c>
      <c r="R284" t="str">
        <f t="shared" si="18"/>
        <v>Weekend</v>
      </c>
      <c r="S284" t="str">
        <f t="shared" si="19"/>
        <v>Very_Active</v>
      </c>
    </row>
    <row r="285" spans="1:19" x14ac:dyDescent="0.25">
      <c r="A285">
        <v>2873212765</v>
      </c>
      <c r="B285" s="4">
        <v>42556</v>
      </c>
      <c r="C285">
        <v>4940</v>
      </c>
      <c r="D285" s="1">
        <v>3.3800001144409202</v>
      </c>
      <c r="E285" s="1">
        <v>3.3800001144409202</v>
      </c>
      <c r="F285" s="1">
        <v>0</v>
      </c>
      <c r="G285" s="1">
        <v>2.2799999713897701</v>
      </c>
      <c r="H285" s="1">
        <v>0.55000001192092896</v>
      </c>
      <c r="I285" s="1">
        <v>0.55000001192092896</v>
      </c>
      <c r="J285" s="1">
        <v>0</v>
      </c>
      <c r="K285">
        <v>75</v>
      </c>
      <c r="L285">
        <v>11</v>
      </c>
      <c r="M285">
        <v>52</v>
      </c>
      <c r="N285">
        <v>1302</v>
      </c>
      <c r="O285">
        <v>1897</v>
      </c>
      <c r="P285" t="str">
        <f t="shared" si="16"/>
        <v>Tuesday</v>
      </c>
      <c r="Q285">
        <f t="shared" si="17"/>
        <v>1440</v>
      </c>
      <c r="R285" t="str">
        <f t="shared" si="18"/>
        <v>Weekday</v>
      </c>
      <c r="S285" t="str">
        <f t="shared" si="19"/>
        <v>Sedentary</v>
      </c>
    </row>
    <row r="286" spans="1:19" x14ac:dyDescent="0.25">
      <c r="A286">
        <v>2873212765</v>
      </c>
      <c r="B286" s="4">
        <v>42484</v>
      </c>
      <c r="C286">
        <v>6873</v>
      </c>
      <c r="D286" s="1">
        <v>4.6799998283386204</v>
      </c>
      <c r="E286" s="1">
        <v>4.6799998283386204</v>
      </c>
      <c r="F286" s="1">
        <v>0</v>
      </c>
      <c r="G286" s="1">
        <v>3</v>
      </c>
      <c r="H286" s="1">
        <v>5.9999998658895499E-2</v>
      </c>
      <c r="I286" s="1">
        <v>1.62000000476837</v>
      </c>
      <c r="J286" s="1">
        <v>0</v>
      </c>
      <c r="K286">
        <v>46</v>
      </c>
      <c r="L286">
        <v>1</v>
      </c>
      <c r="M286">
        <v>190</v>
      </c>
      <c r="N286">
        <v>1203</v>
      </c>
      <c r="O286">
        <v>1898</v>
      </c>
      <c r="P286" t="str">
        <f t="shared" si="16"/>
        <v>Sunday</v>
      </c>
      <c r="Q286">
        <f t="shared" si="17"/>
        <v>1440</v>
      </c>
      <c r="R286" t="str">
        <f t="shared" si="18"/>
        <v>Weekend</v>
      </c>
      <c r="S286" t="str">
        <f t="shared" si="19"/>
        <v>Lightly Active</v>
      </c>
    </row>
    <row r="287" spans="1:19" x14ac:dyDescent="0.25">
      <c r="A287">
        <v>1503960366</v>
      </c>
      <c r="B287" s="4">
        <v>42488</v>
      </c>
      <c r="C287">
        <v>13154</v>
      </c>
      <c r="D287" s="1">
        <v>8.5299997329711896</v>
      </c>
      <c r="E287" s="1">
        <v>8.5299997329711896</v>
      </c>
      <c r="F287" s="1">
        <v>0</v>
      </c>
      <c r="G287" s="1">
        <v>3.53999996185303</v>
      </c>
      <c r="H287" s="1">
        <v>1.1599999666214</v>
      </c>
      <c r="I287" s="1">
        <v>3.78999996185303</v>
      </c>
      <c r="J287" s="1">
        <v>0</v>
      </c>
      <c r="K287">
        <v>48</v>
      </c>
      <c r="L287">
        <v>28</v>
      </c>
      <c r="M287">
        <v>189</v>
      </c>
      <c r="N287">
        <v>782</v>
      </c>
      <c r="O287">
        <v>1898</v>
      </c>
      <c r="P287" t="str">
        <f t="shared" si="16"/>
        <v>Thursday</v>
      </c>
      <c r="Q287">
        <f t="shared" si="17"/>
        <v>1047</v>
      </c>
      <c r="R287" t="str">
        <f t="shared" si="18"/>
        <v>Weekday</v>
      </c>
      <c r="S287" t="str">
        <f t="shared" si="19"/>
        <v>Very_Active</v>
      </c>
    </row>
    <row r="288" spans="1:19" x14ac:dyDescent="0.25">
      <c r="A288">
        <v>2320127002</v>
      </c>
      <c r="B288" s="4">
        <v>42648</v>
      </c>
      <c r="C288">
        <v>6227</v>
      </c>
      <c r="D288" s="1">
        <v>4.1999998092651403</v>
      </c>
      <c r="E288" s="1">
        <v>4.1999998092651403</v>
      </c>
      <c r="F288" s="1">
        <v>0</v>
      </c>
      <c r="G288" s="1">
        <v>0</v>
      </c>
      <c r="H288" s="1">
        <v>0</v>
      </c>
      <c r="I288" s="1">
        <v>4.1999998092651403</v>
      </c>
      <c r="J288" s="1">
        <v>0</v>
      </c>
      <c r="K288">
        <v>0</v>
      </c>
      <c r="L288">
        <v>0</v>
      </c>
      <c r="M288">
        <v>290</v>
      </c>
      <c r="N288">
        <v>1150</v>
      </c>
      <c r="O288">
        <v>1899</v>
      </c>
      <c r="P288" t="str">
        <f t="shared" si="16"/>
        <v>Wednesday</v>
      </c>
      <c r="Q288">
        <f t="shared" si="17"/>
        <v>1440</v>
      </c>
      <c r="R288" t="str">
        <f t="shared" si="18"/>
        <v>Weekday</v>
      </c>
      <c r="S288" t="str">
        <f t="shared" si="19"/>
        <v>Lightly Active</v>
      </c>
    </row>
    <row r="289" spans="1:19" x14ac:dyDescent="0.25">
      <c r="A289">
        <v>6117666160</v>
      </c>
      <c r="B289" s="4">
        <v>42465</v>
      </c>
      <c r="C289">
        <v>2997</v>
      </c>
      <c r="D289" s="1">
        <v>2.2599999904632599</v>
      </c>
      <c r="E289" s="1">
        <v>2.2599999904632599</v>
      </c>
      <c r="F289" s="1">
        <v>0</v>
      </c>
      <c r="G289" s="1">
        <v>0</v>
      </c>
      <c r="H289" s="1">
        <v>0</v>
      </c>
      <c r="I289" s="1">
        <v>2.2599999904632599</v>
      </c>
      <c r="J289" s="1">
        <v>0</v>
      </c>
      <c r="K289">
        <v>0</v>
      </c>
      <c r="L289">
        <v>0</v>
      </c>
      <c r="M289">
        <v>156</v>
      </c>
      <c r="N289">
        <v>1279</v>
      </c>
      <c r="O289">
        <v>1902</v>
      </c>
      <c r="P289" t="str">
        <f t="shared" si="16"/>
        <v>Tuesday</v>
      </c>
      <c r="Q289">
        <f t="shared" si="17"/>
        <v>1435</v>
      </c>
      <c r="R289" t="str">
        <f t="shared" si="18"/>
        <v>Weekday</v>
      </c>
      <c r="S289" t="str">
        <f t="shared" si="19"/>
        <v>Sedentary</v>
      </c>
    </row>
    <row r="290" spans="1:19" x14ac:dyDescent="0.25">
      <c r="A290">
        <v>2320127002</v>
      </c>
      <c r="B290" s="4">
        <v>42679</v>
      </c>
      <c r="C290">
        <v>6424</v>
      </c>
      <c r="D290" s="1">
        <v>4.3299999237060502</v>
      </c>
      <c r="E290" s="1">
        <v>4.3299999237060502</v>
      </c>
      <c r="F290" s="1">
        <v>0</v>
      </c>
      <c r="G290" s="1">
        <v>0</v>
      </c>
      <c r="H290" s="1">
        <v>0</v>
      </c>
      <c r="I290" s="1">
        <v>4.3299999237060502</v>
      </c>
      <c r="J290" s="1">
        <v>0</v>
      </c>
      <c r="K290">
        <v>0</v>
      </c>
      <c r="L290">
        <v>0</v>
      </c>
      <c r="M290">
        <v>300</v>
      </c>
      <c r="N290">
        <v>1140</v>
      </c>
      <c r="O290">
        <v>1903</v>
      </c>
      <c r="P290" t="str">
        <f t="shared" si="16"/>
        <v>Saturday</v>
      </c>
      <c r="Q290">
        <f t="shared" si="17"/>
        <v>1440</v>
      </c>
      <c r="R290" t="str">
        <f t="shared" si="18"/>
        <v>Weekend</v>
      </c>
      <c r="S290" t="str">
        <f t="shared" si="19"/>
        <v>Lightly Active</v>
      </c>
    </row>
    <row r="291" spans="1:19" x14ac:dyDescent="0.25">
      <c r="A291">
        <v>2320127002</v>
      </c>
      <c r="B291" s="4">
        <v>42478</v>
      </c>
      <c r="C291">
        <v>6559</v>
      </c>
      <c r="D291" s="1">
        <v>4.4200000762939498</v>
      </c>
      <c r="E291" s="1">
        <v>4.4200000762939498</v>
      </c>
      <c r="F291" s="1">
        <v>0</v>
      </c>
      <c r="G291" s="1">
        <v>0</v>
      </c>
      <c r="H291" s="1">
        <v>0.259999990463257</v>
      </c>
      <c r="I291" s="1">
        <v>4.1399998664856001</v>
      </c>
      <c r="J291" s="1">
        <v>0</v>
      </c>
      <c r="K291">
        <v>0</v>
      </c>
      <c r="L291">
        <v>7</v>
      </c>
      <c r="M291">
        <v>260</v>
      </c>
      <c r="N291">
        <v>1173</v>
      </c>
      <c r="O291">
        <v>1905</v>
      </c>
      <c r="P291" t="str">
        <f t="shared" si="16"/>
        <v>Monday</v>
      </c>
      <c r="Q291">
        <f t="shared" si="17"/>
        <v>1440</v>
      </c>
      <c r="R291" t="str">
        <f t="shared" si="18"/>
        <v>Weekday</v>
      </c>
      <c r="S291" t="str">
        <f t="shared" si="19"/>
        <v>Lightly Active</v>
      </c>
    </row>
    <row r="292" spans="1:19" x14ac:dyDescent="0.25">
      <c r="A292">
        <v>2873212765</v>
      </c>
      <c r="B292" s="4">
        <v>42434</v>
      </c>
      <c r="C292">
        <v>7412</v>
      </c>
      <c r="D292" s="1">
        <v>4.9800000190734899</v>
      </c>
      <c r="E292" s="1">
        <v>4.9800000190734899</v>
      </c>
      <c r="F292" s="1">
        <v>0</v>
      </c>
      <c r="G292" s="1">
        <v>5.9999998658895499E-2</v>
      </c>
      <c r="H292" s="1">
        <v>0.25</v>
      </c>
      <c r="I292" s="1">
        <v>4.6599998474121103</v>
      </c>
      <c r="J292" s="1">
        <v>9.9999997764825804E-3</v>
      </c>
      <c r="K292">
        <v>1</v>
      </c>
      <c r="L292">
        <v>6</v>
      </c>
      <c r="M292">
        <v>363</v>
      </c>
      <c r="N292">
        <v>1070</v>
      </c>
      <c r="O292">
        <v>1906</v>
      </c>
      <c r="P292" t="str">
        <f t="shared" si="16"/>
        <v>Saturday</v>
      </c>
      <c r="Q292">
        <f t="shared" si="17"/>
        <v>1440</v>
      </c>
      <c r="R292" t="str">
        <f t="shared" si="18"/>
        <v>Weekend</v>
      </c>
      <c r="S292" t="str">
        <f t="shared" si="19"/>
        <v>Lightly Active</v>
      </c>
    </row>
    <row r="293" spans="1:19" x14ac:dyDescent="0.25">
      <c r="A293">
        <v>2873212765</v>
      </c>
      <c r="B293" s="4">
        <v>42618</v>
      </c>
      <c r="C293">
        <v>7726</v>
      </c>
      <c r="D293" s="1">
        <v>5.1900000572204599</v>
      </c>
      <c r="E293" s="1">
        <v>5.1900000572204599</v>
      </c>
      <c r="F293" s="1">
        <v>0</v>
      </c>
      <c r="G293" s="1">
        <v>0</v>
      </c>
      <c r="H293" s="1">
        <v>0</v>
      </c>
      <c r="I293" s="1">
        <v>5.1900000572204599</v>
      </c>
      <c r="J293" s="1">
        <v>0</v>
      </c>
      <c r="K293">
        <v>0</v>
      </c>
      <c r="L293">
        <v>0</v>
      </c>
      <c r="M293">
        <v>345</v>
      </c>
      <c r="N293">
        <v>1095</v>
      </c>
      <c r="O293">
        <v>1906</v>
      </c>
      <c r="P293" t="str">
        <f t="shared" si="16"/>
        <v>Monday</v>
      </c>
      <c r="Q293">
        <f t="shared" si="17"/>
        <v>1440</v>
      </c>
      <c r="R293" t="str">
        <f t="shared" si="18"/>
        <v>Weekday</v>
      </c>
      <c r="S293" t="str">
        <f t="shared" si="19"/>
        <v>Fairly Active</v>
      </c>
    </row>
    <row r="294" spans="1:19" x14ac:dyDescent="0.25">
      <c r="A294">
        <v>2873212765</v>
      </c>
      <c r="B294" s="4">
        <v>42485</v>
      </c>
      <c r="C294">
        <v>7373</v>
      </c>
      <c r="D294" s="1">
        <v>4.9499998092651403</v>
      </c>
      <c r="E294" s="1">
        <v>4.9499998092651403</v>
      </c>
      <c r="F294" s="1">
        <v>0</v>
      </c>
      <c r="G294" s="1">
        <v>0</v>
      </c>
      <c r="H294" s="1">
        <v>0</v>
      </c>
      <c r="I294" s="1">
        <v>4.9499998092651403</v>
      </c>
      <c r="J294" s="1">
        <v>0</v>
      </c>
      <c r="K294">
        <v>0</v>
      </c>
      <c r="L294">
        <v>0</v>
      </c>
      <c r="M294">
        <v>359</v>
      </c>
      <c r="N294">
        <v>1081</v>
      </c>
      <c r="O294">
        <v>1907</v>
      </c>
      <c r="P294" t="str">
        <f t="shared" si="16"/>
        <v>Monday</v>
      </c>
      <c r="Q294">
        <f t="shared" si="17"/>
        <v>1440</v>
      </c>
      <c r="R294" t="str">
        <f t="shared" si="18"/>
        <v>Weekday</v>
      </c>
      <c r="S294" t="str">
        <f t="shared" si="19"/>
        <v>Lightly Active</v>
      </c>
    </row>
    <row r="295" spans="1:19" x14ac:dyDescent="0.25">
      <c r="A295">
        <v>3372868164</v>
      </c>
      <c r="B295" s="4">
        <v>42476</v>
      </c>
      <c r="C295">
        <v>6905</v>
      </c>
      <c r="D295" s="1">
        <v>4.7300000190734899</v>
      </c>
      <c r="E295" s="1">
        <v>4.7300000190734899</v>
      </c>
      <c r="F295" s="1">
        <v>0</v>
      </c>
      <c r="G295" s="1">
        <v>0</v>
      </c>
      <c r="H295" s="1">
        <v>0</v>
      </c>
      <c r="I295" s="1">
        <v>4.6999998092651403</v>
      </c>
      <c r="J295" s="1">
        <v>2.9999999329447701E-2</v>
      </c>
      <c r="K295">
        <v>0</v>
      </c>
      <c r="L295">
        <v>0</v>
      </c>
      <c r="M295">
        <v>356</v>
      </c>
      <c r="N295">
        <v>1084</v>
      </c>
      <c r="O295">
        <v>1908</v>
      </c>
      <c r="P295" t="str">
        <f t="shared" si="16"/>
        <v>Saturday</v>
      </c>
      <c r="Q295">
        <f t="shared" si="17"/>
        <v>1440</v>
      </c>
      <c r="R295" t="str">
        <f t="shared" si="18"/>
        <v>Weekend</v>
      </c>
      <c r="S295" t="str">
        <f t="shared" si="19"/>
        <v>Lightly Active</v>
      </c>
    </row>
    <row r="296" spans="1:19" x14ac:dyDescent="0.25">
      <c r="A296">
        <v>3372868164</v>
      </c>
      <c r="B296" s="4">
        <v>42475</v>
      </c>
      <c r="C296">
        <v>7451</v>
      </c>
      <c r="D296" s="1">
        <v>5.0799999237060502</v>
      </c>
      <c r="E296" s="1">
        <v>5.0799999237060502</v>
      </c>
      <c r="F296" s="1">
        <v>0</v>
      </c>
      <c r="G296" s="1">
        <v>0</v>
      </c>
      <c r="H296" s="1">
        <v>0</v>
      </c>
      <c r="I296" s="1">
        <v>5.0599999427795401</v>
      </c>
      <c r="J296" s="1">
        <v>1.9999999552965199E-2</v>
      </c>
      <c r="K296">
        <v>0</v>
      </c>
      <c r="L296">
        <v>0</v>
      </c>
      <c r="M296">
        <v>335</v>
      </c>
      <c r="N296">
        <v>1105</v>
      </c>
      <c r="O296">
        <v>1908</v>
      </c>
      <c r="P296" t="str">
        <f t="shared" si="16"/>
        <v>Friday</v>
      </c>
      <c r="Q296">
        <f t="shared" si="17"/>
        <v>1440</v>
      </c>
      <c r="R296" t="str">
        <f t="shared" si="18"/>
        <v>Weekday</v>
      </c>
      <c r="S296" t="str">
        <f t="shared" si="19"/>
        <v>Lightly Active</v>
      </c>
    </row>
    <row r="297" spans="1:19" x14ac:dyDescent="0.25">
      <c r="A297">
        <v>4558609924</v>
      </c>
      <c r="B297" s="4">
        <v>42708</v>
      </c>
      <c r="C297">
        <v>5135</v>
      </c>
      <c r="D297" s="1">
        <v>3.3900001049041699</v>
      </c>
      <c r="E297" s="1">
        <v>3.3900001049041699</v>
      </c>
      <c r="F297" s="1">
        <v>0</v>
      </c>
      <c r="G297" s="1">
        <v>0</v>
      </c>
      <c r="H297" s="1">
        <v>0</v>
      </c>
      <c r="I297" s="1">
        <v>3.3900001049041699</v>
      </c>
      <c r="J297" s="1">
        <v>0</v>
      </c>
      <c r="K297">
        <v>0</v>
      </c>
      <c r="L297">
        <v>0</v>
      </c>
      <c r="M297">
        <v>318</v>
      </c>
      <c r="N297">
        <v>1122</v>
      </c>
      <c r="O297">
        <v>1909</v>
      </c>
      <c r="P297" t="str">
        <f t="shared" si="16"/>
        <v>Sunday</v>
      </c>
      <c r="Q297">
        <f t="shared" si="17"/>
        <v>1440</v>
      </c>
      <c r="R297" t="str">
        <f t="shared" si="18"/>
        <v>Weekend</v>
      </c>
      <c r="S297" t="str">
        <f t="shared" si="19"/>
        <v>Lightly Active</v>
      </c>
    </row>
    <row r="298" spans="1:19" x14ac:dyDescent="0.25">
      <c r="A298">
        <v>8253242879</v>
      </c>
      <c r="B298" s="4">
        <v>42485</v>
      </c>
      <c r="C298">
        <v>6829</v>
      </c>
      <c r="D298" s="1">
        <v>4.5100002288818404</v>
      </c>
      <c r="E298" s="1">
        <v>4.5100002288818404</v>
      </c>
      <c r="F298" s="1">
        <v>0</v>
      </c>
      <c r="G298" s="1">
        <v>0.36000001430511502</v>
      </c>
      <c r="H298" s="1">
        <v>2.3900001049041699</v>
      </c>
      <c r="I298" s="1">
        <v>1.7699999809265099</v>
      </c>
      <c r="J298" s="1">
        <v>0</v>
      </c>
      <c r="K298">
        <v>7</v>
      </c>
      <c r="L298">
        <v>54</v>
      </c>
      <c r="M298">
        <v>118</v>
      </c>
      <c r="N298">
        <v>1261</v>
      </c>
      <c r="O298">
        <v>1909</v>
      </c>
      <c r="P298" t="str">
        <f t="shared" si="16"/>
        <v>Monday</v>
      </c>
      <c r="Q298">
        <f t="shared" si="17"/>
        <v>1440</v>
      </c>
      <c r="R298" t="str">
        <f t="shared" si="18"/>
        <v>Weekday</v>
      </c>
      <c r="S298" t="str">
        <f t="shared" si="19"/>
        <v>Lightly Active</v>
      </c>
    </row>
    <row r="299" spans="1:19" x14ac:dyDescent="0.25">
      <c r="A299">
        <v>2873212765</v>
      </c>
      <c r="B299" s="4">
        <v>42526</v>
      </c>
      <c r="C299">
        <v>7063</v>
      </c>
      <c r="D299" s="1">
        <v>4.75</v>
      </c>
      <c r="E299" s="1">
        <v>4.75</v>
      </c>
      <c r="F299" s="1">
        <v>0</v>
      </c>
      <c r="G299" s="1">
        <v>0</v>
      </c>
      <c r="H299" s="1">
        <v>0.119999997317791</v>
      </c>
      <c r="I299" s="1">
        <v>4.6100001335143999</v>
      </c>
      <c r="J299" s="1">
        <v>9.9999997764825804E-3</v>
      </c>
      <c r="K299">
        <v>0</v>
      </c>
      <c r="L299">
        <v>5</v>
      </c>
      <c r="M299">
        <v>370</v>
      </c>
      <c r="N299">
        <v>1065</v>
      </c>
      <c r="O299">
        <v>1910</v>
      </c>
      <c r="P299" t="str">
        <f t="shared" si="16"/>
        <v>Sunday</v>
      </c>
      <c r="Q299">
        <f t="shared" si="17"/>
        <v>1440</v>
      </c>
      <c r="R299" t="str">
        <f t="shared" si="18"/>
        <v>Weekend</v>
      </c>
      <c r="S299" t="str">
        <f t="shared" si="19"/>
        <v>Lightly Active</v>
      </c>
    </row>
    <row r="300" spans="1:19" x14ac:dyDescent="0.25">
      <c r="A300">
        <v>5553957443</v>
      </c>
      <c r="B300" s="4">
        <v>42526</v>
      </c>
      <c r="C300">
        <v>9632</v>
      </c>
      <c r="D300" s="1">
        <v>6.28999996185303</v>
      </c>
      <c r="E300" s="1">
        <v>6.28999996185303</v>
      </c>
      <c r="F300" s="1">
        <v>0</v>
      </c>
      <c r="G300" s="1">
        <v>1.5199999809265099</v>
      </c>
      <c r="H300" s="1">
        <v>0.54000002145767201</v>
      </c>
      <c r="I300" s="1">
        <v>4.2300000190734899</v>
      </c>
      <c r="J300" s="1">
        <v>0</v>
      </c>
      <c r="K300">
        <v>21</v>
      </c>
      <c r="L300">
        <v>9</v>
      </c>
      <c r="M300">
        <v>229</v>
      </c>
      <c r="N300">
        <v>761</v>
      </c>
      <c r="O300">
        <v>1916</v>
      </c>
      <c r="P300" t="str">
        <f t="shared" si="16"/>
        <v>Sunday</v>
      </c>
      <c r="Q300">
        <f t="shared" si="17"/>
        <v>1020</v>
      </c>
      <c r="R300" t="str">
        <f t="shared" si="18"/>
        <v>Weekend</v>
      </c>
      <c r="S300" t="str">
        <f t="shared" si="19"/>
        <v>Fairly Active</v>
      </c>
    </row>
    <row r="301" spans="1:19" x14ac:dyDescent="0.25">
      <c r="A301">
        <v>2026352035</v>
      </c>
      <c r="B301" s="4">
        <v>42483</v>
      </c>
      <c r="C301">
        <v>12357</v>
      </c>
      <c r="D301" s="1">
        <v>7.71000003814697</v>
      </c>
      <c r="E301" s="1">
        <v>7.71000003814697</v>
      </c>
      <c r="F301" s="1">
        <v>0</v>
      </c>
      <c r="G301" s="1">
        <v>0</v>
      </c>
      <c r="H301" s="1">
        <v>0</v>
      </c>
      <c r="I301" s="1">
        <v>7.71000003814697</v>
      </c>
      <c r="J301" s="1">
        <v>0</v>
      </c>
      <c r="K301">
        <v>0</v>
      </c>
      <c r="L301">
        <v>0</v>
      </c>
      <c r="M301">
        <v>432</v>
      </c>
      <c r="N301">
        <v>458</v>
      </c>
      <c r="O301">
        <v>1916</v>
      </c>
      <c r="P301" t="str">
        <f t="shared" si="16"/>
        <v>Saturday</v>
      </c>
      <c r="Q301">
        <f t="shared" si="17"/>
        <v>890</v>
      </c>
      <c r="R301" t="str">
        <f t="shared" si="18"/>
        <v>Weekend</v>
      </c>
      <c r="S301" t="str">
        <f t="shared" si="19"/>
        <v>Very_Active</v>
      </c>
    </row>
    <row r="302" spans="1:19" x14ac:dyDescent="0.25">
      <c r="A302">
        <v>4558609924</v>
      </c>
      <c r="B302" s="4">
        <v>42489</v>
      </c>
      <c r="C302">
        <v>7833</v>
      </c>
      <c r="D302" s="1">
        <v>5.1799998283386204</v>
      </c>
      <c r="E302" s="1">
        <v>5.1799998283386204</v>
      </c>
      <c r="F302" s="1">
        <v>0</v>
      </c>
      <c r="G302" s="1">
        <v>1.0199999809265099</v>
      </c>
      <c r="H302" s="1">
        <v>1.8500000238418599</v>
      </c>
      <c r="I302" s="1">
        <v>2.3099999427795401</v>
      </c>
      <c r="J302" s="1">
        <v>0</v>
      </c>
      <c r="K302">
        <v>15</v>
      </c>
      <c r="L302">
        <v>29</v>
      </c>
      <c r="M302">
        <v>197</v>
      </c>
      <c r="N302">
        <v>1096</v>
      </c>
      <c r="O302">
        <v>1918</v>
      </c>
      <c r="P302" t="str">
        <f t="shared" si="16"/>
        <v>Friday</v>
      </c>
      <c r="Q302">
        <f t="shared" si="17"/>
        <v>1337</v>
      </c>
      <c r="R302" t="str">
        <f t="shared" si="18"/>
        <v>Weekday</v>
      </c>
      <c r="S302" t="str">
        <f t="shared" si="19"/>
        <v>Fairly Active</v>
      </c>
    </row>
    <row r="303" spans="1:19" x14ac:dyDescent="0.25">
      <c r="A303">
        <v>3372868164</v>
      </c>
      <c r="B303" s="4">
        <v>42484</v>
      </c>
      <c r="C303">
        <v>6731</v>
      </c>
      <c r="D303" s="1">
        <v>4.5900001525878897</v>
      </c>
      <c r="E303" s="1">
        <v>4.5900001525878897</v>
      </c>
      <c r="F303" s="1">
        <v>0</v>
      </c>
      <c r="G303" s="1">
        <v>0.88999998569488503</v>
      </c>
      <c r="H303" s="1">
        <v>0.18999999761581399</v>
      </c>
      <c r="I303" s="1">
        <v>3.4900000095367401</v>
      </c>
      <c r="J303" s="1">
        <v>1.9999999552965199E-2</v>
      </c>
      <c r="K303">
        <v>14</v>
      </c>
      <c r="L303">
        <v>7</v>
      </c>
      <c r="M303">
        <v>292</v>
      </c>
      <c r="N303">
        <v>1127</v>
      </c>
      <c r="O303">
        <v>1921</v>
      </c>
      <c r="P303" t="str">
        <f t="shared" si="16"/>
        <v>Sunday</v>
      </c>
      <c r="Q303">
        <f t="shared" si="17"/>
        <v>1440</v>
      </c>
      <c r="R303" t="str">
        <f t="shared" si="18"/>
        <v>Weekend</v>
      </c>
      <c r="S303" t="str">
        <f t="shared" si="19"/>
        <v>Lightly Active</v>
      </c>
    </row>
    <row r="304" spans="1:19" x14ac:dyDescent="0.25">
      <c r="A304">
        <v>1503960366</v>
      </c>
      <c r="B304" s="4">
        <v>42478</v>
      </c>
      <c r="C304">
        <v>13019</v>
      </c>
      <c r="D304" s="1">
        <v>8.5900001525878906</v>
      </c>
      <c r="E304" s="1">
        <v>8.5900001525878906</v>
      </c>
      <c r="F304" s="1">
        <v>0</v>
      </c>
      <c r="G304" s="1">
        <v>3.25</v>
      </c>
      <c r="H304" s="1">
        <v>0.63999998569488503</v>
      </c>
      <c r="I304" s="1">
        <v>4.71000003814697</v>
      </c>
      <c r="J304" s="1">
        <v>0</v>
      </c>
      <c r="K304">
        <v>42</v>
      </c>
      <c r="L304">
        <v>16</v>
      </c>
      <c r="M304">
        <v>233</v>
      </c>
      <c r="N304">
        <v>1149</v>
      </c>
      <c r="O304">
        <v>1921</v>
      </c>
      <c r="P304" t="str">
        <f t="shared" si="16"/>
        <v>Monday</v>
      </c>
      <c r="Q304">
        <f t="shared" si="17"/>
        <v>1440</v>
      </c>
      <c r="R304" t="str">
        <f t="shared" si="18"/>
        <v>Weekday</v>
      </c>
      <c r="S304" t="str">
        <f t="shared" si="19"/>
        <v>Very_Active</v>
      </c>
    </row>
    <row r="305" spans="1:19" x14ac:dyDescent="0.25">
      <c r="A305">
        <v>6775888955</v>
      </c>
      <c r="B305" s="4">
        <v>42482</v>
      </c>
      <c r="C305">
        <v>637</v>
      </c>
      <c r="D305" s="1">
        <v>0.46000000834464999</v>
      </c>
      <c r="E305" s="1">
        <v>0.46000000834464999</v>
      </c>
      <c r="F305" s="1">
        <v>0</v>
      </c>
      <c r="G305" s="1">
        <v>0</v>
      </c>
      <c r="H305" s="1">
        <v>0</v>
      </c>
      <c r="I305" s="1">
        <v>0.46000000834464999</v>
      </c>
      <c r="J305" s="1">
        <v>0</v>
      </c>
      <c r="K305">
        <v>0</v>
      </c>
      <c r="L305">
        <v>0</v>
      </c>
      <c r="M305">
        <v>20</v>
      </c>
      <c r="N305">
        <v>1420</v>
      </c>
      <c r="O305">
        <v>1922</v>
      </c>
      <c r="P305" t="str">
        <f t="shared" si="16"/>
        <v>Friday</v>
      </c>
      <c r="Q305">
        <f t="shared" si="17"/>
        <v>1440</v>
      </c>
      <c r="R305" t="str">
        <f t="shared" si="18"/>
        <v>Weekday</v>
      </c>
      <c r="S305" t="str">
        <f t="shared" si="19"/>
        <v>Sedentary</v>
      </c>
    </row>
    <row r="306" spans="1:19" x14ac:dyDescent="0.25">
      <c r="A306">
        <v>4558609924</v>
      </c>
      <c r="B306" s="4">
        <v>42474</v>
      </c>
      <c r="C306">
        <v>6799</v>
      </c>
      <c r="D306" s="1">
        <v>4.4899997711181596</v>
      </c>
      <c r="E306" s="1">
        <v>4.4899997711181596</v>
      </c>
      <c r="F306" s="1">
        <v>0</v>
      </c>
      <c r="G306" s="1">
        <v>0</v>
      </c>
      <c r="H306" s="1">
        <v>0</v>
      </c>
      <c r="I306" s="1">
        <v>4.4899997711181596</v>
      </c>
      <c r="J306" s="1">
        <v>0</v>
      </c>
      <c r="K306">
        <v>0</v>
      </c>
      <c r="L306">
        <v>0</v>
      </c>
      <c r="M306">
        <v>279</v>
      </c>
      <c r="N306">
        <v>1161</v>
      </c>
      <c r="O306">
        <v>1922</v>
      </c>
      <c r="P306" t="str">
        <f t="shared" si="16"/>
        <v>Thursday</v>
      </c>
      <c r="Q306">
        <f t="shared" si="17"/>
        <v>1440</v>
      </c>
      <c r="R306" t="str">
        <f t="shared" si="18"/>
        <v>Weekday</v>
      </c>
      <c r="S306" t="str">
        <f t="shared" si="19"/>
        <v>Lightly Active</v>
      </c>
    </row>
    <row r="307" spans="1:19" x14ac:dyDescent="0.25">
      <c r="A307">
        <v>2320127002</v>
      </c>
      <c r="B307" s="4">
        <v>42480</v>
      </c>
      <c r="C307">
        <v>7192</v>
      </c>
      <c r="D307" s="1">
        <v>4.8499999046325701</v>
      </c>
      <c r="E307" s="1">
        <v>4.8499999046325701</v>
      </c>
      <c r="F307" s="1">
        <v>0</v>
      </c>
      <c r="G307" s="1">
        <v>0</v>
      </c>
      <c r="H307" s="1">
        <v>0.490000009536743</v>
      </c>
      <c r="I307" s="1">
        <v>4.3400001525878897</v>
      </c>
      <c r="J307" s="1">
        <v>0</v>
      </c>
      <c r="K307">
        <v>0</v>
      </c>
      <c r="L307">
        <v>11</v>
      </c>
      <c r="M307">
        <v>283</v>
      </c>
      <c r="N307">
        <v>1146</v>
      </c>
      <c r="O307">
        <v>1922</v>
      </c>
      <c r="P307" t="str">
        <f t="shared" si="16"/>
        <v>Wednesday</v>
      </c>
      <c r="Q307">
        <f t="shared" si="17"/>
        <v>1440</v>
      </c>
      <c r="R307" t="str">
        <f t="shared" si="18"/>
        <v>Weekday</v>
      </c>
      <c r="S307" t="str">
        <f t="shared" si="19"/>
        <v>Lightly Active</v>
      </c>
    </row>
    <row r="308" spans="1:19" x14ac:dyDescent="0.25">
      <c r="A308">
        <v>5553957443</v>
      </c>
      <c r="B308" s="4">
        <v>42487</v>
      </c>
      <c r="C308">
        <v>10538</v>
      </c>
      <c r="D308" s="1">
        <v>6.8800001144409197</v>
      </c>
      <c r="E308" s="1">
        <v>6.8800001144409197</v>
      </c>
      <c r="F308" s="1">
        <v>0</v>
      </c>
      <c r="G308" s="1">
        <v>1.1399999856948899</v>
      </c>
      <c r="H308" s="1">
        <v>1</v>
      </c>
      <c r="I308" s="1">
        <v>4.7399997711181596</v>
      </c>
      <c r="J308" s="1">
        <v>0</v>
      </c>
      <c r="K308">
        <v>16</v>
      </c>
      <c r="L308">
        <v>16</v>
      </c>
      <c r="M308">
        <v>206</v>
      </c>
      <c r="N308">
        <v>745</v>
      </c>
      <c r="O308">
        <v>1922</v>
      </c>
      <c r="P308" t="str">
        <f t="shared" si="16"/>
        <v>Wednesday</v>
      </c>
      <c r="Q308">
        <f t="shared" si="17"/>
        <v>983</v>
      </c>
      <c r="R308" t="str">
        <f t="shared" si="18"/>
        <v>Weekday</v>
      </c>
      <c r="S308" t="str">
        <f t="shared" si="19"/>
        <v>Very_Active</v>
      </c>
    </row>
    <row r="309" spans="1:19" x14ac:dyDescent="0.25">
      <c r="A309">
        <v>2026352035</v>
      </c>
      <c r="B309" s="4">
        <v>42495</v>
      </c>
      <c r="C309">
        <v>12167</v>
      </c>
      <c r="D309" s="1">
        <v>7.53999996185303</v>
      </c>
      <c r="E309" s="1">
        <v>7.53999996185303</v>
      </c>
      <c r="F309" s="1">
        <v>0</v>
      </c>
      <c r="G309" s="1">
        <v>0</v>
      </c>
      <c r="H309" s="1">
        <v>0</v>
      </c>
      <c r="I309" s="1">
        <v>7.53999996185303</v>
      </c>
      <c r="J309" s="1">
        <v>0</v>
      </c>
      <c r="K309">
        <v>0</v>
      </c>
      <c r="L309">
        <v>0</v>
      </c>
      <c r="M309">
        <v>475</v>
      </c>
      <c r="N309">
        <v>479</v>
      </c>
      <c r="O309">
        <v>1926</v>
      </c>
      <c r="P309" t="str">
        <f t="shared" si="16"/>
        <v>Thursday</v>
      </c>
      <c r="Q309">
        <f t="shared" si="17"/>
        <v>954</v>
      </c>
      <c r="R309" t="str">
        <f t="shared" si="18"/>
        <v>Weekday</v>
      </c>
      <c r="S309" t="str">
        <f t="shared" si="19"/>
        <v>Very_Active</v>
      </c>
    </row>
    <row r="310" spans="1:19" x14ac:dyDescent="0.25">
      <c r="A310">
        <v>8792009665</v>
      </c>
      <c r="B310" s="4">
        <v>42486</v>
      </c>
      <c r="C310">
        <v>1321</v>
      </c>
      <c r="D310" s="1">
        <v>0.85000002384185802</v>
      </c>
      <c r="E310" s="1">
        <v>0.85000002384185802</v>
      </c>
      <c r="F310" s="1">
        <v>0</v>
      </c>
      <c r="G310" s="1">
        <v>0</v>
      </c>
      <c r="H310" s="1">
        <v>0</v>
      </c>
      <c r="I310" s="1">
        <v>0.85000002384185802</v>
      </c>
      <c r="J310" s="1">
        <v>0</v>
      </c>
      <c r="K310">
        <v>0</v>
      </c>
      <c r="L310">
        <v>0</v>
      </c>
      <c r="M310">
        <v>80</v>
      </c>
      <c r="N310">
        <v>1360</v>
      </c>
      <c r="O310">
        <v>1928</v>
      </c>
      <c r="P310" t="str">
        <f t="shared" si="16"/>
        <v>Tuesday</v>
      </c>
      <c r="Q310">
        <f t="shared" si="17"/>
        <v>1440</v>
      </c>
      <c r="R310" t="str">
        <f t="shared" si="18"/>
        <v>Weekday</v>
      </c>
      <c r="S310" t="str">
        <f t="shared" si="19"/>
        <v>Sedentary</v>
      </c>
    </row>
    <row r="311" spans="1:19" x14ac:dyDescent="0.25">
      <c r="A311">
        <v>8253242879</v>
      </c>
      <c r="B311" s="4">
        <v>42480</v>
      </c>
      <c r="C311">
        <v>6466</v>
      </c>
      <c r="D311" s="1">
        <v>4.2699999809265101</v>
      </c>
      <c r="E311" s="1">
        <v>4.2699999809265101</v>
      </c>
      <c r="F311" s="1">
        <v>0</v>
      </c>
      <c r="G311" s="1">
        <v>0.33000001311302202</v>
      </c>
      <c r="H311" s="1">
        <v>0.81999999284744296</v>
      </c>
      <c r="I311" s="1">
        <v>3.1099998950958301</v>
      </c>
      <c r="J311" s="1">
        <v>9.9999997764825804E-3</v>
      </c>
      <c r="K311">
        <v>5</v>
      </c>
      <c r="L311">
        <v>18</v>
      </c>
      <c r="M311">
        <v>216</v>
      </c>
      <c r="N311">
        <v>1201</v>
      </c>
      <c r="O311">
        <v>1931</v>
      </c>
      <c r="P311" t="str">
        <f t="shared" si="16"/>
        <v>Wednesday</v>
      </c>
      <c r="Q311">
        <f t="shared" si="17"/>
        <v>1440</v>
      </c>
      <c r="R311" t="str">
        <f t="shared" si="18"/>
        <v>Weekday</v>
      </c>
      <c r="S311" t="str">
        <f t="shared" si="19"/>
        <v>Lightly Active</v>
      </c>
    </row>
    <row r="312" spans="1:19" x14ac:dyDescent="0.25">
      <c r="A312">
        <v>4445114986</v>
      </c>
      <c r="B312" s="4">
        <v>42477</v>
      </c>
      <c r="C312">
        <v>2268</v>
      </c>
      <c r="D312" s="1">
        <v>1.5199999809265099</v>
      </c>
      <c r="E312" s="1">
        <v>1.5199999809265099</v>
      </c>
      <c r="F312" s="1">
        <v>0</v>
      </c>
      <c r="G312" s="1">
        <v>0</v>
      </c>
      <c r="H312" s="1">
        <v>0</v>
      </c>
      <c r="I312" s="1">
        <v>1.5199999809265099</v>
      </c>
      <c r="J312" s="1">
        <v>0</v>
      </c>
      <c r="K312">
        <v>0</v>
      </c>
      <c r="L312">
        <v>0</v>
      </c>
      <c r="M312">
        <v>114</v>
      </c>
      <c r="N312">
        <v>1219</v>
      </c>
      <c r="O312">
        <v>1933</v>
      </c>
      <c r="P312" t="str">
        <f t="shared" si="16"/>
        <v>Sunday</v>
      </c>
      <c r="Q312">
        <f t="shared" si="17"/>
        <v>1333</v>
      </c>
      <c r="R312" t="str">
        <f t="shared" si="18"/>
        <v>Weekend</v>
      </c>
      <c r="S312" t="str">
        <f t="shared" si="19"/>
        <v>Sedentary</v>
      </c>
    </row>
    <row r="313" spans="1:19" x14ac:dyDescent="0.25">
      <c r="A313">
        <v>8792009665</v>
      </c>
      <c r="B313" s="4">
        <v>42473</v>
      </c>
      <c r="C313">
        <v>1320</v>
      </c>
      <c r="D313" s="1">
        <v>0.83999997377395597</v>
      </c>
      <c r="E313" s="1">
        <v>0.83999997377395597</v>
      </c>
      <c r="F313" s="1">
        <v>0</v>
      </c>
      <c r="G313" s="1">
        <v>0</v>
      </c>
      <c r="H313" s="1">
        <v>0</v>
      </c>
      <c r="I313" s="1">
        <v>0.83999997377395597</v>
      </c>
      <c r="J313" s="1">
        <v>0</v>
      </c>
      <c r="K313">
        <v>0</v>
      </c>
      <c r="L313">
        <v>0</v>
      </c>
      <c r="M313">
        <v>82</v>
      </c>
      <c r="N313">
        <v>806</v>
      </c>
      <c r="O313">
        <v>1934</v>
      </c>
      <c r="P313" t="str">
        <f t="shared" si="16"/>
        <v>Wednesday</v>
      </c>
      <c r="Q313">
        <f t="shared" si="17"/>
        <v>888</v>
      </c>
      <c r="R313" t="str">
        <f t="shared" si="18"/>
        <v>Weekday</v>
      </c>
      <c r="S313" t="str">
        <f t="shared" si="19"/>
        <v>Sedentary</v>
      </c>
    </row>
    <row r="314" spans="1:19" x14ac:dyDescent="0.25">
      <c r="A314">
        <v>8253242879</v>
      </c>
      <c r="B314" s="4">
        <v>42473</v>
      </c>
      <c r="C314">
        <v>8053</v>
      </c>
      <c r="D314" s="1">
        <v>6.0999999046325701</v>
      </c>
      <c r="E314" s="1">
        <v>6.0999999046325701</v>
      </c>
      <c r="F314" s="1">
        <v>0</v>
      </c>
      <c r="G314" s="1">
        <v>4.1700000762939498</v>
      </c>
      <c r="H314" s="1">
        <v>0.62999999523162797</v>
      </c>
      <c r="I314" s="1">
        <v>1.3099999427795399</v>
      </c>
      <c r="J314" s="1">
        <v>0</v>
      </c>
      <c r="K314">
        <v>35</v>
      </c>
      <c r="L314">
        <v>11</v>
      </c>
      <c r="M314">
        <v>96</v>
      </c>
      <c r="N314">
        <v>1298</v>
      </c>
      <c r="O314">
        <v>1935</v>
      </c>
      <c r="P314" t="str">
        <f t="shared" si="16"/>
        <v>Wednesday</v>
      </c>
      <c r="Q314">
        <f t="shared" si="17"/>
        <v>1440</v>
      </c>
      <c r="R314" t="str">
        <f t="shared" si="18"/>
        <v>Weekday</v>
      </c>
      <c r="S314" t="str">
        <f t="shared" si="19"/>
        <v>Fairly Active</v>
      </c>
    </row>
    <row r="315" spans="1:19" x14ac:dyDescent="0.25">
      <c r="A315">
        <v>2347167796</v>
      </c>
      <c r="B315" s="4">
        <v>42478</v>
      </c>
      <c r="C315">
        <v>8247</v>
      </c>
      <c r="D315" s="1">
        <v>5.4499998092651403</v>
      </c>
      <c r="E315" s="1">
        <v>5.4499998092651403</v>
      </c>
      <c r="F315" s="1">
        <v>0</v>
      </c>
      <c r="G315" s="1">
        <v>0.79000002145767201</v>
      </c>
      <c r="H315" s="1">
        <v>0.86000001430511497</v>
      </c>
      <c r="I315" s="1">
        <v>3.78999996185303</v>
      </c>
      <c r="J315" s="1">
        <v>0</v>
      </c>
      <c r="K315">
        <v>11</v>
      </c>
      <c r="L315">
        <v>16</v>
      </c>
      <c r="M315">
        <v>206</v>
      </c>
      <c r="N315">
        <v>678</v>
      </c>
      <c r="O315">
        <v>1944</v>
      </c>
      <c r="P315" t="str">
        <f t="shared" si="16"/>
        <v>Monday</v>
      </c>
      <c r="Q315">
        <f t="shared" si="17"/>
        <v>911</v>
      </c>
      <c r="R315" t="str">
        <f t="shared" si="18"/>
        <v>Weekday</v>
      </c>
      <c r="S315" t="str">
        <f t="shared" si="19"/>
        <v>Fairly Active</v>
      </c>
    </row>
    <row r="316" spans="1:19" x14ac:dyDescent="0.25">
      <c r="A316">
        <v>4319703577</v>
      </c>
      <c r="B316" s="4">
        <v>42483</v>
      </c>
      <c r="C316">
        <v>4935</v>
      </c>
      <c r="D316" s="1">
        <v>3.3099999427795401</v>
      </c>
      <c r="E316" s="1">
        <v>3.3099999427795401</v>
      </c>
      <c r="F316" s="1">
        <v>0</v>
      </c>
      <c r="G316" s="1">
        <v>0</v>
      </c>
      <c r="H316" s="1">
        <v>0</v>
      </c>
      <c r="I316" s="1">
        <v>3.3099999427795401</v>
      </c>
      <c r="J316" s="1">
        <v>0</v>
      </c>
      <c r="K316">
        <v>0</v>
      </c>
      <c r="L316">
        <v>0</v>
      </c>
      <c r="M316">
        <v>233</v>
      </c>
      <c r="N316">
        <v>546</v>
      </c>
      <c r="O316">
        <v>1945</v>
      </c>
      <c r="P316" t="str">
        <f t="shared" si="16"/>
        <v>Saturday</v>
      </c>
      <c r="Q316">
        <f t="shared" si="17"/>
        <v>779</v>
      </c>
      <c r="R316" t="str">
        <f t="shared" si="18"/>
        <v>Weekend</v>
      </c>
      <c r="S316" t="str">
        <f t="shared" si="19"/>
        <v>Sedentary</v>
      </c>
    </row>
    <row r="317" spans="1:19" x14ac:dyDescent="0.25">
      <c r="A317">
        <v>3372868164</v>
      </c>
      <c r="B317" s="4">
        <v>42490</v>
      </c>
      <c r="C317">
        <v>5250</v>
      </c>
      <c r="D317" s="1">
        <v>3.5799999237060498</v>
      </c>
      <c r="E317" s="1">
        <v>3.5799999237060498</v>
      </c>
      <c r="F317" s="1">
        <v>0</v>
      </c>
      <c r="G317" s="1">
        <v>1.0599999427795399</v>
      </c>
      <c r="H317" s="1">
        <v>9.00000035762787E-2</v>
      </c>
      <c r="I317" s="1">
        <v>2.4200000762939502</v>
      </c>
      <c r="J317" s="1">
        <v>9.9999997764825804E-3</v>
      </c>
      <c r="K317">
        <v>17</v>
      </c>
      <c r="L317">
        <v>4</v>
      </c>
      <c r="M317">
        <v>300</v>
      </c>
      <c r="N317">
        <v>1119</v>
      </c>
      <c r="O317">
        <v>1946</v>
      </c>
      <c r="P317" t="str">
        <f t="shared" si="16"/>
        <v>Saturday</v>
      </c>
      <c r="Q317">
        <f t="shared" si="17"/>
        <v>1440</v>
      </c>
      <c r="R317" t="str">
        <f t="shared" si="18"/>
        <v>Weekend</v>
      </c>
      <c r="S317" t="str">
        <f t="shared" si="19"/>
        <v>Lightly Active</v>
      </c>
    </row>
    <row r="318" spans="1:19" x14ac:dyDescent="0.25">
      <c r="A318">
        <v>2347167796</v>
      </c>
      <c r="B318" s="4">
        <v>42482</v>
      </c>
      <c r="C318">
        <v>7804</v>
      </c>
      <c r="D318" s="1">
        <v>5.1599998474121103</v>
      </c>
      <c r="E318" s="1">
        <v>5.1599998474121103</v>
      </c>
      <c r="F318" s="1">
        <v>0</v>
      </c>
      <c r="G318" s="1">
        <v>0.56000000238418601</v>
      </c>
      <c r="H318" s="1">
        <v>1.6799999475479099</v>
      </c>
      <c r="I318" s="1">
        <v>2.9200000762939502</v>
      </c>
      <c r="J318" s="1">
        <v>0</v>
      </c>
      <c r="K318">
        <v>9</v>
      </c>
      <c r="L318">
        <v>27</v>
      </c>
      <c r="M318">
        <v>206</v>
      </c>
      <c r="N318">
        <v>781</v>
      </c>
      <c r="O318">
        <v>1946</v>
      </c>
      <c r="P318" t="str">
        <f t="shared" si="16"/>
        <v>Friday</v>
      </c>
      <c r="Q318">
        <f t="shared" si="17"/>
        <v>1023</v>
      </c>
      <c r="R318" t="str">
        <f t="shared" si="18"/>
        <v>Weekday</v>
      </c>
      <c r="S318" t="str">
        <f t="shared" si="19"/>
        <v>Fairly Active</v>
      </c>
    </row>
    <row r="319" spans="1:19" x14ac:dyDescent="0.25">
      <c r="A319">
        <v>6962181067</v>
      </c>
      <c r="B319" s="4">
        <v>42556</v>
      </c>
      <c r="C319">
        <v>6815</v>
      </c>
      <c r="D319" s="1">
        <v>4.5</v>
      </c>
      <c r="E319" s="1">
        <v>4.5</v>
      </c>
      <c r="F319" s="1">
        <v>0</v>
      </c>
      <c r="G319" s="1">
        <v>0</v>
      </c>
      <c r="H319" s="1">
        <v>0</v>
      </c>
      <c r="I319" s="1">
        <v>4.5</v>
      </c>
      <c r="J319" s="1">
        <v>0</v>
      </c>
      <c r="K319">
        <v>0</v>
      </c>
      <c r="L319">
        <v>0</v>
      </c>
      <c r="M319">
        <v>328</v>
      </c>
      <c r="N319">
        <v>745</v>
      </c>
      <c r="O319">
        <v>1947</v>
      </c>
      <c r="P319" t="str">
        <f t="shared" si="16"/>
        <v>Tuesday</v>
      </c>
      <c r="Q319">
        <f t="shared" si="17"/>
        <v>1073</v>
      </c>
      <c r="R319" t="str">
        <f t="shared" si="18"/>
        <v>Weekday</v>
      </c>
      <c r="S319" t="str">
        <f t="shared" si="19"/>
        <v>Lightly Active</v>
      </c>
    </row>
    <row r="320" spans="1:19" x14ac:dyDescent="0.25">
      <c r="A320">
        <v>1503960366</v>
      </c>
      <c r="B320" s="4">
        <v>42490</v>
      </c>
      <c r="C320">
        <v>14673</v>
      </c>
      <c r="D320" s="1">
        <v>9.25</v>
      </c>
      <c r="E320" s="1">
        <v>9.25</v>
      </c>
      <c r="F320" s="1">
        <v>0</v>
      </c>
      <c r="G320" s="1">
        <v>3.5599999427795401</v>
      </c>
      <c r="H320" s="1">
        <v>1.41999995708466</v>
      </c>
      <c r="I320" s="1">
        <v>4.2699999809265101</v>
      </c>
      <c r="J320" s="1">
        <v>0</v>
      </c>
      <c r="K320">
        <v>52</v>
      </c>
      <c r="L320">
        <v>34</v>
      </c>
      <c r="M320">
        <v>217</v>
      </c>
      <c r="N320">
        <v>712</v>
      </c>
      <c r="O320">
        <v>1947</v>
      </c>
      <c r="P320" t="str">
        <f t="shared" si="16"/>
        <v>Saturday</v>
      </c>
      <c r="Q320">
        <f t="shared" si="17"/>
        <v>1015</v>
      </c>
      <c r="R320" t="str">
        <f t="shared" si="18"/>
        <v>Weekend</v>
      </c>
      <c r="S320" t="str">
        <f t="shared" si="19"/>
        <v>Very_Active</v>
      </c>
    </row>
    <row r="321" spans="1:19" x14ac:dyDescent="0.25">
      <c r="A321">
        <v>1503960366</v>
      </c>
      <c r="B321" s="4">
        <v>42483</v>
      </c>
      <c r="C321">
        <v>14371</v>
      </c>
      <c r="D321" s="1">
        <v>9.0399999618530291</v>
      </c>
      <c r="E321" s="1">
        <v>9.0399999618530291</v>
      </c>
      <c r="F321" s="1">
        <v>0</v>
      </c>
      <c r="G321" s="1">
        <v>2.8099999427795401</v>
      </c>
      <c r="H321" s="1">
        <v>0.87000000476837203</v>
      </c>
      <c r="I321" s="1">
        <v>5.3600001335143999</v>
      </c>
      <c r="J321" s="1">
        <v>0</v>
      </c>
      <c r="K321">
        <v>41</v>
      </c>
      <c r="L321">
        <v>21</v>
      </c>
      <c r="M321">
        <v>262</v>
      </c>
      <c r="N321">
        <v>732</v>
      </c>
      <c r="O321">
        <v>1949</v>
      </c>
      <c r="P321" t="str">
        <f t="shared" si="16"/>
        <v>Saturday</v>
      </c>
      <c r="Q321">
        <f t="shared" si="17"/>
        <v>1056</v>
      </c>
      <c r="R321" t="str">
        <f t="shared" si="18"/>
        <v>Weekend</v>
      </c>
      <c r="S321" t="str">
        <f t="shared" si="19"/>
        <v>Very_Active</v>
      </c>
    </row>
    <row r="322" spans="1:19" x14ac:dyDescent="0.25">
      <c r="A322">
        <v>4558609924</v>
      </c>
      <c r="B322" s="4">
        <v>42434</v>
      </c>
      <c r="C322">
        <v>5267</v>
      </c>
      <c r="D322" s="1">
        <v>3.4800000190734899</v>
      </c>
      <c r="E322" s="1">
        <v>3.4800000190734899</v>
      </c>
      <c r="F322" s="1">
        <v>0</v>
      </c>
      <c r="G322" s="1">
        <v>0.60000002384185802</v>
      </c>
      <c r="H322" s="1">
        <v>0.28000000119209301</v>
      </c>
      <c r="I322" s="1">
        <v>2.5999999046325701</v>
      </c>
      <c r="J322" s="1">
        <v>0</v>
      </c>
      <c r="K322">
        <v>21</v>
      </c>
      <c r="L322">
        <v>10</v>
      </c>
      <c r="M322">
        <v>237</v>
      </c>
      <c r="N322">
        <v>1172</v>
      </c>
      <c r="O322">
        <v>1953</v>
      </c>
      <c r="P322" t="str">
        <f t="shared" ref="P322:P385" si="20">TEXT(B322,"dddd")</f>
        <v>Saturday</v>
      </c>
      <c r="Q322">
        <f t="shared" ref="Q322:Q385" si="21">SUM(K322:N322)</f>
        <v>1440</v>
      </c>
      <c r="R322" t="str">
        <f t="shared" ref="R322:R385" si="22">IF(WEEKDAY(B322,2)&lt;=5,"Weekday","Weekend")</f>
        <v>Weekend</v>
      </c>
      <c r="S322" t="str">
        <f t="shared" ref="S322:S385" si="23">IF(C322&lt;5000,"Sedentary",IF(C322&lt;7500,"Lightly Active",IF(C322&lt;10000,"Fairly Active","Very_Active")))</f>
        <v>Lightly Active</v>
      </c>
    </row>
    <row r="323" spans="1:19" x14ac:dyDescent="0.25">
      <c r="A323">
        <v>4445114986</v>
      </c>
      <c r="B323" s="4">
        <v>42479</v>
      </c>
      <c r="C323">
        <v>2064</v>
      </c>
      <c r="D323" s="1">
        <v>1.3899999856948899</v>
      </c>
      <c r="E323" s="1">
        <v>1.3899999856948899</v>
      </c>
      <c r="F323" s="1">
        <v>0</v>
      </c>
      <c r="G323" s="1">
        <v>0</v>
      </c>
      <c r="H323" s="1">
        <v>0</v>
      </c>
      <c r="I323" s="1">
        <v>1.3899999856948899</v>
      </c>
      <c r="J323" s="1">
        <v>0</v>
      </c>
      <c r="K323">
        <v>0</v>
      </c>
      <c r="L323">
        <v>0</v>
      </c>
      <c r="M323">
        <v>121</v>
      </c>
      <c r="N323">
        <v>895</v>
      </c>
      <c r="O323">
        <v>1954</v>
      </c>
      <c r="P323" t="str">
        <f t="shared" si="20"/>
        <v>Tuesday</v>
      </c>
      <c r="Q323">
        <f t="shared" si="21"/>
        <v>1016</v>
      </c>
      <c r="R323" t="str">
        <f t="shared" si="22"/>
        <v>Weekday</v>
      </c>
      <c r="S323" t="str">
        <f t="shared" si="23"/>
        <v>Sedentary</v>
      </c>
    </row>
    <row r="324" spans="1:19" x14ac:dyDescent="0.25">
      <c r="A324">
        <v>2873212765</v>
      </c>
      <c r="B324" s="4">
        <v>42479</v>
      </c>
      <c r="C324">
        <v>7948</v>
      </c>
      <c r="D324" s="1">
        <v>5.3699998855590803</v>
      </c>
      <c r="E324" s="1">
        <v>5.3699998855590803</v>
      </c>
      <c r="F324" s="1">
        <v>0</v>
      </c>
      <c r="G324" s="1">
        <v>0</v>
      </c>
      <c r="H324" s="1">
        <v>0</v>
      </c>
      <c r="I324" s="1">
        <v>5.3600001335143999</v>
      </c>
      <c r="J324" s="1">
        <v>0</v>
      </c>
      <c r="K324">
        <v>0</v>
      </c>
      <c r="L324">
        <v>0</v>
      </c>
      <c r="M324">
        <v>389</v>
      </c>
      <c r="N324">
        <v>1051</v>
      </c>
      <c r="O324">
        <v>1956</v>
      </c>
      <c r="P324" t="str">
        <f t="shared" si="20"/>
        <v>Tuesday</v>
      </c>
      <c r="Q324">
        <f t="shared" si="21"/>
        <v>1440</v>
      </c>
      <c r="R324" t="str">
        <f t="shared" si="22"/>
        <v>Weekday</v>
      </c>
      <c r="S324" t="str">
        <f t="shared" si="23"/>
        <v>Fairly Active</v>
      </c>
    </row>
    <row r="325" spans="1:19" x14ac:dyDescent="0.25">
      <c r="A325">
        <v>1503960366</v>
      </c>
      <c r="B325" s="4">
        <v>42495</v>
      </c>
      <c r="C325">
        <v>14070</v>
      </c>
      <c r="D325" s="1">
        <v>8.8999996185302699</v>
      </c>
      <c r="E325" s="1">
        <v>8.8999996185302699</v>
      </c>
      <c r="F325" s="1">
        <v>0</v>
      </c>
      <c r="G325" s="1">
        <v>2.9200000762939502</v>
      </c>
      <c r="H325" s="1">
        <v>1.08000004291534</v>
      </c>
      <c r="I325" s="1">
        <v>4.8800001144409197</v>
      </c>
      <c r="J325" s="1">
        <v>0</v>
      </c>
      <c r="K325">
        <v>45</v>
      </c>
      <c r="L325">
        <v>24</v>
      </c>
      <c r="M325">
        <v>250</v>
      </c>
      <c r="N325">
        <v>857</v>
      </c>
      <c r="O325">
        <v>1959</v>
      </c>
      <c r="P325" t="str">
        <f t="shared" si="20"/>
        <v>Thursday</v>
      </c>
      <c r="Q325">
        <f t="shared" si="21"/>
        <v>1176</v>
      </c>
      <c r="R325" t="str">
        <f t="shared" si="22"/>
        <v>Weekday</v>
      </c>
      <c r="S325" t="str">
        <f t="shared" si="23"/>
        <v>Very_Active</v>
      </c>
    </row>
    <row r="326" spans="1:19" x14ac:dyDescent="0.25">
      <c r="A326">
        <v>8792009665</v>
      </c>
      <c r="B326" s="4">
        <v>42374</v>
      </c>
      <c r="C326">
        <v>1619</v>
      </c>
      <c r="D326" s="1">
        <v>1.03999996185303</v>
      </c>
      <c r="E326" s="1">
        <v>1.03999996185303</v>
      </c>
      <c r="F326" s="1">
        <v>0</v>
      </c>
      <c r="G326" s="1">
        <v>0</v>
      </c>
      <c r="H326" s="1">
        <v>0</v>
      </c>
      <c r="I326" s="1">
        <v>1.03999996185303</v>
      </c>
      <c r="J326" s="1">
        <v>0</v>
      </c>
      <c r="K326">
        <v>0</v>
      </c>
      <c r="L326">
        <v>0</v>
      </c>
      <c r="M326">
        <v>79</v>
      </c>
      <c r="N326">
        <v>834</v>
      </c>
      <c r="O326">
        <v>1962</v>
      </c>
      <c r="P326" t="str">
        <f t="shared" si="20"/>
        <v>Tuesday</v>
      </c>
      <c r="Q326">
        <f t="shared" si="21"/>
        <v>913</v>
      </c>
      <c r="R326" t="str">
        <f t="shared" si="22"/>
        <v>Weekday</v>
      </c>
      <c r="S326" t="str">
        <f t="shared" si="23"/>
        <v>Sedentary</v>
      </c>
    </row>
    <row r="327" spans="1:19" x14ac:dyDescent="0.25">
      <c r="A327">
        <v>2873212765</v>
      </c>
      <c r="B327" s="4">
        <v>42648</v>
      </c>
      <c r="C327">
        <v>8275</v>
      </c>
      <c r="D327" s="1">
        <v>5.5599999427795401</v>
      </c>
      <c r="E327" s="1">
        <v>5.5599999427795401</v>
      </c>
      <c r="F327" s="1">
        <v>0</v>
      </c>
      <c r="G327" s="1">
        <v>0</v>
      </c>
      <c r="H327" s="1">
        <v>0</v>
      </c>
      <c r="I327" s="1">
        <v>5.5500001907348597</v>
      </c>
      <c r="J327" s="1">
        <v>9.9999997764825804E-3</v>
      </c>
      <c r="K327">
        <v>0</v>
      </c>
      <c r="L327">
        <v>0</v>
      </c>
      <c r="M327">
        <v>373</v>
      </c>
      <c r="N327">
        <v>1067</v>
      </c>
      <c r="O327">
        <v>1962</v>
      </c>
      <c r="P327" t="str">
        <f t="shared" si="20"/>
        <v>Wednesday</v>
      </c>
      <c r="Q327">
        <f t="shared" si="21"/>
        <v>1440</v>
      </c>
      <c r="R327" t="str">
        <f t="shared" si="22"/>
        <v>Weekday</v>
      </c>
      <c r="S327" t="str">
        <f t="shared" si="23"/>
        <v>Fairly Active</v>
      </c>
    </row>
    <row r="328" spans="1:19" x14ac:dyDescent="0.25">
      <c r="A328">
        <v>8792009665</v>
      </c>
      <c r="B328" s="4">
        <v>42474</v>
      </c>
      <c r="C328">
        <v>1219</v>
      </c>
      <c r="D328" s="1">
        <v>0.77999997138977095</v>
      </c>
      <c r="E328" s="1">
        <v>0.77999997138977095</v>
      </c>
      <c r="F328" s="1">
        <v>0</v>
      </c>
      <c r="G328" s="1">
        <v>0</v>
      </c>
      <c r="H328" s="1">
        <v>0</v>
      </c>
      <c r="I328" s="1">
        <v>0.77999997138977095</v>
      </c>
      <c r="J328" s="1">
        <v>0</v>
      </c>
      <c r="K328">
        <v>0</v>
      </c>
      <c r="L328">
        <v>0</v>
      </c>
      <c r="M328">
        <v>84</v>
      </c>
      <c r="N328">
        <v>853</v>
      </c>
      <c r="O328">
        <v>1963</v>
      </c>
      <c r="P328" t="str">
        <f t="shared" si="20"/>
        <v>Thursday</v>
      </c>
      <c r="Q328">
        <f t="shared" si="21"/>
        <v>937</v>
      </c>
      <c r="R328" t="str">
        <f t="shared" si="22"/>
        <v>Weekday</v>
      </c>
      <c r="S328" t="str">
        <f t="shared" si="23"/>
        <v>Sedentary</v>
      </c>
    </row>
    <row r="329" spans="1:19" x14ac:dyDescent="0.25">
      <c r="A329">
        <v>3372868164</v>
      </c>
      <c r="B329" s="4">
        <v>42477</v>
      </c>
      <c r="C329">
        <v>8199</v>
      </c>
      <c r="D329" s="1">
        <v>5.8800001144409197</v>
      </c>
      <c r="E329" s="1">
        <v>5.8800001144409197</v>
      </c>
      <c r="F329" s="1">
        <v>0</v>
      </c>
      <c r="G329" s="1">
        <v>1.4099999666214</v>
      </c>
      <c r="H329" s="1">
        <v>0.10000000149011599</v>
      </c>
      <c r="I329" s="1">
        <v>4.3600001335143999</v>
      </c>
      <c r="J329" s="1">
        <v>9.9999997764825804E-3</v>
      </c>
      <c r="K329">
        <v>11</v>
      </c>
      <c r="L329">
        <v>2</v>
      </c>
      <c r="M329">
        <v>322</v>
      </c>
      <c r="N329">
        <v>1105</v>
      </c>
      <c r="O329">
        <v>1964</v>
      </c>
      <c r="P329" t="str">
        <f t="shared" si="20"/>
        <v>Sunday</v>
      </c>
      <c r="Q329">
        <f t="shared" si="21"/>
        <v>1440</v>
      </c>
      <c r="R329" t="str">
        <f t="shared" si="22"/>
        <v>Weekend</v>
      </c>
      <c r="S329" t="str">
        <f t="shared" si="23"/>
        <v>Fairly Active</v>
      </c>
    </row>
    <row r="330" spans="1:19" x14ac:dyDescent="0.25">
      <c r="A330">
        <v>7086361926</v>
      </c>
      <c r="B330" s="4">
        <v>42483</v>
      </c>
      <c r="C330">
        <v>2817</v>
      </c>
      <c r="D330" s="1">
        <v>1.8099999427795399</v>
      </c>
      <c r="E330" s="1">
        <v>1.8099999427795399</v>
      </c>
      <c r="F330" s="1">
        <v>0</v>
      </c>
      <c r="G330" s="1">
        <v>0</v>
      </c>
      <c r="H330" s="1">
        <v>0</v>
      </c>
      <c r="I330" s="1">
        <v>1.79999995231628</v>
      </c>
      <c r="J330" s="1">
        <v>0</v>
      </c>
      <c r="K330">
        <v>0</v>
      </c>
      <c r="L330">
        <v>0</v>
      </c>
      <c r="M330">
        <v>90</v>
      </c>
      <c r="N330">
        <v>1350</v>
      </c>
      <c r="O330">
        <v>1965</v>
      </c>
      <c r="P330" t="str">
        <f t="shared" si="20"/>
        <v>Saturday</v>
      </c>
      <c r="Q330">
        <f t="shared" si="21"/>
        <v>1440</v>
      </c>
      <c r="R330" t="str">
        <f t="shared" si="22"/>
        <v>Weekend</v>
      </c>
      <c r="S330" t="str">
        <f t="shared" si="23"/>
        <v>Sedentary</v>
      </c>
    </row>
    <row r="331" spans="1:19" x14ac:dyDescent="0.25">
      <c r="A331">
        <v>2873212765</v>
      </c>
      <c r="B331" s="4">
        <v>42487</v>
      </c>
      <c r="C331">
        <v>3516</v>
      </c>
      <c r="D331" s="1">
        <v>2.3599998950958301</v>
      </c>
      <c r="E331" s="1">
        <v>2.3599998950958301</v>
      </c>
      <c r="F331" s="1">
        <v>0</v>
      </c>
      <c r="G331" s="1">
        <v>0</v>
      </c>
      <c r="H331" s="1">
        <v>0</v>
      </c>
      <c r="I331" s="1">
        <v>2.3599998950958301</v>
      </c>
      <c r="J331" s="1">
        <v>0</v>
      </c>
      <c r="K331">
        <v>46</v>
      </c>
      <c r="L331">
        <v>0</v>
      </c>
      <c r="M331">
        <v>197</v>
      </c>
      <c r="N331">
        <v>1197</v>
      </c>
      <c r="O331">
        <v>1966</v>
      </c>
      <c r="P331" t="str">
        <f t="shared" si="20"/>
        <v>Wednesday</v>
      </c>
      <c r="Q331">
        <f t="shared" si="21"/>
        <v>1440</v>
      </c>
      <c r="R331" t="str">
        <f t="shared" si="22"/>
        <v>Weekday</v>
      </c>
      <c r="S331" t="str">
        <f t="shared" si="23"/>
        <v>Sedentary</v>
      </c>
    </row>
    <row r="332" spans="1:19" x14ac:dyDescent="0.25">
      <c r="A332">
        <v>2873212765</v>
      </c>
      <c r="B332" s="4">
        <v>42481</v>
      </c>
      <c r="C332">
        <v>8859</v>
      </c>
      <c r="D332" s="1">
        <v>5.9800000190734899</v>
      </c>
      <c r="E332" s="1">
        <v>5.9800000190734899</v>
      </c>
      <c r="F332" s="1">
        <v>0</v>
      </c>
      <c r="G332" s="1">
        <v>0.129999995231628</v>
      </c>
      <c r="H332" s="1">
        <v>0.37000000476837203</v>
      </c>
      <c r="I332" s="1">
        <v>5.4699997901916504</v>
      </c>
      <c r="J332" s="1">
        <v>9.9999997764825804E-3</v>
      </c>
      <c r="K332">
        <v>2</v>
      </c>
      <c r="L332">
        <v>10</v>
      </c>
      <c r="M332">
        <v>371</v>
      </c>
      <c r="N332">
        <v>1057</v>
      </c>
      <c r="O332">
        <v>1970</v>
      </c>
      <c r="P332" t="str">
        <f t="shared" si="20"/>
        <v>Thursday</v>
      </c>
      <c r="Q332">
        <f t="shared" si="21"/>
        <v>1440</v>
      </c>
      <c r="R332" t="str">
        <f t="shared" si="22"/>
        <v>Weekday</v>
      </c>
      <c r="S332" t="str">
        <f t="shared" si="23"/>
        <v>Fairly Active</v>
      </c>
    </row>
    <row r="333" spans="1:19" x14ac:dyDescent="0.25">
      <c r="A333">
        <v>1503960366</v>
      </c>
      <c r="B333" s="4">
        <v>42486</v>
      </c>
      <c r="C333">
        <v>13755</v>
      </c>
      <c r="D333" s="1">
        <v>8.7899999618530291</v>
      </c>
      <c r="E333" s="1">
        <v>8.7899999618530291</v>
      </c>
      <c r="F333" s="1">
        <v>0</v>
      </c>
      <c r="G333" s="1">
        <v>2.3299999237060498</v>
      </c>
      <c r="H333" s="1">
        <v>0.92000001668930098</v>
      </c>
      <c r="I333" s="1">
        <v>5.53999996185303</v>
      </c>
      <c r="J333" s="1">
        <v>0</v>
      </c>
      <c r="K333">
        <v>31</v>
      </c>
      <c r="L333">
        <v>23</v>
      </c>
      <c r="M333">
        <v>279</v>
      </c>
      <c r="N333">
        <v>833</v>
      </c>
      <c r="O333">
        <v>1970</v>
      </c>
      <c r="P333" t="str">
        <f t="shared" si="20"/>
        <v>Tuesday</v>
      </c>
      <c r="Q333">
        <f t="shared" si="21"/>
        <v>1166</v>
      </c>
      <c r="R333" t="str">
        <f t="shared" si="22"/>
        <v>Weekday</v>
      </c>
      <c r="S333" t="str">
        <f t="shared" si="23"/>
        <v>Very_Active</v>
      </c>
    </row>
    <row r="334" spans="1:19" x14ac:dyDescent="0.25">
      <c r="A334">
        <v>2873212765</v>
      </c>
      <c r="B334" s="4">
        <v>42495</v>
      </c>
      <c r="C334">
        <v>8314</v>
      </c>
      <c r="D334" s="1">
        <v>5.6100001335143999</v>
      </c>
      <c r="E334" s="1">
        <v>5.6100001335143999</v>
      </c>
      <c r="F334" s="1">
        <v>0</v>
      </c>
      <c r="G334" s="1">
        <v>0.77999997138977095</v>
      </c>
      <c r="H334" s="1">
        <v>0.80000001192092896</v>
      </c>
      <c r="I334" s="1">
        <v>4.0300002098083496</v>
      </c>
      <c r="J334" s="1">
        <v>0</v>
      </c>
      <c r="K334">
        <v>13</v>
      </c>
      <c r="L334">
        <v>23</v>
      </c>
      <c r="M334">
        <v>311</v>
      </c>
      <c r="N334">
        <v>1093</v>
      </c>
      <c r="O334">
        <v>1971</v>
      </c>
      <c r="P334" t="str">
        <f t="shared" si="20"/>
        <v>Thursday</v>
      </c>
      <c r="Q334">
        <f t="shared" si="21"/>
        <v>1440</v>
      </c>
      <c r="R334" t="str">
        <f t="shared" si="22"/>
        <v>Weekday</v>
      </c>
      <c r="S334" t="str">
        <f t="shared" si="23"/>
        <v>Fairly Active</v>
      </c>
    </row>
    <row r="335" spans="1:19" x14ac:dyDescent="0.25">
      <c r="A335">
        <v>3372868164</v>
      </c>
      <c r="B335" s="4">
        <v>42488</v>
      </c>
      <c r="C335">
        <v>5512</v>
      </c>
      <c r="D335" s="1">
        <v>3.7599999904632599</v>
      </c>
      <c r="E335" s="1">
        <v>3.7599999904632599</v>
      </c>
      <c r="F335" s="1">
        <v>0</v>
      </c>
      <c r="G335" s="1">
        <v>0</v>
      </c>
      <c r="H335" s="1">
        <v>0</v>
      </c>
      <c r="I335" s="1">
        <v>3.7599999904632599</v>
      </c>
      <c r="J335" s="1">
        <v>0</v>
      </c>
      <c r="K335">
        <v>0</v>
      </c>
      <c r="L335">
        <v>0</v>
      </c>
      <c r="M335">
        <v>385</v>
      </c>
      <c r="N335">
        <v>1055</v>
      </c>
      <c r="O335">
        <v>1972</v>
      </c>
      <c r="P335" t="str">
        <f t="shared" si="20"/>
        <v>Thursday</v>
      </c>
      <c r="Q335">
        <f t="shared" si="21"/>
        <v>1440</v>
      </c>
      <c r="R335" t="str">
        <f t="shared" si="22"/>
        <v>Weekday</v>
      </c>
      <c r="S335" t="str">
        <f t="shared" si="23"/>
        <v>Lightly Active</v>
      </c>
    </row>
    <row r="336" spans="1:19" x14ac:dyDescent="0.25">
      <c r="A336">
        <v>2320127002</v>
      </c>
      <c r="B336" s="4">
        <v>42556</v>
      </c>
      <c r="C336">
        <v>7379</v>
      </c>
      <c r="D336" s="1">
        <v>4.9699997901916504</v>
      </c>
      <c r="E336" s="1">
        <v>4.9699997901916504</v>
      </c>
      <c r="F336" s="1">
        <v>0</v>
      </c>
      <c r="G336" s="1">
        <v>0</v>
      </c>
      <c r="H336" s="1">
        <v>0</v>
      </c>
      <c r="I336" s="1">
        <v>4.9699997901916504</v>
      </c>
      <c r="J336" s="1">
        <v>0</v>
      </c>
      <c r="K336">
        <v>0</v>
      </c>
      <c r="L336">
        <v>0</v>
      </c>
      <c r="M336">
        <v>319</v>
      </c>
      <c r="N336">
        <v>1121</v>
      </c>
      <c r="O336">
        <v>1972</v>
      </c>
      <c r="P336" t="str">
        <f t="shared" si="20"/>
        <v>Tuesday</v>
      </c>
      <c r="Q336">
        <f t="shared" si="21"/>
        <v>1440</v>
      </c>
      <c r="R336" t="str">
        <f t="shared" si="22"/>
        <v>Weekday</v>
      </c>
      <c r="S336" t="str">
        <f t="shared" si="23"/>
        <v>Lightly Active</v>
      </c>
    </row>
    <row r="337" spans="1:19" x14ac:dyDescent="0.25">
      <c r="A337">
        <v>4558609924</v>
      </c>
      <c r="B337" s="4">
        <v>42556</v>
      </c>
      <c r="C337">
        <v>8237</v>
      </c>
      <c r="D337" s="1">
        <v>5.4400000572204599</v>
      </c>
      <c r="E337" s="1">
        <v>5.4400000572204599</v>
      </c>
      <c r="F337" s="1">
        <v>0</v>
      </c>
      <c r="G337" s="1">
        <v>1.6100000143051101</v>
      </c>
      <c r="H337" s="1">
        <v>1</v>
      </c>
      <c r="I337" s="1">
        <v>2.8299999237060498</v>
      </c>
      <c r="J337" s="1">
        <v>0</v>
      </c>
      <c r="K337">
        <v>23</v>
      </c>
      <c r="L337">
        <v>16</v>
      </c>
      <c r="M337">
        <v>233</v>
      </c>
      <c r="N337">
        <v>1116</v>
      </c>
      <c r="O337">
        <v>1973</v>
      </c>
      <c r="P337" t="str">
        <f t="shared" si="20"/>
        <v>Tuesday</v>
      </c>
      <c r="Q337">
        <f t="shared" si="21"/>
        <v>1388</v>
      </c>
      <c r="R337" t="str">
        <f t="shared" si="22"/>
        <v>Weekday</v>
      </c>
      <c r="S337" t="str">
        <f t="shared" si="23"/>
        <v>Fairly Active</v>
      </c>
    </row>
    <row r="338" spans="1:19" x14ac:dyDescent="0.25">
      <c r="A338">
        <v>4445114986</v>
      </c>
      <c r="B338" s="4">
        <v>42480</v>
      </c>
      <c r="C338">
        <v>2072</v>
      </c>
      <c r="D338" s="1">
        <v>1.3899999856948899</v>
      </c>
      <c r="E338" s="1">
        <v>1.3899999856948899</v>
      </c>
      <c r="F338" s="1">
        <v>0</v>
      </c>
      <c r="G338" s="1">
        <v>0</v>
      </c>
      <c r="H338" s="1">
        <v>0</v>
      </c>
      <c r="I338" s="1">
        <v>1.3899999856948899</v>
      </c>
      <c r="J338" s="1">
        <v>0</v>
      </c>
      <c r="K338">
        <v>0</v>
      </c>
      <c r="L338">
        <v>0</v>
      </c>
      <c r="M338">
        <v>137</v>
      </c>
      <c r="N338">
        <v>841</v>
      </c>
      <c r="O338">
        <v>1974</v>
      </c>
      <c r="P338" t="str">
        <f t="shared" si="20"/>
        <v>Wednesday</v>
      </c>
      <c r="Q338">
        <f t="shared" si="21"/>
        <v>978</v>
      </c>
      <c r="R338" t="str">
        <f t="shared" si="22"/>
        <v>Weekday</v>
      </c>
      <c r="S338" t="str">
        <f t="shared" si="23"/>
        <v>Sedentary</v>
      </c>
    </row>
    <row r="339" spans="1:19" x14ac:dyDescent="0.25">
      <c r="A339">
        <v>8378563200</v>
      </c>
      <c r="B339" s="4">
        <v>42709</v>
      </c>
      <c r="C339">
        <v>4561</v>
      </c>
      <c r="D339" s="1">
        <v>3.6199998855590798</v>
      </c>
      <c r="E339" s="1">
        <v>3.6199998855590798</v>
      </c>
      <c r="F339" s="1">
        <v>0</v>
      </c>
      <c r="G339" s="1">
        <v>0.64999997615814198</v>
      </c>
      <c r="H339" s="1">
        <v>0.270000010728836</v>
      </c>
      <c r="I339" s="1">
        <v>2.6900000572204599</v>
      </c>
      <c r="J339" s="1">
        <v>0</v>
      </c>
      <c r="K339">
        <v>8</v>
      </c>
      <c r="L339">
        <v>6</v>
      </c>
      <c r="M339">
        <v>102</v>
      </c>
      <c r="N339">
        <v>433</v>
      </c>
      <c r="O339">
        <v>1976</v>
      </c>
      <c r="P339" t="str">
        <f t="shared" si="20"/>
        <v>Monday</v>
      </c>
      <c r="Q339">
        <f t="shared" si="21"/>
        <v>549</v>
      </c>
      <c r="R339" t="str">
        <f t="shared" si="22"/>
        <v>Weekday</v>
      </c>
      <c r="S339" t="str">
        <f t="shared" si="23"/>
        <v>Sedentary</v>
      </c>
    </row>
    <row r="340" spans="1:19" x14ac:dyDescent="0.25">
      <c r="A340">
        <v>8253242879</v>
      </c>
      <c r="B340" s="4">
        <v>42484</v>
      </c>
      <c r="C340">
        <v>8905</v>
      </c>
      <c r="D340" s="1">
        <v>7.1300001144409197</v>
      </c>
      <c r="E340" s="1">
        <v>7.1300001144409197</v>
      </c>
      <c r="F340" s="1">
        <v>0</v>
      </c>
      <c r="G340" s="1">
        <v>5.5999999046325701</v>
      </c>
      <c r="H340" s="1">
        <v>0.18999999761581399</v>
      </c>
      <c r="I340" s="1">
        <v>1.3400000333786</v>
      </c>
      <c r="J340" s="1">
        <v>0</v>
      </c>
      <c r="K340">
        <v>41</v>
      </c>
      <c r="L340">
        <v>4</v>
      </c>
      <c r="M340">
        <v>82</v>
      </c>
      <c r="N340">
        <v>1313</v>
      </c>
      <c r="O340">
        <v>1976</v>
      </c>
      <c r="P340" t="str">
        <f t="shared" si="20"/>
        <v>Sunday</v>
      </c>
      <c r="Q340">
        <f t="shared" si="21"/>
        <v>1440</v>
      </c>
      <c r="R340" t="str">
        <f t="shared" si="22"/>
        <v>Weekend</v>
      </c>
      <c r="S340" t="str">
        <f t="shared" si="23"/>
        <v>Fairly Active</v>
      </c>
    </row>
    <row r="341" spans="1:19" x14ac:dyDescent="0.25">
      <c r="A341">
        <v>4020332650</v>
      </c>
      <c r="B341" s="4">
        <v>42479</v>
      </c>
      <c r="C341">
        <v>0</v>
      </c>
      <c r="D341" s="1">
        <v>0</v>
      </c>
      <c r="E341" s="1">
        <v>0</v>
      </c>
      <c r="F341" s="1">
        <v>0</v>
      </c>
      <c r="G341" s="1">
        <v>0</v>
      </c>
      <c r="H341" s="1">
        <v>0</v>
      </c>
      <c r="I341" s="1">
        <v>0</v>
      </c>
      <c r="J341" s="1">
        <v>0</v>
      </c>
      <c r="K341">
        <v>0</v>
      </c>
      <c r="L341">
        <v>0</v>
      </c>
      <c r="M341">
        <v>0</v>
      </c>
      <c r="N341">
        <v>1440</v>
      </c>
      <c r="O341">
        <v>1980</v>
      </c>
      <c r="P341" t="str">
        <f t="shared" si="20"/>
        <v>Tuesday</v>
      </c>
      <c r="Q341">
        <f t="shared" si="21"/>
        <v>1440</v>
      </c>
      <c r="R341" t="str">
        <f t="shared" si="22"/>
        <v>Weekday</v>
      </c>
      <c r="S341" t="str">
        <f t="shared" si="23"/>
        <v>Sedentary</v>
      </c>
    </row>
    <row r="342" spans="1:19" x14ac:dyDescent="0.25">
      <c r="A342">
        <v>4020332650</v>
      </c>
      <c r="B342" s="4">
        <v>42480</v>
      </c>
      <c r="C342">
        <v>0</v>
      </c>
      <c r="D342" s="1">
        <v>0</v>
      </c>
      <c r="E342" s="1">
        <v>0</v>
      </c>
      <c r="F342" s="1">
        <v>0</v>
      </c>
      <c r="G342" s="1">
        <v>0</v>
      </c>
      <c r="H342" s="1">
        <v>0</v>
      </c>
      <c r="I342" s="1">
        <v>0</v>
      </c>
      <c r="J342" s="1">
        <v>0</v>
      </c>
      <c r="K342">
        <v>0</v>
      </c>
      <c r="L342">
        <v>0</v>
      </c>
      <c r="M342">
        <v>0</v>
      </c>
      <c r="N342">
        <v>1440</v>
      </c>
      <c r="O342">
        <v>1980</v>
      </c>
      <c r="P342" t="str">
        <f t="shared" si="20"/>
        <v>Wednesday</v>
      </c>
      <c r="Q342">
        <f t="shared" si="21"/>
        <v>1440</v>
      </c>
      <c r="R342" t="str">
        <f t="shared" si="22"/>
        <v>Weekday</v>
      </c>
      <c r="S342" t="str">
        <f t="shared" si="23"/>
        <v>Sedentary</v>
      </c>
    </row>
    <row r="343" spans="1:19" x14ac:dyDescent="0.25">
      <c r="A343">
        <v>4020332650</v>
      </c>
      <c r="B343" s="4">
        <v>42481</v>
      </c>
      <c r="C343">
        <v>0</v>
      </c>
      <c r="D343" s="1">
        <v>0</v>
      </c>
      <c r="E343" s="1">
        <v>0</v>
      </c>
      <c r="F343" s="1">
        <v>0</v>
      </c>
      <c r="G343" s="1">
        <v>0</v>
      </c>
      <c r="H343" s="1">
        <v>0</v>
      </c>
      <c r="I343" s="1">
        <v>0</v>
      </c>
      <c r="J343" s="1">
        <v>0</v>
      </c>
      <c r="K343">
        <v>0</v>
      </c>
      <c r="L343">
        <v>0</v>
      </c>
      <c r="M343">
        <v>0</v>
      </c>
      <c r="N343">
        <v>1440</v>
      </c>
      <c r="O343">
        <v>1980</v>
      </c>
      <c r="P343" t="str">
        <f t="shared" si="20"/>
        <v>Thursday</v>
      </c>
      <c r="Q343">
        <f t="shared" si="21"/>
        <v>1440</v>
      </c>
      <c r="R343" t="str">
        <f t="shared" si="22"/>
        <v>Weekday</v>
      </c>
      <c r="S343" t="str">
        <f t="shared" si="23"/>
        <v>Sedentary</v>
      </c>
    </row>
    <row r="344" spans="1:19" x14ac:dyDescent="0.25">
      <c r="A344">
        <v>4020332650</v>
      </c>
      <c r="B344" s="4">
        <v>42482</v>
      </c>
      <c r="C344">
        <v>0</v>
      </c>
      <c r="D344" s="1">
        <v>0</v>
      </c>
      <c r="E344" s="1">
        <v>0</v>
      </c>
      <c r="F344" s="1">
        <v>0</v>
      </c>
      <c r="G344" s="1">
        <v>0</v>
      </c>
      <c r="H344" s="1">
        <v>0</v>
      </c>
      <c r="I344" s="1">
        <v>0</v>
      </c>
      <c r="J344" s="1">
        <v>0</v>
      </c>
      <c r="K344">
        <v>0</v>
      </c>
      <c r="L344">
        <v>0</v>
      </c>
      <c r="M344">
        <v>0</v>
      </c>
      <c r="N344">
        <v>1440</v>
      </c>
      <c r="O344">
        <v>1980</v>
      </c>
      <c r="P344" t="str">
        <f t="shared" si="20"/>
        <v>Friday</v>
      </c>
      <c r="Q344">
        <f t="shared" si="21"/>
        <v>1440</v>
      </c>
      <c r="R344" t="str">
        <f t="shared" si="22"/>
        <v>Weekday</v>
      </c>
      <c r="S344" t="str">
        <f t="shared" si="23"/>
        <v>Sedentary</v>
      </c>
    </row>
    <row r="345" spans="1:19" x14ac:dyDescent="0.25">
      <c r="A345">
        <v>4020332650</v>
      </c>
      <c r="B345" s="4">
        <v>42483</v>
      </c>
      <c r="C345">
        <v>0</v>
      </c>
      <c r="D345" s="1">
        <v>0</v>
      </c>
      <c r="E345" s="1">
        <v>0</v>
      </c>
      <c r="F345" s="1">
        <v>0</v>
      </c>
      <c r="G345" s="1">
        <v>0</v>
      </c>
      <c r="H345" s="1">
        <v>0</v>
      </c>
      <c r="I345" s="1">
        <v>0</v>
      </c>
      <c r="J345" s="1">
        <v>0</v>
      </c>
      <c r="K345">
        <v>0</v>
      </c>
      <c r="L345">
        <v>0</v>
      </c>
      <c r="M345">
        <v>0</v>
      </c>
      <c r="N345">
        <v>1440</v>
      </c>
      <c r="O345">
        <v>1980</v>
      </c>
      <c r="P345" t="str">
        <f t="shared" si="20"/>
        <v>Saturday</v>
      </c>
      <c r="Q345">
        <f t="shared" si="21"/>
        <v>1440</v>
      </c>
      <c r="R345" t="str">
        <f t="shared" si="22"/>
        <v>Weekend</v>
      </c>
      <c r="S345" t="str">
        <f t="shared" si="23"/>
        <v>Sedentary</v>
      </c>
    </row>
    <row r="346" spans="1:19" x14ac:dyDescent="0.25">
      <c r="A346">
        <v>4020332650</v>
      </c>
      <c r="B346" s="4">
        <v>42484</v>
      </c>
      <c r="C346">
        <v>0</v>
      </c>
      <c r="D346" s="1">
        <v>0</v>
      </c>
      <c r="E346" s="1">
        <v>0</v>
      </c>
      <c r="F346" s="1">
        <v>0</v>
      </c>
      <c r="G346" s="1">
        <v>0</v>
      </c>
      <c r="H346" s="1">
        <v>0</v>
      </c>
      <c r="I346" s="1">
        <v>0</v>
      </c>
      <c r="J346" s="1">
        <v>0</v>
      </c>
      <c r="K346">
        <v>0</v>
      </c>
      <c r="L346">
        <v>0</v>
      </c>
      <c r="M346">
        <v>0</v>
      </c>
      <c r="N346">
        <v>1440</v>
      </c>
      <c r="O346">
        <v>1980</v>
      </c>
      <c r="P346" t="str">
        <f t="shared" si="20"/>
        <v>Sunday</v>
      </c>
      <c r="Q346">
        <f t="shared" si="21"/>
        <v>1440</v>
      </c>
      <c r="R346" t="str">
        <f t="shared" si="22"/>
        <v>Weekend</v>
      </c>
      <c r="S346" t="str">
        <f t="shared" si="23"/>
        <v>Sedentary</v>
      </c>
    </row>
    <row r="347" spans="1:19" x14ac:dyDescent="0.25">
      <c r="A347">
        <v>4020332650</v>
      </c>
      <c r="B347" s="4">
        <v>42485</v>
      </c>
      <c r="C347">
        <v>0</v>
      </c>
      <c r="D347" s="1">
        <v>0</v>
      </c>
      <c r="E347" s="1">
        <v>0</v>
      </c>
      <c r="F347" s="1">
        <v>0</v>
      </c>
      <c r="G347" s="1">
        <v>0</v>
      </c>
      <c r="H347" s="1">
        <v>0</v>
      </c>
      <c r="I347" s="1">
        <v>0</v>
      </c>
      <c r="J347" s="1">
        <v>0</v>
      </c>
      <c r="K347">
        <v>0</v>
      </c>
      <c r="L347">
        <v>0</v>
      </c>
      <c r="M347">
        <v>0</v>
      </c>
      <c r="N347">
        <v>1440</v>
      </c>
      <c r="O347">
        <v>1980</v>
      </c>
      <c r="P347" t="str">
        <f t="shared" si="20"/>
        <v>Monday</v>
      </c>
      <c r="Q347">
        <f t="shared" si="21"/>
        <v>1440</v>
      </c>
      <c r="R347" t="str">
        <f t="shared" si="22"/>
        <v>Weekday</v>
      </c>
      <c r="S347" t="str">
        <f t="shared" si="23"/>
        <v>Sedentary</v>
      </c>
    </row>
    <row r="348" spans="1:19" x14ac:dyDescent="0.25">
      <c r="A348">
        <v>4020332650</v>
      </c>
      <c r="B348" s="4">
        <v>42486</v>
      </c>
      <c r="C348">
        <v>0</v>
      </c>
      <c r="D348" s="1">
        <v>0</v>
      </c>
      <c r="E348" s="1">
        <v>0</v>
      </c>
      <c r="F348" s="1">
        <v>0</v>
      </c>
      <c r="G348" s="1">
        <v>0</v>
      </c>
      <c r="H348" s="1">
        <v>0</v>
      </c>
      <c r="I348" s="1">
        <v>0</v>
      </c>
      <c r="J348" s="1">
        <v>0</v>
      </c>
      <c r="K348">
        <v>0</v>
      </c>
      <c r="L348">
        <v>0</v>
      </c>
      <c r="M348">
        <v>0</v>
      </c>
      <c r="N348">
        <v>1440</v>
      </c>
      <c r="O348">
        <v>1980</v>
      </c>
      <c r="P348" t="str">
        <f t="shared" si="20"/>
        <v>Tuesday</v>
      </c>
      <c r="Q348">
        <f t="shared" si="21"/>
        <v>1440</v>
      </c>
      <c r="R348" t="str">
        <f t="shared" si="22"/>
        <v>Weekday</v>
      </c>
      <c r="S348" t="str">
        <f t="shared" si="23"/>
        <v>Sedentary</v>
      </c>
    </row>
    <row r="349" spans="1:19" x14ac:dyDescent="0.25">
      <c r="A349">
        <v>4020332650</v>
      </c>
      <c r="B349" s="4">
        <v>42487</v>
      </c>
      <c r="C349">
        <v>0</v>
      </c>
      <c r="D349" s="1">
        <v>0</v>
      </c>
      <c r="E349" s="1">
        <v>0</v>
      </c>
      <c r="F349" s="1">
        <v>0</v>
      </c>
      <c r="G349" s="1">
        <v>0</v>
      </c>
      <c r="H349" s="1">
        <v>0</v>
      </c>
      <c r="I349" s="1">
        <v>0</v>
      </c>
      <c r="J349" s="1">
        <v>0</v>
      </c>
      <c r="K349">
        <v>0</v>
      </c>
      <c r="L349">
        <v>0</v>
      </c>
      <c r="M349">
        <v>0</v>
      </c>
      <c r="N349">
        <v>1440</v>
      </c>
      <c r="O349">
        <v>1980</v>
      </c>
      <c r="P349" t="str">
        <f t="shared" si="20"/>
        <v>Wednesday</v>
      </c>
      <c r="Q349">
        <f t="shared" si="21"/>
        <v>1440</v>
      </c>
      <c r="R349" t="str">
        <f t="shared" si="22"/>
        <v>Weekday</v>
      </c>
      <c r="S349" t="str">
        <f t="shared" si="23"/>
        <v>Sedentary</v>
      </c>
    </row>
    <row r="350" spans="1:19" x14ac:dyDescent="0.25">
      <c r="A350">
        <v>4020332650</v>
      </c>
      <c r="B350" s="4">
        <v>42488</v>
      </c>
      <c r="C350">
        <v>0</v>
      </c>
      <c r="D350" s="1">
        <v>0</v>
      </c>
      <c r="E350" s="1">
        <v>0</v>
      </c>
      <c r="F350" s="1">
        <v>0</v>
      </c>
      <c r="G350" s="1">
        <v>0</v>
      </c>
      <c r="H350" s="1">
        <v>0</v>
      </c>
      <c r="I350" s="1">
        <v>0</v>
      </c>
      <c r="J350" s="1">
        <v>0</v>
      </c>
      <c r="K350">
        <v>0</v>
      </c>
      <c r="L350">
        <v>0</v>
      </c>
      <c r="M350">
        <v>0</v>
      </c>
      <c r="N350">
        <v>1440</v>
      </c>
      <c r="O350">
        <v>1980</v>
      </c>
      <c r="P350" t="str">
        <f t="shared" si="20"/>
        <v>Thursday</v>
      </c>
      <c r="Q350">
        <f t="shared" si="21"/>
        <v>1440</v>
      </c>
      <c r="R350" t="str">
        <f t="shared" si="22"/>
        <v>Weekday</v>
      </c>
      <c r="S350" t="str">
        <f t="shared" si="23"/>
        <v>Sedentary</v>
      </c>
    </row>
    <row r="351" spans="1:19" x14ac:dyDescent="0.25">
      <c r="A351">
        <v>4020332650</v>
      </c>
      <c r="B351" s="4">
        <v>42489</v>
      </c>
      <c r="C351">
        <v>0</v>
      </c>
      <c r="D351" s="1">
        <v>0</v>
      </c>
      <c r="E351" s="1">
        <v>0</v>
      </c>
      <c r="F351" s="1">
        <v>0</v>
      </c>
      <c r="G351" s="1">
        <v>0</v>
      </c>
      <c r="H351" s="1">
        <v>0</v>
      </c>
      <c r="I351" s="1">
        <v>0</v>
      </c>
      <c r="J351" s="1">
        <v>0</v>
      </c>
      <c r="K351">
        <v>0</v>
      </c>
      <c r="L351">
        <v>0</v>
      </c>
      <c r="M351">
        <v>0</v>
      </c>
      <c r="N351">
        <v>1440</v>
      </c>
      <c r="O351">
        <v>1980</v>
      </c>
      <c r="P351" t="str">
        <f t="shared" si="20"/>
        <v>Friday</v>
      </c>
      <c r="Q351">
        <f t="shared" si="21"/>
        <v>1440</v>
      </c>
      <c r="R351" t="str">
        <f t="shared" si="22"/>
        <v>Weekday</v>
      </c>
      <c r="S351" t="str">
        <f t="shared" si="23"/>
        <v>Sedentary</v>
      </c>
    </row>
    <row r="352" spans="1:19" x14ac:dyDescent="0.25">
      <c r="A352">
        <v>4020332650</v>
      </c>
      <c r="B352" s="4">
        <v>42490</v>
      </c>
      <c r="C352">
        <v>0</v>
      </c>
      <c r="D352" s="1">
        <v>0</v>
      </c>
      <c r="E352" s="1">
        <v>0</v>
      </c>
      <c r="F352" s="1">
        <v>0</v>
      </c>
      <c r="G352" s="1">
        <v>0</v>
      </c>
      <c r="H352" s="1">
        <v>0</v>
      </c>
      <c r="I352" s="1">
        <v>0</v>
      </c>
      <c r="J352" s="1">
        <v>0</v>
      </c>
      <c r="K352">
        <v>0</v>
      </c>
      <c r="L352">
        <v>0</v>
      </c>
      <c r="M352">
        <v>0</v>
      </c>
      <c r="N352">
        <v>1440</v>
      </c>
      <c r="O352">
        <v>1980</v>
      </c>
      <c r="P352" t="str">
        <f t="shared" si="20"/>
        <v>Saturday</v>
      </c>
      <c r="Q352">
        <f t="shared" si="21"/>
        <v>1440</v>
      </c>
      <c r="R352" t="str">
        <f t="shared" si="22"/>
        <v>Weekend</v>
      </c>
      <c r="S352" t="str">
        <f t="shared" si="23"/>
        <v>Sedentary</v>
      </c>
    </row>
    <row r="353" spans="1:19" x14ac:dyDescent="0.25">
      <c r="A353">
        <v>4020332650</v>
      </c>
      <c r="B353" s="4">
        <v>42374</v>
      </c>
      <c r="C353">
        <v>0</v>
      </c>
      <c r="D353" s="1">
        <v>0</v>
      </c>
      <c r="E353" s="1">
        <v>0</v>
      </c>
      <c r="F353" s="1">
        <v>0</v>
      </c>
      <c r="G353" s="1">
        <v>0</v>
      </c>
      <c r="H353" s="1">
        <v>0</v>
      </c>
      <c r="I353" s="1">
        <v>0</v>
      </c>
      <c r="J353" s="1">
        <v>0</v>
      </c>
      <c r="K353">
        <v>0</v>
      </c>
      <c r="L353">
        <v>0</v>
      </c>
      <c r="M353">
        <v>0</v>
      </c>
      <c r="N353">
        <v>1440</v>
      </c>
      <c r="O353">
        <v>1980</v>
      </c>
      <c r="P353" t="str">
        <f t="shared" si="20"/>
        <v>Tuesday</v>
      </c>
      <c r="Q353">
        <f t="shared" si="21"/>
        <v>1440</v>
      </c>
      <c r="R353" t="str">
        <f t="shared" si="22"/>
        <v>Weekday</v>
      </c>
      <c r="S353" t="str">
        <f t="shared" si="23"/>
        <v>Sedentary</v>
      </c>
    </row>
    <row r="354" spans="1:19" x14ac:dyDescent="0.25">
      <c r="A354">
        <v>4020332650</v>
      </c>
      <c r="B354" s="4">
        <v>42473</v>
      </c>
      <c r="C354">
        <v>0</v>
      </c>
      <c r="D354" s="1">
        <v>0</v>
      </c>
      <c r="E354" s="1">
        <v>0</v>
      </c>
      <c r="F354" s="1">
        <v>0</v>
      </c>
      <c r="G354" s="1">
        <v>0</v>
      </c>
      <c r="H354" s="1">
        <v>0</v>
      </c>
      <c r="I354" s="1">
        <v>0</v>
      </c>
      <c r="J354" s="1">
        <v>0</v>
      </c>
      <c r="K354">
        <v>0</v>
      </c>
      <c r="L354">
        <v>0</v>
      </c>
      <c r="M354">
        <v>0</v>
      </c>
      <c r="N354">
        <v>1440</v>
      </c>
      <c r="O354">
        <v>1981</v>
      </c>
      <c r="P354" t="str">
        <f t="shared" si="20"/>
        <v>Wednesday</v>
      </c>
      <c r="Q354">
        <f t="shared" si="21"/>
        <v>1440</v>
      </c>
      <c r="R354" t="str">
        <f t="shared" si="22"/>
        <v>Weekday</v>
      </c>
      <c r="S354" t="str">
        <f t="shared" si="23"/>
        <v>Sedentary</v>
      </c>
    </row>
    <row r="355" spans="1:19" x14ac:dyDescent="0.25">
      <c r="A355">
        <v>2873212765</v>
      </c>
      <c r="B355" s="4">
        <v>42708</v>
      </c>
      <c r="C355">
        <v>8796</v>
      </c>
      <c r="D355" s="1">
        <v>5.9099998474121103</v>
      </c>
      <c r="E355" s="1">
        <v>5.9099998474121103</v>
      </c>
      <c r="F355" s="1">
        <v>0</v>
      </c>
      <c r="G355" s="1">
        <v>0.109999999403954</v>
      </c>
      <c r="H355" s="1">
        <v>0.93000000715255704</v>
      </c>
      <c r="I355" s="1">
        <v>4.8800001144409197</v>
      </c>
      <c r="J355" s="1">
        <v>0</v>
      </c>
      <c r="K355">
        <v>2</v>
      </c>
      <c r="L355">
        <v>21</v>
      </c>
      <c r="M355">
        <v>356</v>
      </c>
      <c r="N355">
        <v>1061</v>
      </c>
      <c r="O355">
        <v>1982</v>
      </c>
      <c r="P355" t="str">
        <f t="shared" si="20"/>
        <v>Sunday</v>
      </c>
      <c r="Q355">
        <f t="shared" si="21"/>
        <v>1440</v>
      </c>
      <c r="R355" t="str">
        <f t="shared" si="22"/>
        <v>Weekend</v>
      </c>
      <c r="S355" t="str">
        <f t="shared" si="23"/>
        <v>Fairly Active</v>
      </c>
    </row>
    <row r="356" spans="1:19" x14ac:dyDescent="0.25">
      <c r="A356">
        <v>4319703577</v>
      </c>
      <c r="B356" s="4">
        <v>42475</v>
      </c>
      <c r="C356">
        <v>5664</v>
      </c>
      <c r="D356" s="1">
        <v>3.7999999523162802</v>
      </c>
      <c r="E356" s="1">
        <v>3.7999999523162802</v>
      </c>
      <c r="F356" s="1">
        <v>0</v>
      </c>
      <c r="G356" s="1">
        <v>0</v>
      </c>
      <c r="H356" s="1">
        <v>0</v>
      </c>
      <c r="I356" s="1">
        <v>3.7999999523162802</v>
      </c>
      <c r="J356" s="1">
        <v>0</v>
      </c>
      <c r="K356">
        <v>0</v>
      </c>
      <c r="L356">
        <v>0</v>
      </c>
      <c r="M356">
        <v>228</v>
      </c>
      <c r="N356">
        <v>752</v>
      </c>
      <c r="O356">
        <v>1985</v>
      </c>
      <c r="P356" t="str">
        <f t="shared" si="20"/>
        <v>Friday</v>
      </c>
      <c r="Q356">
        <f t="shared" si="21"/>
        <v>980</v>
      </c>
      <c r="R356" t="str">
        <f t="shared" si="22"/>
        <v>Weekday</v>
      </c>
      <c r="S356" t="str">
        <f t="shared" si="23"/>
        <v>Lightly Active</v>
      </c>
    </row>
    <row r="357" spans="1:19" x14ac:dyDescent="0.25">
      <c r="A357">
        <v>3372868164</v>
      </c>
      <c r="B357" s="4">
        <v>42479</v>
      </c>
      <c r="C357">
        <v>7711</v>
      </c>
      <c r="D357" s="1">
        <v>5.2600002288818404</v>
      </c>
      <c r="E357" s="1">
        <v>5.2600002288818404</v>
      </c>
      <c r="F357" s="1">
        <v>0</v>
      </c>
      <c r="G357" s="1">
        <v>0</v>
      </c>
      <c r="H357" s="1">
        <v>0</v>
      </c>
      <c r="I357" s="1">
        <v>5.2399997711181596</v>
      </c>
      <c r="J357" s="1">
        <v>1.9999999552965199E-2</v>
      </c>
      <c r="K357">
        <v>0</v>
      </c>
      <c r="L357">
        <v>0</v>
      </c>
      <c r="M357">
        <v>376</v>
      </c>
      <c r="N357">
        <v>1064</v>
      </c>
      <c r="O357">
        <v>1985</v>
      </c>
      <c r="P357" t="str">
        <f t="shared" si="20"/>
        <v>Tuesday</v>
      </c>
      <c r="Q357">
        <f t="shared" si="21"/>
        <v>1440</v>
      </c>
      <c r="R357" t="str">
        <f t="shared" si="22"/>
        <v>Weekday</v>
      </c>
      <c r="S357" t="str">
        <f t="shared" si="23"/>
        <v>Fairly Active</v>
      </c>
    </row>
    <row r="358" spans="1:19" x14ac:dyDescent="0.25">
      <c r="A358">
        <v>1503960366</v>
      </c>
      <c r="B358" s="4">
        <v>42708</v>
      </c>
      <c r="C358">
        <v>13162</v>
      </c>
      <c r="D358" s="1">
        <v>8.5</v>
      </c>
      <c r="E358" s="1">
        <v>8.5</v>
      </c>
      <c r="F358" s="1">
        <v>0</v>
      </c>
      <c r="G358" s="1">
        <v>1.87999999523163</v>
      </c>
      <c r="H358" s="1">
        <v>0.55000001192092896</v>
      </c>
      <c r="I358" s="1">
        <v>6.0599999427795401</v>
      </c>
      <c r="J358" s="1">
        <v>0</v>
      </c>
      <c r="K358">
        <v>25</v>
      </c>
      <c r="L358">
        <v>13</v>
      </c>
      <c r="M358">
        <v>328</v>
      </c>
      <c r="N358">
        <v>728</v>
      </c>
      <c r="O358">
        <v>1985</v>
      </c>
      <c r="P358" t="str">
        <f t="shared" si="20"/>
        <v>Sunday</v>
      </c>
      <c r="Q358">
        <f t="shared" si="21"/>
        <v>1094</v>
      </c>
      <c r="R358" t="str">
        <f t="shared" si="22"/>
        <v>Weekend</v>
      </c>
      <c r="S358" t="str">
        <f t="shared" si="23"/>
        <v>Very_Active</v>
      </c>
    </row>
    <row r="359" spans="1:19" x14ac:dyDescent="0.25">
      <c r="A359">
        <v>8053475328</v>
      </c>
      <c r="B359" s="4">
        <v>42405</v>
      </c>
      <c r="C359">
        <v>1969</v>
      </c>
      <c r="D359" s="1">
        <v>1.4299999475479099</v>
      </c>
      <c r="E359" s="1">
        <v>1.4299999475479099</v>
      </c>
      <c r="F359" s="1">
        <v>0</v>
      </c>
      <c r="G359" s="1">
        <v>0</v>
      </c>
      <c r="H359" s="1">
        <v>0</v>
      </c>
      <c r="I359" s="1">
        <v>1.4299999475479099</v>
      </c>
      <c r="J359" s="1">
        <v>0</v>
      </c>
      <c r="K359">
        <v>0</v>
      </c>
      <c r="L359">
        <v>0</v>
      </c>
      <c r="M359">
        <v>95</v>
      </c>
      <c r="N359">
        <v>1345</v>
      </c>
      <c r="O359">
        <v>1988</v>
      </c>
      <c r="P359" t="str">
        <f t="shared" si="20"/>
        <v>Friday</v>
      </c>
      <c r="Q359">
        <f t="shared" si="21"/>
        <v>1440</v>
      </c>
      <c r="R359" t="str">
        <f t="shared" si="22"/>
        <v>Weekday</v>
      </c>
      <c r="S359" t="str">
        <f t="shared" si="23"/>
        <v>Sedentary</v>
      </c>
    </row>
    <row r="360" spans="1:19" x14ac:dyDescent="0.25">
      <c r="A360">
        <v>4020332650</v>
      </c>
      <c r="B360" s="4">
        <v>42477</v>
      </c>
      <c r="C360">
        <v>16</v>
      </c>
      <c r="D360" s="1">
        <v>9.9999997764825804E-3</v>
      </c>
      <c r="E360" s="1">
        <v>9.9999997764825804E-3</v>
      </c>
      <c r="F360" s="1">
        <v>0</v>
      </c>
      <c r="G360" s="1">
        <v>0</v>
      </c>
      <c r="H360" s="1">
        <v>0</v>
      </c>
      <c r="I360" s="1">
        <v>9.9999997764825804E-3</v>
      </c>
      <c r="J360" s="1">
        <v>0</v>
      </c>
      <c r="K360">
        <v>0</v>
      </c>
      <c r="L360">
        <v>0</v>
      </c>
      <c r="M360">
        <v>2</v>
      </c>
      <c r="N360">
        <v>1438</v>
      </c>
      <c r="O360">
        <v>1990</v>
      </c>
      <c r="P360" t="str">
        <f t="shared" si="20"/>
        <v>Sunday</v>
      </c>
      <c r="Q360">
        <f t="shared" si="21"/>
        <v>1440</v>
      </c>
      <c r="R360" t="str">
        <f t="shared" si="22"/>
        <v>Weekend</v>
      </c>
      <c r="S360" t="str">
        <f t="shared" si="23"/>
        <v>Sedentary</v>
      </c>
    </row>
    <row r="361" spans="1:19" x14ac:dyDescent="0.25">
      <c r="A361">
        <v>1503960366</v>
      </c>
      <c r="B361" s="4">
        <v>42434</v>
      </c>
      <c r="C361">
        <v>15103</v>
      </c>
      <c r="D361" s="1">
        <v>9.6599998474121094</v>
      </c>
      <c r="E361" s="1">
        <v>9.6599998474121094</v>
      </c>
      <c r="F361" s="1">
        <v>0</v>
      </c>
      <c r="G361" s="1">
        <v>3.7300000190734899</v>
      </c>
      <c r="H361" s="1">
        <v>1.04999995231628</v>
      </c>
      <c r="I361" s="1">
        <v>4.8800001144409197</v>
      </c>
      <c r="J361" s="1">
        <v>0</v>
      </c>
      <c r="K361">
        <v>50</v>
      </c>
      <c r="L361">
        <v>24</v>
      </c>
      <c r="M361">
        <v>254</v>
      </c>
      <c r="N361">
        <v>816</v>
      </c>
      <c r="O361">
        <v>1990</v>
      </c>
      <c r="P361" t="str">
        <f t="shared" si="20"/>
        <v>Saturday</v>
      </c>
      <c r="Q361">
        <f t="shared" si="21"/>
        <v>1144</v>
      </c>
      <c r="R361" t="str">
        <f t="shared" si="22"/>
        <v>Weekend</v>
      </c>
      <c r="S361" t="str">
        <f t="shared" si="23"/>
        <v>Very_Active</v>
      </c>
    </row>
    <row r="362" spans="1:19" x14ac:dyDescent="0.25">
      <c r="A362">
        <v>1844505072</v>
      </c>
      <c r="B362" s="4">
        <v>42488</v>
      </c>
      <c r="C362">
        <v>6907</v>
      </c>
      <c r="D362" s="1">
        <v>4.5700001716613796</v>
      </c>
      <c r="E362" s="1">
        <v>4.5700001716613796</v>
      </c>
      <c r="F362" s="1">
        <v>0</v>
      </c>
      <c r="G362" s="1">
        <v>0</v>
      </c>
      <c r="H362" s="1">
        <v>0</v>
      </c>
      <c r="I362" s="1">
        <v>4.5599999427795401</v>
      </c>
      <c r="J362" s="1">
        <v>0</v>
      </c>
      <c r="K362">
        <v>0</v>
      </c>
      <c r="L362">
        <v>0</v>
      </c>
      <c r="M362">
        <v>302</v>
      </c>
      <c r="N362">
        <v>1138</v>
      </c>
      <c r="O362">
        <v>1992</v>
      </c>
      <c r="P362" t="str">
        <f t="shared" si="20"/>
        <v>Thursday</v>
      </c>
      <c r="Q362">
        <f t="shared" si="21"/>
        <v>1440</v>
      </c>
      <c r="R362" t="str">
        <f t="shared" si="22"/>
        <v>Weekday</v>
      </c>
      <c r="S362" t="str">
        <f t="shared" si="23"/>
        <v>Lightly Active</v>
      </c>
    </row>
    <row r="363" spans="1:19" x14ac:dyDescent="0.25">
      <c r="A363">
        <v>6775888955</v>
      </c>
      <c r="B363" s="4">
        <v>42488</v>
      </c>
      <c r="C363">
        <v>703</v>
      </c>
      <c r="D363" s="1">
        <v>0.5</v>
      </c>
      <c r="E363" s="1">
        <v>0.5</v>
      </c>
      <c r="F363" s="1">
        <v>0</v>
      </c>
      <c r="G363" s="1">
        <v>5.9999998658895499E-2</v>
      </c>
      <c r="H363" s="1">
        <v>0.20000000298023199</v>
      </c>
      <c r="I363" s="1">
        <v>0.239999994635582</v>
      </c>
      <c r="J363" s="1">
        <v>0</v>
      </c>
      <c r="K363">
        <v>2</v>
      </c>
      <c r="L363">
        <v>13</v>
      </c>
      <c r="M363">
        <v>15</v>
      </c>
      <c r="N363">
        <v>1410</v>
      </c>
      <c r="O363">
        <v>1993</v>
      </c>
      <c r="P363" t="str">
        <f t="shared" si="20"/>
        <v>Thursday</v>
      </c>
      <c r="Q363">
        <f t="shared" si="21"/>
        <v>1440</v>
      </c>
      <c r="R363" t="str">
        <f t="shared" si="22"/>
        <v>Weekday</v>
      </c>
      <c r="S363" t="str">
        <f t="shared" si="23"/>
        <v>Sedentary</v>
      </c>
    </row>
    <row r="364" spans="1:19" x14ac:dyDescent="0.25">
      <c r="A364">
        <v>6962181067</v>
      </c>
      <c r="B364" s="4">
        <v>42708</v>
      </c>
      <c r="C364">
        <v>10199</v>
      </c>
      <c r="D364" s="1">
        <v>6.7399997711181596</v>
      </c>
      <c r="E364" s="1">
        <v>6.7399997711181596</v>
      </c>
      <c r="F364" s="1">
        <v>0</v>
      </c>
      <c r="G364" s="1">
        <v>3.4000000953674299</v>
      </c>
      <c r="H364" s="1">
        <v>0.82999998331069902</v>
      </c>
      <c r="I364" s="1">
        <v>2.5099999904632599</v>
      </c>
      <c r="J364" s="1">
        <v>0</v>
      </c>
      <c r="K364">
        <v>50</v>
      </c>
      <c r="L364">
        <v>14</v>
      </c>
      <c r="M364">
        <v>189</v>
      </c>
      <c r="N364">
        <v>796</v>
      </c>
      <c r="O364">
        <v>1994</v>
      </c>
      <c r="P364" t="str">
        <f t="shared" si="20"/>
        <v>Sunday</v>
      </c>
      <c r="Q364">
        <f t="shared" si="21"/>
        <v>1049</v>
      </c>
      <c r="R364" t="str">
        <f t="shared" si="22"/>
        <v>Weekend</v>
      </c>
      <c r="S364" t="str">
        <f t="shared" si="23"/>
        <v>Very_Active</v>
      </c>
    </row>
    <row r="365" spans="1:19" x14ac:dyDescent="0.25">
      <c r="A365">
        <v>4020332650</v>
      </c>
      <c r="B365" s="4">
        <v>42478</v>
      </c>
      <c r="C365">
        <v>62</v>
      </c>
      <c r="D365" s="1">
        <v>3.9999999105930301E-2</v>
      </c>
      <c r="E365" s="1">
        <v>3.9999999105930301E-2</v>
      </c>
      <c r="F365" s="1">
        <v>0</v>
      </c>
      <c r="G365" s="1">
        <v>0</v>
      </c>
      <c r="H365" s="1">
        <v>0</v>
      </c>
      <c r="I365" s="1">
        <v>3.9999999105930301E-2</v>
      </c>
      <c r="J365" s="1">
        <v>0</v>
      </c>
      <c r="K365">
        <v>0</v>
      </c>
      <c r="L365">
        <v>0</v>
      </c>
      <c r="M365">
        <v>2</v>
      </c>
      <c r="N365">
        <v>1438</v>
      </c>
      <c r="O365">
        <v>1995</v>
      </c>
      <c r="P365" t="str">
        <f t="shared" si="20"/>
        <v>Monday</v>
      </c>
      <c r="Q365">
        <f t="shared" si="21"/>
        <v>1440</v>
      </c>
      <c r="R365" t="str">
        <f t="shared" si="22"/>
        <v>Weekday</v>
      </c>
      <c r="S365" t="str">
        <f t="shared" si="23"/>
        <v>Sedentary</v>
      </c>
    </row>
    <row r="366" spans="1:19" x14ac:dyDescent="0.25">
      <c r="A366">
        <v>2022484408</v>
      </c>
      <c r="B366" s="4">
        <v>42556</v>
      </c>
      <c r="C366">
        <v>6708</v>
      </c>
      <c r="D366" s="1">
        <v>4.71000003814697</v>
      </c>
      <c r="E366" s="1">
        <v>4.71000003814697</v>
      </c>
      <c r="F366" s="1">
        <v>0</v>
      </c>
      <c r="G366" s="1">
        <v>1.6100000143051101</v>
      </c>
      <c r="H366" s="1">
        <v>7.9999998211860698E-2</v>
      </c>
      <c r="I366" s="1">
        <v>3.0199999809265101</v>
      </c>
      <c r="J366" s="1">
        <v>0</v>
      </c>
      <c r="K366">
        <v>20</v>
      </c>
      <c r="L366">
        <v>2</v>
      </c>
      <c r="M366">
        <v>149</v>
      </c>
      <c r="N366">
        <v>1269</v>
      </c>
      <c r="O366">
        <v>1995</v>
      </c>
      <c r="P366" t="str">
        <f t="shared" si="20"/>
        <v>Tuesday</v>
      </c>
      <c r="Q366">
        <f t="shared" si="21"/>
        <v>1440</v>
      </c>
      <c r="R366" t="str">
        <f t="shared" si="22"/>
        <v>Weekday</v>
      </c>
      <c r="S366" t="str">
        <f t="shared" si="23"/>
        <v>Lightly Active</v>
      </c>
    </row>
    <row r="367" spans="1:19" x14ac:dyDescent="0.25">
      <c r="A367">
        <v>3372868164</v>
      </c>
      <c r="B367" s="4">
        <v>42483</v>
      </c>
      <c r="C367">
        <v>7396</v>
      </c>
      <c r="D367" s="1">
        <v>5.0700001716613796</v>
      </c>
      <c r="E367" s="1">
        <v>5.0700001716613796</v>
      </c>
      <c r="F367" s="1">
        <v>0</v>
      </c>
      <c r="G367" s="1">
        <v>1.3999999761581401</v>
      </c>
      <c r="H367" s="1">
        <v>7.9999998211860698E-2</v>
      </c>
      <c r="I367" s="1">
        <v>3.5799999237060498</v>
      </c>
      <c r="J367" s="1">
        <v>0</v>
      </c>
      <c r="K367">
        <v>20</v>
      </c>
      <c r="L367">
        <v>2</v>
      </c>
      <c r="M367">
        <v>303</v>
      </c>
      <c r="N367">
        <v>1115</v>
      </c>
      <c r="O367">
        <v>1995</v>
      </c>
      <c r="P367" t="str">
        <f t="shared" si="20"/>
        <v>Saturday</v>
      </c>
      <c r="Q367">
        <f t="shared" si="21"/>
        <v>1440</v>
      </c>
      <c r="R367" t="str">
        <f t="shared" si="22"/>
        <v>Weekend</v>
      </c>
      <c r="S367" t="str">
        <f t="shared" si="23"/>
        <v>Lightly Active</v>
      </c>
    </row>
    <row r="368" spans="1:19" x14ac:dyDescent="0.25">
      <c r="A368">
        <v>5553957443</v>
      </c>
      <c r="B368" s="4">
        <v>42405</v>
      </c>
      <c r="C368">
        <v>9769</v>
      </c>
      <c r="D368" s="1">
        <v>6.3800001144409197</v>
      </c>
      <c r="E368" s="1">
        <v>6.3800001144409197</v>
      </c>
      <c r="F368" s="1">
        <v>0</v>
      </c>
      <c r="G368" s="1">
        <v>1.0599999427795399</v>
      </c>
      <c r="H368" s="1">
        <v>0.40999999642372098</v>
      </c>
      <c r="I368" s="1">
        <v>4.9000000953674299</v>
      </c>
      <c r="J368" s="1">
        <v>0</v>
      </c>
      <c r="K368">
        <v>23</v>
      </c>
      <c r="L368">
        <v>9</v>
      </c>
      <c r="M368">
        <v>227</v>
      </c>
      <c r="N368">
        <v>724</v>
      </c>
      <c r="O368">
        <v>1996</v>
      </c>
      <c r="P368" t="str">
        <f t="shared" si="20"/>
        <v>Friday</v>
      </c>
      <c r="Q368">
        <f t="shared" si="21"/>
        <v>983</v>
      </c>
      <c r="R368" t="str">
        <f t="shared" si="22"/>
        <v>Weekday</v>
      </c>
      <c r="S368" t="str">
        <f t="shared" si="23"/>
        <v>Fairly Active</v>
      </c>
    </row>
    <row r="369" spans="1:19" x14ac:dyDescent="0.25">
      <c r="A369">
        <v>4558609924</v>
      </c>
      <c r="B369" s="4">
        <v>42476</v>
      </c>
      <c r="C369">
        <v>7289</v>
      </c>
      <c r="D369" s="1">
        <v>4.8200001716613796</v>
      </c>
      <c r="E369" s="1">
        <v>4.8200001716613796</v>
      </c>
      <c r="F369" s="1">
        <v>0</v>
      </c>
      <c r="G369" s="1">
        <v>0.55000001192092896</v>
      </c>
      <c r="H369" s="1">
        <v>0.75</v>
      </c>
      <c r="I369" s="1">
        <v>3.5</v>
      </c>
      <c r="J369" s="1">
        <v>0</v>
      </c>
      <c r="K369">
        <v>8</v>
      </c>
      <c r="L369">
        <v>12</v>
      </c>
      <c r="M369">
        <v>308</v>
      </c>
      <c r="N369">
        <v>1112</v>
      </c>
      <c r="O369">
        <v>1997</v>
      </c>
      <c r="P369" t="str">
        <f t="shared" si="20"/>
        <v>Saturday</v>
      </c>
      <c r="Q369">
        <f t="shared" si="21"/>
        <v>1440</v>
      </c>
      <c r="R369" t="str">
        <f t="shared" si="22"/>
        <v>Weekend</v>
      </c>
      <c r="S369" t="str">
        <f t="shared" si="23"/>
        <v>Lightly Active</v>
      </c>
    </row>
    <row r="370" spans="1:19" x14ac:dyDescent="0.25">
      <c r="A370">
        <v>5553957443</v>
      </c>
      <c r="B370" s="4">
        <v>42488</v>
      </c>
      <c r="C370">
        <v>11393</v>
      </c>
      <c r="D370" s="1">
        <v>7.6300001144409197</v>
      </c>
      <c r="E370" s="1">
        <v>7.6300001144409197</v>
      </c>
      <c r="F370" s="1">
        <v>0</v>
      </c>
      <c r="G370" s="1">
        <v>3.71000003814697</v>
      </c>
      <c r="H370" s="1">
        <v>0.75</v>
      </c>
      <c r="I370" s="1">
        <v>3.1700000762939502</v>
      </c>
      <c r="J370" s="1">
        <v>0</v>
      </c>
      <c r="K370">
        <v>49</v>
      </c>
      <c r="L370">
        <v>13</v>
      </c>
      <c r="M370">
        <v>165</v>
      </c>
      <c r="N370">
        <v>727</v>
      </c>
      <c r="O370">
        <v>1999</v>
      </c>
      <c r="P370" t="str">
        <f t="shared" si="20"/>
        <v>Thursday</v>
      </c>
      <c r="Q370">
        <f t="shared" si="21"/>
        <v>954</v>
      </c>
      <c r="R370" t="str">
        <f t="shared" si="22"/>
        <v>Weekday</v>
      </c>
      <c r="S370" t="str">
        <f t="shared" si="23"/>
        <v>Very_Active</v>
      </c>
    </row>
    <row r="371" spans="1:19" x14ac:dyDescent="0.25">
      <c r="A371">
        <v>6962181067</v>
      </c>
      <c r="B371" s="4">
        <v>42490</v>
      </c>
      <c r="C371">
        <v>10081</v>
      </c>
      <c r="D371" s="1">
        <v>6.6599998474121103</v>
      </c>
      <c r="E371" s="1">
        <v>6.6599998474121103</v>
      </c>
      <c r="F371" s="1">
        <v>0</v>
      </c>
      <c r="G371" s="1">
        <v>2.2400000095367401</v>
      </c>
      <c r="H371" s="1">
        <v>0.75999999046325695</v>
      </c>
      <c r="I371" s="1">
        <v>3.6700000762939502</v>
      </c>
      <c r="J371" s="1">
        <v>0</v>
      </c>
      <c r="K371">
        <v>32</v>
      </c>
      <c r="L371">
        <v>16</v>
      </c>
      <c r="M371">
        <v>237</v>
      </c>
      <c r="N371">
        <v>731</v>
      </c>
      <c r="O371">
        <v>2002</v>
      </c>
      <c r="P371" t="str">
        <f t="shared" si="20"/>
        <v>Saturday</v>
      </c>
      <c r="Q371">
        <f t="shared" si="21"/>
        <v>1016</v>
      </c>
      <c r="R371" t="str">
        <f t="shared" si="22"/>
        <v>Weekend</v>
      </c>
      <c r="S371" t="str">
        <f t="shared" si="23"/>
        <v>Very_Active</v>
      </c>
    </row>
    <row r="372" spans="1:19" x14ac:dyDescent="0.25">
      <c r="A372">
        <v>2320127002</v>
      </c>
      <c r="B372" s="4">
        <v>42473</v>
      </c>
      <c r="C372">
        <v>7275</v>
      </c>
      <c r="D372" s="1">
        <v>4.9000000953674299</v>
      </c>
      <c r="E372" s="1">
        <v>4.9000000953674299</v>
      </c>
      <c r="F372" s="1">
        <v>0</v>
      </c>
      <c r="G372" s="1">
        <v>0</v>
      </c>
      <c r="H372" s="1">
        <v>0</v>
      </c>
      <c r="I372" s="1">
        <v>4.9000000953674299</v>
      </c>
      <c r="J372" s="1">
        <v>0</v>
      </c>
      <c r="K372">
        <v>0</v>
      </c>
      <c r="L372">
        <v>0</v>
      </c>
      <c r="M372">
        <v>335</v>
      </c>
      <c r="N372">
        <v>1105</v>
      </c>
      <c r="O372">
        <v>2003</v>
      </c>
      <c r="P372" t="str">
        <f t="shared" si="20"/>
        <v>Wednesday</v>
      </c>
      <c r="Q372">
        <f t="shared" si="21"/>
        <v>1440</v>
      </c>
      <c r="R372" t="str">
        <f t="shared" si="22"/>
        <v>Weekday</v>
      </c>
      <c r="S372" t="str">
        <f t="shared" si="23"/>
        <v>Lightly Active</v>
      </c>
    </row>
    <row r="373" spans="1:19" x14ac:dyDescent="0.25">
      <c r="A373">
        <v>2873212765</v>
      </c>
      <c r="B373" s="4">
        <v>42473</v>
      </c>
      <c r="C373">
        <v>7618</v>
      </c>
      <c r="D373" s="1">
        <v>5.1199998855590803</v>
      </c>
      <c r="E373" s="1">
        <v>5.1199998855590803</v>
      </c>
      <c r="F373" s="1">
        <v>0</v>
      </c>
      <c r="G373" s="1">
        <v>0</v>
      </c>
      <c r="H373" s="1">
        <v>0.21999999880790699</v>
      </c>
      <c r="I373" s="1">
        <v>4.8800001144409197</v>
      </c>
      <c r="J373" s="1">
        <v>1.9999999552965199E-2</v>
      </c>
      <c r="K373">
        <v>0</v>
      </c>
      <c r="L373">
        <v>8</v>
      </c>
      <c r="M373">
        <v>404</v>
      </c>
      <c r="N373">
        <v>1028</v>
      </c>
      <c r="O373">
        <v>2004</v>
      </c>
      <c r="P373" t="str">
        <f t="shared" si="20"/>
        <v>Wednesday</v>
      </c>
      <c r="Q373">
        <f t="shared" si="21"/>
        <v>1440</v>
      </c>
      <c r="R373" t="str">
        <f t="shared" si="22"/>
        <v>Weekday</v>
      </c>
      <c r="S373" t="str">
        <f t="shared" si="23"/>
        <v>Fairly Active</v>
      </c>
    </row>
    <row r="374" spans="1:19" x14ac:dyDescent="0.25">
      <c r="A374">
        <v>1503960366</v>
      </c>
      <c r="B374" s="4">
        <v>42405</v>
      </c>
      <c r="C374">
        <v>14727</v>
      </c>
      <c r="D374" s="1">
        <v>9.7100000381469709</v>
      </c>
      <c r="E374" s="1">
        <v>9.7100000381469709</v>
      </c>
      <c r="F374" s="1">
        <v>0</v>
      </c>
      <c r="G374" s="1">
        <v>3.21000003814697</v>
      </c>
      <c r="H374" s="1">
        <v>0.56999999284744296</v>
      </c>
      <c r="I374" s="1">
        <v>5.9200000762939498</v>
      </c>
      <c r="J374" s="1">
        <v>0</v>
      </c>
      <c r="K374">
        <v>41</v>
      </c>
      <c r="L374">
        <v>15</v>
      </c>
      <c r="M374">
        <v>277</v>
      </c>
      <c r="N374">
        <v>798</v>
      </c>
      <c r="O374">
        <v>2004</v>
      </c>
      <c r="P374" t="str">
        <f t="shared" si="20"/>
        <v>Friday</v>
      </c>
      <c r="Q374">
        <f t="shared" si="21"/>
        <v>1131</v>
      </c>
      <c r="R374" t="str">
        <f t="shared" si="22"/>
        <v>Weekday</v>
      </c>
      <c r="S374" t="str">
        <f t="shared" si="23"/>
        <v>Very_Active</v>
      </c>
    </row>
    <row r="375" spans="1:19" x14ac:dyDescent="0.25">
      <c r="A375">
        <v>8253242879</v>
      </c>
      <c r="B375" s="4">
        <v>42487</v>
      </c>
      <c r="C375">
        <v>10232</v>
      </c>
      <c r="D375" s="1">
        <v>8.1800003051757795</v>
      </c>
      <c r="E375" s="1">
        <v>8.1800003051757795</v>
      </c>
      <c r="F375" s="1">
        <v>0</v>
      </c>
      <c r="G375" s="1">
        <v>6.2399997711181596</v>
      </c>
      <c r="H375" s="1">
        <v>0.230000004172325</v>
      </c>
      <c r="I375" s="1">
        <v>1.70000004768372</v>
      </c>
      <c r="J375" s="1">
        <v>0</v>
      </c>
      <c r="K375">
        <v>45</v>
      </c>
      <c r="L375">
        <v>5</v>
      </c>
      <c r="M375">
        <v>104</v>
      </c>
      <c r="N375">
        <v>1286</v>
      </c>
      <c r="O375">
        <v>2008</v>
      </c>
      <c r="P375" t="str">
        <f t="shared" si="20"/>
        <v>Wednesday</v>
      </c>
      <c r="Q375">
        <f t="shared" si="21"/>
        <v>1440</v>
      </c>
      <c r="R375" t="str">
        <f t="shared" si="22"/>
        <v>Weekday</v>
      </c>
      <c r="S375" t="str">
        <f t="shared" si="23"/>
        <v>Very_Active</v>
      </c>
    </row>
    <row r="376" spans="1:19" x14ac:dyDescent="0.25">
      <c r="A376">
        <v>8792009665</v>
      </c>
      <c r="B376" s="4">
        <v>42475</v>
      </c>
      <c r="C376">
        <v>2483</v>
      </c>
      <c r="D376" s="1">
        <v>1.5900000333786</v>
      </c>
      <c r="E376" s="1">
        <v>1.5900000333786</v>
      </c>
      <c r="F376" s="1">
        <v>0</v>
      </c>
      <c r="G376" s="1">
        <v>0</v>
      </c>
      <c r="H376" s="1">
        <v>0</v>
      </c>
      <c r="I376" s="1">
        <v>1.5900000333786</v>
      </c>
      <c r="J376" s="1">
        <v>0</v>
      </c>
      <c r="K376">
        <v>0</v>
      </c>
      <c r="L376">
        <v>0</v>
      </c>
      <c r="M376">
        <v>126</v>
      </c>
      <c r="N376">
        <v>937</v>
      </c>
      <c r="O376">
        <v>2009</v>
      </c>
      <c r="P376" t="str">
        <f t="shared" si="20"/>
        <v>Friday</v>
      </c>
      <c r="Q376">
        <f t="shared" si="21"/>
        <v>1063</v>
      </c>
      <c r="R376" t="str">
        <f t="shared" si="22"/>
        <v>Weekday</v>
      </c>
      <c r="S376" t="str">
        <f t="shared" si="23"/>
        <v>Sedentary</v>
      </c>
    </row>
    <row r="377" spans="1:19" x14ac:dyDescent="0.25">
      <c r="A377">
        <v>3372868164</v>
      </c>
      <c r="B377" s="4">
        <v>42485</v>
      </c>
      <c r="C377">
        <v>5995</v>
      </c>
      <c r="D377" s="1">
        <v>4.0900001525878897</v>
      </c>
      <c r="E377" s="1">
        <v>4.0900001525878897</v>
      </c>
      <c r="F377" s="1">
        <v>0</v>
      </c>
      <c r="G377" s="1">
        <v>0</v>
      </c>
      <c r="H377" s="1">
        <v>0</v>
      </c>
      <c r="I377" s="1">
        <v>4.0900001525878897</v>
      </c>
      <c r="J377" s="1">
        <v>0</v>
      </c>
      <c r="K377">
        <v>0</v>
      </c>
      <c r="L377">
        <v>0</v>
      </c>
      <c r="M377">
        <v>416</v>
      </c>
      <c r="N377">
        <v>1024</v>
      </c>
      <c r="O377">
        <v>2010</v>
      </c>
      <c r="P377" t="str">
        <f t="shared" si="20"/>
        <v>Monday</v>
      </c>
      <c r="Q377">
        <f t="shared" si="21"/>
        <v>1440</v>
      </c>
      <c r="R377" t="str">
        <f t="shared" si="22"/>
        <v>Weekday</v>
      </c>
      <c r="S377" t="str">
        <f t="shared" si="23"/>
        <v>Lightly Active</v>
      </c>
    </row>
    <row r="378" spans="1:19" x14ac:dyDescent="0.25">
      <c r="A378">
        <v>2347167796</v>
      </c>
      <c r="B378" s="4">
        <v>42474</v>
      </c>
      <c r="C378">
        <v>10129</v>
      </c>
      <c r="D378" s="1">
        <v>6.6999998092651403</v>
      </c>
      <c r="E378" s="1">
        <v>6.6999998092651403</v>
      </c>
      <c r="F378" s="1">
        <v>0</v>
      </c>
      <c r="G378" s="1">
        <v>1.9999999552965199E-2</v>
      </c>
      <c r="H378" s="1">
        <v>2.7400000095367401</v>
      </c>
      <c r="I378" s="1">
        <v>3.9400000572204599</v>
      </c>
      <c r="J378" s="1">
        <v>0</v>
      </c>
      <c r="K378">
        <v>1</v>
      </c>
      <c r="L378">
        <v>48</v>
      </c>
      <c r="M378">
        <v>206</v>
      </c>
      <c r="N378">
        <v>705</v>
      </c>
      <c r="O378">
        <v>2010</v>
      </c>
      <c r="P378" t="str">
        <f t="shared" si="20"/>
        <v>Thursday</v>
      </c>
      <c r="Q378">
        <f t="shared" si="21"/>
        <v>960</v>
      </c>
      <c r="R378" t="str">
        <f t="shared" si="22"/>
        <v>Weekday</v>
      </c>
      <c r="S378" t="str">
        <f t="shared" si="23"/>
        <v>Very_Active</v>
      </c>
    </row>
    <row r="379" spans="1:19" x14ac:dyDescent="0.25">
      <c r="A379">
        <v>4020332650</v>
      </c>
      <c r="B379" s="4">
        <v>42474</v>
      </c>
      <c r="C379">
        <v>108</v>
      </c>
      <c r="D379" s="1">
        <v>7.9999998211860698E-2</v>
      </c>
      <c r="E379" s="1">
        <v>7.9999998211860698E-2</v>
      </c>
      <c r="F379" s="1">
        <v>0</v>
      </c>
      <c r="G379" s="1">
        <v>0</v>
      </c>
      <c r="H379" s="1">
        <v>0</v>
      </c>
      <c r="I379" s="1">
        <v>2.9999999329447701E-2</v>
      </c>
      <c r="J379" s="1">
        <v>0</v>
      </c>
      <c r="K379">
        <v>0</v>
      </c>
      <c r="L379">
        <v>0</v>
      </c>
      <c r="M379">
        <v>3</v>
      </c>
      <c r="N379">
        <v>1437</v>
      </c>
      <c r="O379">
        <v>2011</v>
      </c>
      <c r="P379" t="str">
        <f t="shared" si="20"/>
        <v>Thursday</v>
      </c>
      <c r="Q379">
        <f t="shared" si="21"/>
        <v>1440</v>
      </c>
      <c r="R379" t="str">
        <f t="shared" si="22"/>
        <v>Weekday</v>
      </c>
      <c r="S379" t="str">
        <f t="shared" si="23"/>
        <v>Sedentary</v>
      </c>
    </row>
    <row r="380" spans="1:19" x14ac:dyDescent="0.25">
      <c r="A380">
        <v>6962181067</v>
      </c>
      <c r="B380" s="4">
        <v>42486</v>
      </c>
      <c r="C380">
        <v>10433</v>
      </c>
      <c r="D380" s="1">
        <v>6.9000000953674299</v>
      </c>
      <c r="E380" s="1">
        <v>6.9000000953674299</v>
      </c>
      <c r="F380" s="1">
        <v>0</v>
      </c>
      <c r="G380" s="1">
        <v>2.5799999237060498</v>
      </c>
      <c r="H380" s="1">
        <v>0.41999998688697798</v>
      </c>
      <c r="I380" s="1">
        <v>3.9000000953674299</v>
      </c>
      <c r="J380" s="1">
        <v>0</v>
      </c>
      <c r="K380">
        <v>36</v>
      </c>
      <c r="L380">
        <v>7</v>
      </c>
      <c r="M380">
        <v>254</v>
      </c>
      <c r="N380">
        <v>680</v>
      </c>
      <c r="O380">
        <v>2012</v>
      </c>
      <c r="P380" t="str">
        <f t="shared" si="20"/>
        <v>Tuesday</v>
      </c>
      <c r="Q380">
        <f t="shared" si="21"/>
        <v>977</v>
      </c>
      <c r="R380" t="str">
        <f t="shared" si="22"/>
        <v>Weekday</v>
      </c>
      <c r="S380" t="str">
        <f t="shared" si="23"/>
        <v>Very_Active</v>
      </c>
    </row>
    <row r="381" spans="1:19" x14ac:dyDescent="0.25">
      <c r="A381">
        <v>1503960366</v>
      </c>
      <c r="B381" s="4">
        <v>42485</v>
      </c>
      <c r="C381">
        <v>15355</v>
      </c>
      <c r="D381" s="1">
        <v>9.8000001907348597</v>
      </c>
      <c r="E381" s="1">
        <v>9.8000001907348597</v>
      </c>
      <c r="F381" s="1">
        <v>0</v>
      </c>
      <c r="G381" s="1">
        <v>5.28999996185303</v>
      </c>
      <c r="H381" s="1">
        <v>0.56999999284744296</v>
      </c>
      <c r="I381" s="1">
        <v>3.9400000572204599</v>
      </c>
      <c r="J381" s="1">
        <v>0</v>
      </c>
      <c r="K381">
        <v>73</v>
      </c>
      <c r="L381">
        <v>14</v>
      </c>
      <c r="M381">
        <v>216</v>
      </c>
      <c r="N381">
        <v>814</v>
      </c>
      <c r="O381">
        <v>2013</v>
      </c>
      <c r="P381" t="str">
        <f t="shared" si="20"/>
        <v>Monday</v>
      </c>
      <c r="Q381">
        <f t="shared" si="21"/>
        <v>1117</v>
      </c>
      <c r="R381" t="str">
        <f t="shared" si="22"/>
        <v>Weekday</v>
      </c>
      <c r="S381" t="str">
        <f t="shared" si="23"/>
        <v>Very_Active</v>
      </c>
    </row>
    <row r="382" spans="1:19" x14ac:dyDescent="0.25">
      <c r="A382">
        <v>3372868164</v>
      </c>
      <c r="B382" s="4">
        <v>42478</v>
      </c>
      <c r="C382">
        <v>6798</v>
      </c>
      <c r="D382" s="1">
        <v>4.6399998664856001</v>
      </c>
      <c r="E382" s="1">
        <v>4.6399998664856001</v>
      </c>
      <c r="F382" s="1">
        <v>0</v>
      </c>
      <c r="G382" s="1">
        <v>1.08000004291534</v>
      </c>
      <c r="H382" s="1">
        <v>0.20000000298023199</v>
      </c>
      <c r="I382" s="1">
        <v>3.3499999046325701</v>
      </c>
      <c r="J382" s="1">
        <v>0</v>
      </c>
      <c r="K382">
        <v>20</v>
      </c>
      <c r="L382">
        <v>7</v>
      </c>
      <c r="M382">
        <v>343</v>
      </c>
      <c r="N382">
        <v>1070</v>
      </c>
      <c r="O382">
        <v>2014</v>
      </c>
      <c r="P382" t="str">
        <f t="shared" si="20"/>
        <v>Monday</v>
      </c>
      <c r="Q382">
        <f t="shared" si="21"/>
        <v>1440</v>
      </c>
      <c r="R382" t="str">
        <f t="shared" si="22"/>
        <v>Weekday</v>
      </c>
      <c r="S382" t="str">
        <f t="shared" si="23"/>
        <v>Lightly Active</v>
      </c>
    </row>
    <row r="383" spans="1:19" x14ac:dyDescent="0.25">
      <c r="A383">
        <v>8792009665</v>
      </c>
      <c r="B383" s="4">
        <v>42405</v>
      </c>
      <c r="C383">
        <v>1831</v>
      </c>
      <c r="D383" s="1">
        <v>1.16999995708466</v>
      </c>
      <c r="E383" s="1">
        <v>1.16999995708466</v>
      </c>
      <c r="F383" s="1">
        <v>0</v>
      </c>
      <c r="G383" s="1">
        <v>0</v>
      </c>
      <c r="H383" s="1">
        <v>0</v>
      </c>
      <c r="I383" s="1">
        <v>1.16999995708466</v>
      </c>
      <c r="J383" s="1">
        <v>0</v>
      </c>
      <c r="K383">
        <v>0</v>
      </c>
      <c r="L383">
        <v>0</v>
      </c>
      <c r="M383">
        <v>101</v>
      </c>
      <c r="N383">
        <v>916</v>
      </c>
      <c r="O383">
        <v>2015</v>
      </c>
      <c r="P383" t="str">
        <f t="shared" si="20"/>
        <v>Friday</v>
      </c>
      <c r="Q383">
        <f t="shared" si="21"/>
        <v>1017</v>
      </c>
      <c r="R383" t="str">
        <f t="shared" si="22"/>
        <v>Weekday</v>
      </c>
      <c r="S383" t="str">
        <f t="shared" si="23"/>
        <v>Sedentary</v>
      </c>
    </row>
    <row r="384" spans="1:19" x14ac:dyDescent="0.25">
      <c r="A384">
        <v>2873212765</v>
      </c>
      <c r="B384" s="4">
        <v>42465</v>
      </c>
      <c r="C384">
        <v>8278</v>
      </c>
      <c r="D384" s="1">
        <v>5.5599999427795401</v>
      </c>
      <c r="E384" s="1">
        <v>5.5599999427795401</v>
      </c>
      <c r="F384" s="1">
        <v>0</v>
      </c>
      <c r="G384" s="1">
        <v>0</v>
      </c>
      <c r="H384" s="1">
        <v>0</v>
      </c>
      <c r="I384" s="1">
        <v>5.5599999427795401</v>
      </c>
      <c r="J384" s="1">
        <v>0</v>
      </c>
      <c r="K384">
        <v>0</v>
      </c>
      <c r="L384">
        <v>0</v>
      </c>
      <c r="M384">
        <v>420</v>
      </c>
      <c r="N384">
        <v>1020</v>
      </c>
      <c r="O384">
        <v>2015</v>
      </c>
      <c r="P384" t="str">
        <f t="shared" si="20"/>
        <v>Tuesday</v>
      </c>
      <c r="Q384">
        <f t="shared" si="21"/>
        <v>1440</v>
      </c>
      <c r="R384" t="str">
        <f t="shared" si="22"/>
        <v>Weekday</v>
      </c>
      <c r="S384" t="str">
        <f t="shared" si="23"/>
        <v>Fairly Active</v>
      </c>
    </row>
    <row r="385" spans="1:19" x14ac:dyDescent="0.25">
      <c r="A385">
        <v>4702921684</v>
      </c>
      <c r="B385" s="4">
        <v>42374</v>
      </c>
      <c r="C385">
        <v>0</v>
      </c>
      <c r="D385" s="1">
        <v>0</v>
      </c>
      <c r="E385" s="1">
        <v>0</v>
      </c>
      <c r="F385" s="1">
        <v>0</v>
      </c>
      <c r="G385" s="1">
        <v>0</v>
      </c>
      <c r="H385" s="1">
        <v>0</v>
      </c>
      <c r="I385" s="1">
        <v>0</v>
      </c>
      <c r="J385" s="1">
        <v>0</v>
      </c>
      <c r="K385">
        <v>0</v>
      </c>
      <c r="L385">
        <v>0</v>
      </c>
      <c r="M385">
        <v>0</v>
      </c>
      <c r="N385">
        <v>1440</v>
      </c>
      <c r="O385">
        <v>2017</v>
      </c>
      <c r="P385" t="str">
        <f t="shared" si="20"/>
        <v>Tuesday</v>
      </c>
      <c r="Q385">
        <f t="shared" si="21"/>
        <v>1440</v>
      </c>
      <c r="R385" t="str">
        <f t="shared" si="22"/>
        <v>Weekday</v>
      </c>
      <c r="S385" t="str">
        <f t="shared" si="23"/>
        <v>Sedentary</v>
      </c>
    </row>
    <row r="386" spans="1:19" x14ac:dyDescent="0.25">
      <c r="A386">
        <v>6117666160</v>
      </c>
      <c r="B386" s="4">
        <v>42478</v>
      </c>
      <c r="C386">
        <v>5153</v>
      </c>
      <c r="D386" s="1">
        <v>3.9100000858306898</v>
      </c>
      <c r="E386" s="1">
        <v>3.9100000858306898</v>
      </c>
      <c r="F386" s="1">
        <v>0</v>
      </c>
      <c r="G386" s="1">
        <v>0</v>
      </c>
      <c r="H386" s="1">
        <v>0</v>
      </c>
      <c r="I386" s="1">
        <v>3.8900001049041699</v>
      </c>
      <c r="J386" s="1">
        <v>0</v>
      </c>
      <c r="K386">
        <v>0</v>
      </c>
      <c r="L386">
        <v>0</v>
      </c>
      <c r="M386">
        <v>241</v>
      </c>
      <c r="N386">
        <v>759</v>
      </c>
      <c r="O386">
        <v>2018</v>
      </c>
      <c r="P386" t="str">
        <f t="shared" ref="P386:P449" si="24">TEXT(B386,"dddd")</f>
        <v>Monday</v>
      </c>
      <c r="Q386">
        <f t="shared" ref="Q386:Q449" si="25">SUM(K386:N386)</f>
        <v>1000</v>
      </c>
      <c r="R386" t="str">
        <f t="shared" ref="R386:R449" si="26">IF(WEEKDAY(B386,2)&lt;=5,"Weekday","Weekend")</f>
        <v>Weekday</v>
      </c>
      <c r="S386" t="str">
        <f t="shared" ref="S386:S449" si="27">IF(C386&lt;5000,"Sedentary",IF(C386&lt;7500,"Lightly Active",IF(C386&lt;10000,"Fairly Active","Very_Active")))</f>
        <v>Lightly Active</v>
      </c>
    </row>
    <row r="387" spans="1:19" x14ac:dyDescent="0.25">
      <c r="A387">
        <v>2873212765</v>
      </c>
      <c r="B387" s="4">
        <v>42483</v>
      </c>
      <c r="C387">
        <v>9317</v>
      </c>
      <c r="D387" s="1">
        <v>6.3499999046325701</v>
      </c>
      <c r="E387" s="1">
        <v>6.3499999046325701</v>
      </c>
      <c r="F387" s="1">
        <v>0</v>
      </c>
      <c r="G387" s="1">
        <v>2.0899999141693102</v>
      </c>
      <c r="H387" s="1">
        <v>0.230000004172325</v>
      </c>
      <c r="I387" s="1">
        <v>4.0199999809265101</v>
      </c>
      <c r="J387" s="1">
        <v>9.9999997764825804E-3</v>
      </c>
      <c r="K387">
        <v>28</v>
      </c>
      <c r="L387">
        <v>5</v>
      </c>
      <c r="M387">
        <v>330</v>
      </c>
      <c r="N387">
        <v>1077</v>
      </c>
      <c r="O387">
        <v>2021</v>
      </c>
      <c r="P387" t="str">
        <f t="shared" si="24"/>
        <v>Saturday</v>
      </c>
      <c r="Q387">
        <f t="shared" si="25"/>
        <v>1440</v>
      </c>
      <c r="R387" t="str">
        <f t="shared" si="26"/>
        <v>Weekend</v>
      </c>
      <c r="S387" t="str">
        <f t="shared" si="27"/>
        <v>Fairly Active</v>
      </c>
    </row>
    <row r="388" spans="1:19" x14ac:dyDescent="0.25">
      <c r="A388">
        <v>5553957443</v>
      </c>
      <c r="B388" s="4">
        <v>42708</v>
      </c>
      <c r="C388">
        <v>11596</v>
      </c>
      <c r="D388" s="1">
        <v>7.5700001716613796</v>
      </c>
      <c r="E388" s="1">
        <v>7.5700001716613796</v>
      </c>
      <c r="F388" s="1">
        <v>0</v>
      </c>
      <c r="G388" s="1">
        <v>1.37000000476837</v>
      </c>
      <c r="H388" s="1">
        <v>0.79000002145767201</v>
      </c>
      <c r="I388" s="1">
        <v>5.4099998474121103</v>
      </c>
      <c r="J388" s="1">
        <v>0</v>
      </c>
      <c r="K388">
        <v>19</v>
      </c>
      <c r="L388">
        <v>13</v>
      </c>
      <c r="M388">
        <v>277</v>
      </c>
      <c r="N388">
        <v>767</v>
      </c>
      <c r="O388">
        <v>2026</v>
      </c>
      <c r="P388" t="str">
        <f t="shared" si="24"/>
        <v>Sunday</v>
      </c>
      <c r="Q388">
        <f t="shared" si="25"/>
        <v>1076</v>
      </c>
      <c r="R388" t="str">
        <f t="shared" si="26"/>
        <v>Weekend</v>
      </c>
      <c r="S388" t="str">
        <f t="shared" si="27"/>
        <v>Very_Active</v>
      </c>
    </row>
    <row r="389" spans="1:19" x14ac:dyDescent="0.25">
      <c r="A389">
        <v>6962181067</v>
      </c>
      <c r="B389" s="4">
        <v>42477</v>
      </c>
      <c r="C389">
        <v>10145</v>
      </c>
      <c r="D389" s="1">
        <v>6.71000003814697</v>
      </c>
      <c r="E389" s="1">
        <v>6.71000003814697</v>
      </c>
      <c r="F389" s="1">
        <v>0</v>
      </c>
      <c r="G389" s="1">
        <v>0.33000001311302202</v>
      </c>
      <c r="H389" s="1">
        <v>0.68000000715255704</v>
      </c>
      <c r="I389" s="1">
        <v>5.6900000572204599</v>
      </c>
      <c r="J389" s="1">
        <v>0</v>
      </c>
      <c r="K389">
        <v>5</v>
      </c>
      <c r="L389">
        <v>13</v>
      </c>
      <c r="M389">
        <v>295</v>
      </c>
      <c r="N389">
        <v>634</v>
      </c>
      <c r="O389">
        <v>2027</v>
      </c>
      <c r="P389" t="str">
        <f t="shared" si="24"/>
        <v>Sunday</v>
      </c>
      <c r="Q389">
        <f t="shared" si="25"/>
        <v>947</v>
      </c>
      <c r="R389" t="str">
        <f t="shared" si="26"/>
        <v>Weekend</v>
      </c>
      <c r="S389" t="str">
        <f t="shared" si="27"/>
        <v>Very_Active</v>
      </c>
    </row>
    <row r="390" spans="1:19" x14ac:dyDescent="0.25">
      <c r="A390">
        <v>1844505072</v>
      </c>
      <c r="B390" s="4">
        <v>42708</v>
      </c>
      <c r="C390">
        <v>6697</v>
      </c>
      <c r="D390" s="1">
        <v>4.4299998283386204</v>
      </c>
      <c r="E390" s="1">
        <v>4.4299998283386204</v>
      </c>
      <c r="F390" s="1">
        <v>0</v>
      </c>
      <c r="G390" s="1">
        <v>0</v>
      </c>
      <c r="H390" s="1">
        <v>0</v>
      </c>
      <c r="I390" s="1">
        <v>4.4299998283386204</v>
      </c>
      <c r="J390" s="1">
        <v>0</v>
      </c>
      <c r="K390">
        <v>0</v>
      </c>
      <c r="L390">
        <v>0</v>
      </c>
      <c r="M390">
        <v>339</v>
      </c>
      <c r="N390">
        <v>1101</v>
      </c>
      <c r="O390">
        <v>2030</v>
      </c>
      <c r="P390" t="str">
        <f t="shared" si="24"/>
        <v>Sunday</v>
      </c>
      <c r="Q390">
        <f t="shared" si="25"/>
        <v>1440</v>
      </c>
      <c r="R390" t="str">
        <f t="shared" si="26"/>
        <v>Weekend</v>
      </c>
      <c r="S390" t="str">
        <f t="shared" si="27"/>
        <v>Lightly Active</v>
      </c>
    </row>
    <row r="391" spans="1:19" x14ac:dyDescent="0.25">
      <c r="A391">
        <v>5553957443</v>
      </c>
      <c r="B391" s="4">
        <v>42485</v>
      </c>
      <c r="C391">
        <v>10946</v>
      </c>
      <c r="D391" s="1">
        <v>7.1900000572204599</v>
      </c>
      <c r="E391" s="1">
        <v>7.1900000572204599</v>
      </c>
      <c r="F391" s="1">
        <v>0</v>
      </c>
      <c r="G391" s="1">
        <v>2.9300000667571999</v>
      </c>
      <c r="H391" s="1">
        <v>0.56999999284744296</v>
      </c>
      <c r="I391" s="1">
        <v>3.6900000572204599</v>
      </c>
      <c r="J391" s="1">
        <v>0</v>
      </c>
      <c r="K391">
        <v>51</v>
      </c>
      <c r="L391">
        <v>11</v>
      </c>
      <c r="M391">
        <v>201</v>
      </c>
      <c r="N391">
        <v>732</v>
      </c>
      <c r="O391">
        <v>2033</v>
      </c>
      <c r="P391" t="str">
        <f t="shared" si="24"/>
        <v>Monday</v>
      </c>
      <c r="Q391">
        <f t="shared" si="25"/>
        <v>995</v>
      </c>
      <c r="R391" t="str">
        <f t="shared" si="26"/>
        <v>Weekday</v>
      </c>
      <c r="S391" t="str">
        <f t="shared" si="27"/>
        <v>Very_Active</v>
      </c>
    </row>
    <row r="392" spans="1:19" x14ac:dyDescent="0.25">
      <c r="A392">
        <v>6962181067</v>
      </c>
      <c r="B392" s="4">
        <v>42487</v>
      </c>
      <c r="C392">
        <v>10320</v>
      </c>
      <c r="D392" s="1">
        <v>6.8200001716613796</v>
      </c>
      <c r="E392" s="1">
        <v>6.8200001716613796</v>
      </c>
      <c r="F392" s="1">
        <v>0</v>
      </c>
      <c r="G392" s="1">
        <v>0.55000001192092896</v>
      </c>
      <c r="H392" s="1">
        <v>2.0199999809265101</v>
      </c>
      <c r="I392" s="1">
        <v>4.25</v>
      </c>
      <c r="J392" s="1">
        <v>0</v>
      </c>
      <c r="K392">
        <v>7</v>
      </c>
      <c r="L392">
        <v>38</v>
      </c>
      <c r="M392">
        <v>279</v>
      </c>
      <c r="N392">
        <v>697</v>
      </c>
      <c r="O392">
        <v>2034</v>
      </c>
      <c r="P392" t="str">
        <f t="shared" si="24"/>
        <v>Wednesday</v>
      </c>
      <c r="Q392">
        <f t="shared" si="25"/>
        <v>1021</v>
      </c>
      <c r="R392" t="str">
        <f t="shared" si="26"/>
        <v>Weekday</v>
      </c>
      <c r="S392" t="str">
        <f t="shared" si="27"/>
        <v>Very_Active</v>
      </c>
    </row>
    <row r="393" spans="1:19" x14ac:dyDescent="0.25">
      <c r="A393">
        <v>1503960366</v>
      </c>
      <c r="B393" s="4">
        <v>42479</v>
      </c>
      <c r="C393">
        <v>15506</v>
      </c>
      <c r="D393" s="1">
        <v>9.8800001144409197</v>
      </c>
      <c r="E393" s="1">
        <v>9.8800001144409197</v>
      </c>
      <c r="F393" s="1">
        <v>0</v>
      </c>
      <c r="G393" s="1">
        <v>3.5299999713897701</v>
      </c>
      <c r="H393" s="1">
        <v>1.3200000524520901</v>
      </c>
      <c r="I393" s="1">
        <v>5.0300002098083496</v>
      </c>
      <c r="J393" s="1">
        <v>0</v>
      </c>
      <c r="K393">
        <v>50</v>
      </c>
      <c r="L393">
        <v>31</v>
      </c>
      <c r="M393">
        <v>264</v>
      </c>
      <c r="N393">
        <v>775</v>
      </c>
      <c r="O393">
        <v>2035</v>
      </c>
      <c r="P393" t="str">
        <f t="shared" si="24"/>
        <v>Tuesday</v>
      </c>
      <c r="Q393">
        <f t="shared" si="25"/>
        <v>1120</v>
      </c>
      <c r="R393" t="str">
        <f t="shared" si="26"/>
        <v>Weekday</v>
      </c>
      <c r="S393" t="str">
        <f t="shared" si="27"/>
        <v>Very_Active</v>
      </c>
    </row>
    <row r="394" spans="1:19" x14ac:dyDescent="0.25">
      <c r="A394">
        <v>2347167796</v>
      </c>
      <c r="B394" s="4">
        <v>42473</v>
      </c>
      <c r="C394">
        <v>10352</v>
      </c>
      <c r="D394" s="1">
        <v>7.0100002288818404</v>
      </c>
      <c r="E394" s="1">
        <v>7.0100002288818404</v>
      </c>
      <c r="F394" s="1">
        <v>0</v>
      </c>
      <c r="G394" s="1">
        <v>1.6599999666214</v>
      </c>
      <c r="H394" s="1">
        <v>1.9400000572204601</v>
      </c>
      <c r="I394" s="1">
        <v>3.4100000858306898</v>
      </c>
      <c r="J394" s="1">
        <v>0</v>
      </c>
      <c r="K394">
        <v>19</v>
      </c>
      <c r="L394">
        <v>32</v>
      </c>
      <c r="M394">
        <v>195</v>
      </c>
      <c r="N394">
        <v>676</v>
      </c>
      <c r="O394">
        <v>2038</v>
      </c>
      <c r="P394" t="str">
        <f t="shared" si="24"/>
        <v>Wednesday</v>
      </c>
      <c r="Q394">
        <f t="shared" si="25"/>
        <v>922</v>
      </c>
      <c r="R394" t="str">
        <f t="shared" si="26"/>
        <v>Weekday</v>
      </c>
      <c r="S394" t="str">
        <f t="shared" si="27"/>
        <v>Very_Active</v>
      </c>
    </row>
    <row r="395" spans="1:19" x14ac:dyDescent="0.25">
      <c r="A395">
        <v>6962181067</v>
      </c>
      <c r="B395" s="4">
        <v>42478</v>
      </c>
      <c r="C395">
        <v>11404</v>
      </c>
      <c r="D395" s="1">
        <v>7.53999996185303</v>
      </c>
      <c r="E395" s="1">
        <v>7.53999996185303</v>
      </c>
      <c r="F395" s="1">
        <v>0</v>
      </c>
      <c r="G395" s="1">
        <v>0.82999998331069902</v>
      </c>
      <c r="H395" s="1">
        <v>2.3900001049041699</v>
      </c>
      <c r="I395" s="1">
        <v>4.3200001716613796</v>
      </c>
      <c r="J395" s="1">
        <v>0</v>
      </c>
      <c r="K395">
        <v>13</v>
      </c>
      <c r="L395">
        <v>42</v>
      </c>
      <c r="M395">
        <v>238</v>
      </c>
      <c r="N395">
        <v>689</v>
      </c>
      <c r="O395">
        <v>2039</v>
      </c>
      <c r="P395" t="str">
        <f t="shared" si="24"/>
        <v>Monday</v>
      </c>
      <c r="Q395">
        <f t="shared" si="25"/>
        <v>982</v>
      </c>
      <c r="R395" t="str">
        <f t="shared" si="26"/>
        <v>Weekday</v>
      </c>
      <c r="S395" t="str">
        <f t="shared" si="27"/>
        <v>Very_Active</v>
      </c>
    </row>
    <row r="396" spans="1:19" x14ac:dyDescent="0.25">
      <c r="A396">
        <v>8792009665</v>
      </c>
      <c r="B396" s="4">
        <v>42708</v>
      </c>
      <c r="C396">
        <v>2564</v>
      </c>
      <c r="D396" s="1">
        <v>1.6399999856948899</v>
      </c>
      <c r="E396" s="1">
        <v>1.6399999856948899</v>
      </c>
      <c r="F396" s="1">
        <v>0</v>
      </c>
      <c r="G396" s="1">
        <v>0</v>
      </c>
      <c r="H396" s="1">
        <v>0</v>
      </c>
      <c r="I396" s="1">
        <v>1.6399999856948899</v>
      </c>
      <c r="J396" s="1">
        <v>0</v>
      </c>
      <c r="K396">
        <v>0</v>
      </c>
      <c r="L396">
        <v>0</v>
      </c>
      <c r="M396">
        <v>116</v>
      </c>
      <c r="N396">
        <v>831</v>
      </c>
      <c r="O396">
        <v>2044</v>
      </c>
      <c r="P396" t="str">
        <f t="shared" si="24"/>
        <v>Sunday</v>
      </c>
      <c r="Q396">
        <f t="shared" si="25"/>
        <v>947</v>
      </c>
      <c r="R396" t="str">
        <f t="shared" si="26"/>
        <v>Weekend</v>
      </c>
      <c r="S396" t="str">
        <f t="shared" si="27"/>
        <v>Sedentary</v>
      </c>
    </row>
    <row r="397" spans="1:19" x14ac:dyDescent="0.25">
      <c r="A397">
        <v>6117666160</v>
      </c>
      <c r="B397" s="4">
        <v>42405</v>
      </c>
      <c r="C397">
        <v>4933</v>
      </c>
      <c r="D397" s="1">
        <v>3.7300000190734899</v>
      </c>
      <c r="E397" s="1">
        <v>3.7300000190734899</v>
      </c>
      <c r="F397" s="1">
        <v>0</v>
      </c>
      <c r="G397" s="1">
        <v>0</v>
      </c>
      <c r="H397" s="1">
        <v>0</v>
      </c>
      <c r="I397" s="1">
        <v>3.7300000190734899</v>
      </c>
      <c r="J397" s="1">
        <v>0</v>
      </c>
      <c r="K397">
        <v>0</v>
      </c>
      <c r="L397">
        <v>0</v>
      </c>
      <c r="M397">
        <v>236</v>
      </c>
      <c r="N397">
        <v>1204</v>
      </c>
      <c r="O397">
        <v>2044</v>
      </c>
      <c r="P397" t="str">
        <f t="shared" si="24"/>
        <v>Friday</v>
      </c>
      <c r="Q397">
        <f t="shared" si="25"/>
        <v>1440</v>
      </c>
      <c r="R397" t="str">
        <f t="shared" si="26"/>
        <v>Weekday</v>
      </c>
      <c r="S397" t="str">
        <f t="shared" si="27"/>
        <v>Sedentary</v>
      </c>
    </row>
    <row r="398" spans="1:19" x14ac:dyDescent="0.25">
      <c r="A398">
        <v>8253242879</v>
      </c>
      <c r="B398" s="4">
        <v>42708</v>
      </c>
      <c r="C398">
        <v>9033</v>
      </c>
      <c r="D398" s="1">
        <v>7.1599998474121103</v>
      </c>
      <c r="E398" s="1">
        <v>7.1599998474121103</v>
      </c>
      <c r="F398" s="1">
        <v>0</v>
      </c>
      <c r="G398" s="1">
        <v>5.4299998283386204</v>
      </c>
      <c r="H398" s="1">
        <v>0.140000000596046</v>
      </c>
      <c r="I398" s="1">
        <v>1.5900000333786</v>
      </c>
      <c r="J398" s="1">
        <v>0</v>
      </c>
      <c r="K398">
        <v>40</v>
      </c>
      <c r="L398">
        <v>2</v>
      </c>
      <c r="M398">
        <v>154</v>
      </c>
      <c r="N398">
        <v>1244</v>
      </c>
      <c r="O398">
        <v>2044</v>
      </c>
      <c r="P398" t="str">
        <f t="shared" si="24"/>
        <v>Sunday</v>
      </c>
      <c r="Q398">
        <f t="shared" si="25"/>
        <v>1440</v>
      </c>
      <c r="R398" t="str">
        <f t="shared" si="26"/>
        <v>Weekend</v>
      </c>
      <c r="S398" t="str">
        <f t="shared" si="27"/>
        <v>Fairly Active</v>
      </c>
    </row>
    <row r="399" spans="1:19" x14ac:dyDescent="0.25">
      <c r="A399">
        <v>3372868164</v>
      </c>
      <c r="B399" s="4">
        <v>42489</v>
      </c>
      <c r="C399">
        <v>9135</v>
      </c>
      <c r="D399" s="1">
        <v>6.2300000190734899</v>
      </c>
      <c r="E399" s="1">
        <v>6.2300000190734899</v>
      </c>
      <c r="F399" s="1">
        <v>0</v>
      </c>
      <c r="G399" s="1">
        <v>0</v>
      </c>
      <c r="H399" s="1">
        <v>0</v>
      </c>
      <c r="I399" s="1">
        <v>6.2199997901916504</v>
      </c>
      <c r="J399" s="1">
        <v>9.9999997764825804E-3</v>
      </c>
      <c r="K399">
        <v>0</v>
      </c>
      <c r="L399">
        <v>0</v>
      </c>
      <c r="M399">
        <v>402</v>
      </c>
      <c r="N399">
        <v>1038</v>
      </c>
      <c r="O399">
        <v>2044</v>
      </c>
      <c r="P399" t="str">
        <f t="shared" si="24"/>
        <v>Friday</v>
      </c>
      <c r="Q399">
        <f t="shared" si="25"/>
        <v>1440</v>
      </c>
      <c r="R399" t="str">
        <f t="shared" si="26"/>
        <v>Weekday</v>
      </c>
      <c r="S399" t="str">
        <f t="shared" si="27"/>
        <v>Fairly Active</v>
      </c>
    </row>
    <row r="400" spans="1:19" x14ac:dyDescent="0.25">
      <c r="A400">
        <v>6962181067</v>
      </c>
      <c r="B400" s="4">
        <v>42479</v>
      </c>
      <c r="C400">
        <v>10742</v>
      </c>
      <c r="D400" s="1">
        <v>7.0999999046325701</v>
      </c>
      <c r="E400" s="1">
        <v>7.0999999046325701</v>
      </c>
      <c r="F400" s="1">
        <v>0</v>
      </c>
      <c r="G400" s="1">
        <v>2.0999999046325701</v>
      </c>
      <c r="H400" s="1">
        <v>2.1300001144409202</v>
      </c>
      <c r="I400" s="1">
        <v>2.8699998855590798</v>
      </c>
      <c r="J400" s="1">
        <v>0</v>
      </c>
      <c r="K400">
        <v>35</v>
      </c>
      <c r="L400">
        <v>41</v>
      </c>
      <c r="M400">
        <v>195</v>
      </c>
      <c r="N400">
        <v>659</v>
      </c>
      <c r="O400">
        <v>2046</v>
      </c>
      <c r="P400" t="str">
        <f t="shared" si="24"/>
        <v>Tuesday</v>
      </c>
      <c r="Q400">
        <f t="shared" si="25"/>
        <v>930</v>
      </c>
      <c r="R400" t="str">
        <f t="shared" si="26"/>
        <v>Weekday</v>
      </c>
      <c r="S400" t="str">
        <f t="shared" si="27"/>
        <v>Very_Active</v>
      </c>
    </row>
    <row r="401" spans="1:19" x14ac:dyDescent="0.25">
      <c r="A401">
        <v>2347167796</v>
      </c>
      <c r="B401" s="4">
        <v>42481</v>
      </c>
      <c r="C401">
        <v>10080</v>
      </c>
      <c r="D401" s="1">
        <v>6.75</v>
      </c>
      <c r="E401" s="1">
        <v>6.75</v>
      </c>
      <c r="F401" s="1">
        <v>0</v>
      </c>
      <c r="G401" s="1">
        <v>1.8500000238418599</v>
      </c>
      <c r="H401" s="1">
        <v>1.5299999713897701</v>
      </c>
      <c r="I401" s="1">
        <v>3.3800001144409202</v>
      </c>
      <c r="J401" s="1">
        <v>0</v>
      </c>
      <c r="K401">
        <v>23</v>
      </c>
      <c r="L401">
        <v>26</v>
      </c>
      <c r="M401">
        <v>208</v>
      </c>
      <c r="N401">
        <v>761</v>
      </c>
      <c r="O401">
        <v>2048</v>
      </c>
      <c r="P401" t="str">
        <f t="shared" si="24"/>
        <v>Thursday</v>
      </c>
      <c r="Q401">
        <f t="shared" si="25"/>
        <v>1018</v>
      </c>
      <c r="R401" t="str">
        <f t="shared" si="26"/>
        <v>Weekday</v>
      </c>
      <c r="S401" t="str">
        <f t="shared" si="27"/>
        <v>Very_Active</v>
      </c>
    </row>
    <row r="402" spans="1:19" x14ac:dyDescent="0.25">
      <c r="A402">
        <v>7086361926</v>
      </c>
      <c r="B402" s="4">
        <v>42484</v>
      </c>
      <c r="C402">
        <v>3520</v>
      </c>
      <c r="D402" s="1">
        <v>2.1600000858306898</v>
      </c>
      <c r="E402" s="1">
        <v>2.1600000858306898</v>
      </c>
      <c r="F402" s="1">
        <v>0</v>
      </c>
      <c r="G402" s="1">
        <v>0</v>
      </c>
      <c r="H402" s="1">
        <v>0</v>
      </c>
      <c r="I402" s="1">
        <v>2.1500000953674299</v>
      </c>
      <c r="J402" s="1">
        <v>0</v>
      </c>
      <c r="K402">
        <v>0</v>
      </c>
      <c r="L402">
        <v>0</v>
      </c>
      <c r="M402">
        <v>125</v>
      </c>
      <c r="N402">
        <v>566</v>
      </c>
      <c r="O402">
        <v>2049</v>
      </c>
      <c r="P402" t="str">
        <f t="shared" si="24"/>
        <v>Sunday</v>
      </c>
      <c r="Q402">
        <f t="shared" si="25"/>
        <v>691</v>
      </c>
      <c r="R402" t="str">
        <f t="shared" si="26"/>
        <v>Weekend</v>
      </c>
      <c r="S402" t="str">
        <f t="shared" si="27"/>
        <v>Sedentary</v>
      </c>
    </row>
    <row r="403" spans="1:19" x14ac:dyDescent="0.25">
      <c r="A403">
        <v>7007744171</v>
      </c>
      <c r="B403" s="4">
        <v>42490</v>
      </c>
      <c r="C403">
        <v>3761</v>
      </c>
      <c r="D403" s="1">
        <v>2.5199999809265101</v>
      </c>
      <c r="E403" s="1">
        <v>2.5199999809265101</v>
      </c>
      <c r="F403" s="1">
        <v>0</v>
      </c>
      <c r="G403" s="1">
        <v>0</v>
      </c>
      <c r="H403" s="1">
        <v>0</v>
      </c>
      <c r="I403" s="1">
        <v>2.5199999809265101</v>
      </c>
      <c r="J403" s="1">
        <v>0</v>
      </c>
      <c r="K403">
        <v>0</v>
      </c>
      <c r="L403">
        <v>0</v>
      </c>
      <c r="M403">
        <v>200</v>
      </c>
      <c r="N403">
        <v>1240</v>
      </c>
      <c r="O403">
        <v>2051</v>
      </c>
      <c r="P403" t="str">
        <f t="shared" si="24"/>
        <v>Saturday</v>
      </c>
      <c r="Q403">
        <f t="shared" si="25"/>
        <v>1440</v>
      </c>
      <c r="R403" t="str">
        <f t="shared" si="26"/>
        <v>Weekend</v>
      </c>
      <c r="S403" t="str">
        <f t="shared" si="27"/>
        <v>Sedentary</v>
      </c>
    </row>
    <row r="404" spans="1:19" x14ac:dyDescent="0.25">
      <c r="A404">
        <v>6775888955</v>
      </c>
      <c r="B404" s="4">
        <v>42484</v>
      </c>
      <c r="C404">
        <v>2153</v>
      </c>
      <c r="D404" s="1">
        <v>1.53999996185303</v>
      </c>
      <c r="E404" s="1">
        <v>1.53999996185303</v>
      </c>
      <c r="F404" s="1">
        <v>0</v>
      </c>
      <c r="G404" s="1">
        <v>0.769999980926514</v>
      </c>
      <c r="H404" s="1">
        <v>0.62000000476837203</v>
      </c>
      <c r="I404" s="1">
        <v>0.15000000596046401</v>
      </c>
      <c r="J404" s="1">
        <v>0</v>
      </c>
      <c r="K404">
        <v>11</v>
      </c>
      <c r="L404">
        <v>18</v>
      </c>
      <c r="M404">
        <v>11</v>
      </c>
      <c r="N404">
        <v>1400</v>
      </c>
      <c r="O404">
        <v>2053</v>
      </c>
      <c r="P404" t="str">
        <f t="shared" si="24"/>
        <v>Sunday</v>
      </c>
      <c r="Q404">
        <f t="shared" si="25"/>
        <v>1440</v>
      </c>
      <c r="R404" t="str">
        <f t="shared" si="26"/>
        <v>Weekend</v>
      </c>
      <c r="S404" t="str">
        <f t="shared" si="27"/>
        <v>Sedentary</v>
      </c>
    </row>
    <row r="405" spans="1:19" x14ac:dyDescent="0.25">
      <c r="A405">
        <v>3372868164</v>
      </c>
      <c r="B405" s="4">
        <v>42486</v>
      </c>
      <c r="C405">
        <v>8283</v>
      </c>
      <c r="D405" s="1">
        <v>5.78999996185303</v>
      </c>
      <c r="E405" s="1">
        <v>5.78999996185303</v>
      </c>
      <c r="F405" s="1">
        <v>0</v>
      </c>
      <c r="G405" s="1">
        <v>1.8500000238418599</v>
      </c>
      <c r="H405" s="1">
        <v>5.0000000745058101E-2</v>
      </c>
      <c r="I405" s="1">
        <v>3.8699998855590798</v>
      </c>
      <c r="J405" s="1">
        <v>9.9999997764825804E-3</v>
      </c>
      <c r="K405">
        <v>22</v>
      </c>
      <c r="L405">
        <v>2</v>
      </c>
      <c r="M405">
        <v>333</v>
      </c>
      <c r="N405">
        <v>1083</v>
      </c>
      <c r="O405">
        <v>2057</v>
      </c>
      <c r="P405" t="str">
        <f t="shared" si="24"/>
        <v>Tuesday</v>
      </c>
      <c r="Q405">
        <f t="shared" si="25"/>
        <v>1440</v>
      </c>
      <c r="R405" t="str">
        <f t="shared" si="26"/>
        <v>Weekday</v>
      </c>
      <c r="S405" t="str">
        <f t="shared" si="27"/>
        <v>Fairly Active</v>
      </c>
    </row>
    <row r="406" spans="1:19" x14ac:dyDescent="0.25">
      <c r="A406">
        <v>6290855005</v>
      </c>
      <c r="B406" s="4">
        <v>42481</v>
      </c>
      <c r="C406">
        <v>0</v>
      </c>
      <c r="D406" s="1">
        <v>0</v>
      </c>
      <c r="E406" s="1">
        <v>0</v>
      </c>
      <c r="F406" s="1">
        <v>0</v>
      </c>
      <c r="G406" s="1">
        <v>0</v>
      </c>
      <c r="H406" s="1">
        <v>0</v>
      </c>
      <c r="I406" s="1">
        <v>0</v>
      </c>
      <c r="J406" s="1">
        <v>0</v>
      </c>
      <c r="K406">
        <v>0</v>
      </c>
      <c r="L406">
        <v>0</v>
      </c>
      <c r="M406">
        <v>0</v>
      </c>
      <c r="N406">
        <v>1440</v>
      </c>
      <c r="O406">
        <v>2060</v>
      </c>
      <c r="P406" t="str">
        <f t="shared" si="24"/>
        <v>Thursday</v>
      </c>
      <c r="Q406">
        <f t="shared" si="25"/>
        <v>1440</v>
      </c>
      <c r="R406" t="str">
        <f t="shared" si="26"/>
        <v>Weekday</v>
      </c>
      <c r="S406" t="str">
        <f t="shared" si="27"/>
        <v>Sedentary</v>
      </c>
    </row>
    <row r="407" spans="1:19" x14ac:dyDescent="0.25">
      <c r="A407">
        <v>6290855005</v>
      </c>
      <c r="B407" s="4">
        <v>42486</v>
      </c>
      <c r="C407">
        <v>0</v>
      </c>
      <c r="D407" s="1">
        <v>0</v>
      </c>
      <c r="E407" s="1">
        <v>0</v>
      </c>
      <c r="F407" s="1">
        <v>0</v>
      </c>
      <c r="G407" s="1">
        <v>0</v>
      </c>
      <c r="H407" s="1">
        <v>0</v>
      </c>
      <c r="I407" s="1">
        <v>0</v>
      </c>
      <c r="J407" s="1">
        <v>0</v>
      </c>
      <c r="K407">
        <v>0</v>
      </c>
      <c r="L407">
        <v>0</v>
      </c>
      <c r="M407">
        <v>0</v>
      </c>
      <c r="N407">
        <v>1440</v>
      </c>
      <c r="O407">
        <v>2060</v>
      </c>
      <c r="P407" t="str">
        <f t="shared" si="24"/>
        <v>Tuesday</v>
      </c>
      <c r="Q407">
        <f t="shared" si="25"/>
        <v>1440</v>
      </c>
      <c r="R407" t="str">
        <f t="shared" si="26"/>
        <v>Weekday</v>
      </c>
      <c r="S407" t="str">
        <f t="shared" si="27"/>
        <v>Sedentary</v>
      </c>
    </row>
    <row r="408" spans="1:19" x14ac:dyDescent="0.25">
      <c r="A408">
        <v>6290855005</v>
      </c>
      <c r="B408" s="4">
        <v>42489</v>
      </c>
      <c r="C408">
        <v>0</v>
      </c>
      <c r="D408" s="1">
        <v>0</v>
      </c>
      <c r="E408" s="1">
        <v>0</v>
      </c>
      <c r="F408" s="1">
        <v>0</v>
      </c>
      <c r="G408" s="1">
        <v>0</v>
      </c>
      <c r="H408" s="1">
        <v>0</v>
      </c>
      <c r="I408" s="1">
        <v>0</v>
      </c>
      <c r="J408" s="1">
        <v>0</v>
      </c>
      <c r="K408">
        <v>0</v>
      </c>
      <c r="L408">
        <v>0</v>
      </c>
      <c r="M408">
        <v>0</v>
      </c>
      <c r="N408">
        <v>1440</v>
      </c>
      <c r="O408">
        <v>2060</v>
      </c>
      <c r="P408" t="str">
        <f t="shared" si="24"/>
        <v>Friday</v>
      </c>
      <c r="Q408">
        <f t="shared" si="25"/>
        <v>1440</v>
      </c>
      <c r="R408" t="str">
        <f t="shared" si="26"/>
        <v>Weekday</v>
      </c>
      <c r="S408" t="str">
        <f t="shared" si="27"/>
        <v>Sedentary</v>
      </c>
    </row>
    <row r="409" spans="1:19" x14ac:dyDescent="0.25">
      <c r="A409">
        <v>1844505072</v>
      </c>
      <c r="B409" s="4">
        <v>42481</v>
      </c>
      <c r="C409">
        <v>8054</v>
      </c>
      <c r="D409" s="1">
        <v>5.3200001716613796</v>
      </c>
      <c r="E409" s="1">
        <v>5.3200001716613796</v>
      </c>
      <c r="F409" s="1">
        <v>0</v>
      </c>
      <c r="G409" s="1">
        <v>0.119999997317791</v>
      </c>
      <c r="H409" s="1">
        <v>0.519999980926514</v>
      </c>
      <c r="I409" s="1">
        <v>4.6799998283386204</v>
      </c>
      <c r="J409" s="1">
        <v>0</v>
      </c>
      <c r="K409">
        <v>2</v>
      </c>
      <c r="L409">
        <v>13</v>
      </c>
      <c r="M409">
        <v>308</v>
      </c>
      <c r="N409">
        <v>1117</v>
      </c>
      <c r="O409">
        <v>2062</v>
      </c>
      <c r="P409" t="str">
        <f t="shared" si="24"/>
        <v>Thursday</v>
      </c>
      <c r="Q409">
        <f t="shared" si="25"/>
        <v>1440</v>
      </c>
      <c r="R409" t="str">
        <f t="shared" si="26"/>
        <v>Weekday</v>
      </c>
      <c r="S409" t="str">
        <f t="shared" si="27"/>
        <v>Fairly Active</v>
      </c>
    </row>
    <row r="410" spans="1:19" x14ac:dyDescent="0.25">
      <c r="A410">
        <v>1927972279</v>
      </c>
      <c r="B410" s="4">
        <v>42477</v>
      </c>
      <c r="C410">
        <v>0</v>
      </c>
      <c r="D410" s="1">
        <v>0</v>
      </c>
      <c r="E410" s="1">
        <v>0</v>
      </c>
      <c r="F410" s="1">
        <v>0</v>
      </c>
      <c r="G410" s="1">
        <v>0</v>
      </c>
      <c r="H410" s="1">
        <v>0</v>
      </c>
      <c r="I410" s="1">
        <v>0</v>
      </c>
      <c r="J410" s="1">
        <v>0</v>
      </c>
      <c r="K410">
        <v>0</v>
      </c>
      <c r="L410">
        <v>0</v>
      </c>
      <c r="M410">
        <v>0</v>
      </c>
      <c r="N410">
        <v>1440</v>
      </c>
      <c r="O410">
        <v>2063</v>
      </c>
      <c r="P410" t="str">
        <f t="shared" si="24"/>
        <v>Sunday</v>
      </c>
      <c r="Q410">
        <f t="shared" si="25"/>
        <v>1440</v>
      </c>
      <c r="R410" t="str">
        <f t="shared" si="26"/>
        <v>Weekend</v>
      </c>
      <c r="S410" t="str">
        <f t="shared" si="27"/>
        <v>Sedentary</v>
      </c>
    </row>
    <row r="411" spans="1:19" x14ac:dyDescent="0.25">
      <c r="A411">
        <v>1927972279</v>
      </c>
      <c r="B411" s="4">
        <v>42479</v>
      </c>
      <c r="C411">
        <v>0</v>
      </c>
      <c r="D411" s="1">
        <v>0</v>
      </c>
      <c r="E411" s="1">
        <v>0</v>
      </c>
      <c r="F411" s="1">
        <v>0</v>
      </c>
      <c r="G411" s="1">
        <v>0</v>
      </c>
      <c r="H411" s="1">
        <v>0</v>
      </c>
      <c r="I411" s="1">
        <v>0</v>
      </c>
      <c r="J411" s="1">
        <v>0</v>
      </c>
      <c r="K411">
        <v>0</v>
      </c>
      <c r="L411">
        <v>0</v>
      </c>
      <c r="M411">
        <v>0</v>
      </c>
      <c r="N411">
        <v>1440</v>
      </c>
      <c r="O411">
        <v>2063</v>
      </c>
      <c r="P411" t="str">
        <f t="shared" si="24"/>
        <v>Tuesday</v>
      </c>
      <c r="Q411">
        <f t="shared" si="25"/>
        <v>1440</v>
      </c>
      <c r="R411" t="str">
        <f t="shared" si="26"/>
        <v>Weekday</v>
      </c>
      <c r="S411" t="str">
        <f t="shared" si="27"/>
        <v>Sedentary</v>
      </c>
    </row>
    <row r="412" spans="1:19" x14ac:dyDescent="0.25">
      <c r="A412">
        <v>1927972279</v>
      </c>
      <c r="B412" s="4">
        <v>42480</v>
      </c>
      <c r="C412">
        <v>0</v>
      </c>
      <c r="D412" s="1">
        <v>0</v>
      </c>
      <c r="E412" s="1">
        <v>0</v>
      </c>
      <c r="F412" s="1">
        <v>0</v>
      </c>
      <c r="G412" s="1">
        <v>0</v>
      </c>
      <c r="H412" s="1">
        <v>0</v>
      </c>
      <c r="I412" s="1">
        <v>0</v>
      </c>
      <c r="J412" s="1">
        <v>0</v>
      </c>
      <c r="K412">
        <v>0</v>
      </c>
      <c r="L412">
        <v>0</v>
      </c>
      <c r="M412">
        <v>0</v>
      </c>
      <c r="N412">
        <v>1440</v>
      </c>
      <c r="O412">
        <v>2063</v>
      </c>
      <c r="P412" t="str">
        <f t="shared" si="24"/>
        <v>Wednesday</v>
      </c>
      <c r="Q412">
        <f t="shared" si="25"/>
        <v>1440</v>
      </c>
      <c r="R412" t="str">
        <f t="shared" si="26"/>
        <v>Weekday</v>
      </c>
      <c r="S412" t="str">
        <f t="shared" si="27"/>
        <v>Sedentary</v>
      </c>
    </row>
    <row r="413" spans="1:19" x14ac:dyDescent="0.25">
      <c r="A413">
        <v>1927972279</v>
      </c>
      <c r="B413" s="4">
        <v>42487</v>
      </c>
      <c r="C413">
        <v>0</v>
      </c>
      <c r="D413" s="1">
        <v>0</v>
      </c>
      <c r="E413" s="1">
        <v>0</v>
      </c>
      <c r="F413" s="1">
        <v>0</v>
      </c>
      <c r="G413" s="1">
        <v>0</v>
      </c>
      <c r="H413" s="1">
        <v>0</v>
      </c>
      <c r="I413" s="1">
        <v>0</v>
      </c>
      <c r="J413" s="1">
        <v>0</v>
      </c>
      <c r="K413">
        <v>0</v>
      </c>
      <c r="L413">
        <v>0</v>
      </c>
      <c r="M413">
        <v>0</v>
      </c>
      <c r="N413">
        <v>1440</v>
      </c>
      <c r="O413">
        <v>2063</v>
      </c>
      <c r="P413" t="str">
        <f t="shared" si="24"/>
        <v>Wednesday</v>
      </c>
      <c r="Q413">
        <f t="shared" si="25"/>
        <v>1440</v>
      </c>
      <c r="R413" t="str">
        <f t="shared" si="26"/>
        <v>Weekday</v>
      </c>
      <c r="S413" t="str">
        <f t="shared" si="27"/>
        <v>Sedentary</v>
      </c>
    </row>
    <row r="414" spans="1:19" x14ac:dyDescent="0.25">
      <c r="A414">
        <v>1927972279</v>
      </c>
      <c r="B414" s="4">
        <v>42489</v>
      </c>
      <c r="C414">
        <v>0</v>
      </c>
      <c r="D414" s="1">
        <v>0</v>
      </c>
      <c r="E414" s="1">
        <v>0</v>
      </c>
      <c r="F414" s="1">
        <v>0</v>
      </c>
      <c r="G414" s="1">
        <v>0</v>
      </c>
      <c r="H414" s="1">
        <v>0</v>
      </c>
      <c r="I414" s="1">
        <v>0</v>
      </c>
      <c r="J414" s="1">
        <v>0</v>
      </c>
      <c r="K414">
        <v>0</v>
      </c>
      <c r="L414">
        <v>0</v>
      </c>
      <c r="M414">
        <v>0</v>
      </c>
      <c r="N414">
        <v>1440</v>
      </c>
      <c r="O414">
        <v>2063</v>
      </c>
      <c r="P414" t="str">
        <f t="shared" si="24"/>
        <v>Friday</v>
      </c>
      <c r="Q414">
        <f t="shared" si="25"/>
        <v>1440</v>
      </c>
      <c r="R414" t="str">
        <f t="shared" si="26"/>
        <v>Weekday</v>
      </c>
      <c r="S414" t="str">
        <f t="shared" si="27"/>
        <v>Sedentary</v>
      </c>
    </row>
    <row r="415" spans="1:19" x14ac:dyDescent="0.25">
      <c r="A415">
        <v>1927972279</v>
      </c>
      <c r="B415" s="4">
        <v>42495</v>
      </c>
      <c r="C415">
        <v>0</v>
      </c>
      <c r="D415" s="1">
        <v>0</v>
      </c>
      <c r="E415" s="1">
        <v>0</v>
      </c>
      <c r="F415" s="1">
        <v>0</v>
      </c>
      <c r="G415" s="1">
        <v>0</v>
      </c>
      <c r="H415" s="1">
        <v>0</v>
      </c>
      <c r="I415" s="1">
        <v>0</v>
      </c>
      <c r="J415" s="1">
        <v>0</v>
      </c>
      <c r="K415">
        <v>0</v>
      </c>
      <c r="L415">
        <v>0</v>
      </c>
      <c r="M415">
        <v>0</v>
      </c>
      <c r="N415">
        <v>1440</v>
      </c>
      <c r="O415">
        <v>2063</v>
      </c>
      <c r="P415" t="str">
        <f t="shared" si="24"/>
        <v>Thursday</v>
      </c>
      <c r="Q415">
        <f t="shared" si="25"/>
        <v>1440</v>
      </c>
      <c r="R415" t="str">
        <f t="shared" si="26"/>
        <v>Weekday</v>
      </c>
      <c r="S415" t="str">
        <f t="shared" si="27"/>
        <v>Sedentary</v>
      </c>
    </row>
    <row r="416" spans="1:19" x14ac:dyDescent="0.25">
      <c r="A416">
        <v>1927972279</v>
      </c>
      <c r="B416" s="4">
        <v>42587</v>
      </c>
      <c r="C416">
        <v>0</v>
      </c>
      <c r="D416" s="1">
        <v>0</v>
      </c>
      <c r="E416" s="1">
        <v>0</v>
      </c>
      <c r="F416" s="1">
        <v>0</v>
      </c>
      <c r="G416" s="1">
        <v>0</v>
      </c>
      <c r="H416" s="1">
        <v>0</v>
      </c>
      <c r="I416" s="1">
        <v>0</v>
      </c>
      <c r="J416" s="1">
        <v>0</v>
      </c>
      <c r="K416">
        <v>0</v>
      </c>
      <c r="L416">
        <v>0</v>
      </c>
      <c r="M416">
        <v>0</v>
      </c>
      <c r="N416">
        <v>1440</v>
      </c>
      <c r="O416">
        <v>2063</v>
      </c>
      <c r="P416" t="str">
        <f t="shared" si="24"/>
        <v>Friday</v>
      </c>
      <c r="Q416">
        <f t="shared" si="25"/>
        <v>1440</v>
      </c>
      <c r="R416" t="str">
        <f t="shared" si="26"/>
        <v>Weekday</v>
      </c>
      <c r="S416" t="str">
        <f t="shared" si="27"/>
        <v>Sedentary</v>
      </c>
    </row>
    <row r="417" spans="1:19" x14ac:dyDescent="0.25">
      <c r="A417">
        <v>1927972279</v>
      </c>
      <c r="B417" s="4">
        <v>42618</v>
      </c>
      <c r="C417">
        <v>0</v>
      </c>
      <c r="D417" s="1">
        <v>0</v>
      </c>
      <c r="E417" s="1">
        <v>0</v>
      </c>
      <c r="F417" s="1">
        <v>0</v>
      </c>
      <c r="G417" s="1">
        <v>0</v>
      </c>
      <c r="H417" s="1">
        <v>0</v>
      </c>
      <c r="I417" s="1">
        <v>0</v>
      </c>
      <c r="J417" s="1">
        <v>0</v>
      </c>
      <c r="K417">
        <v>0</v>
      </c>
      <c r="L417">
        <v>0</v>
      </c>
      <c r="M417">
        <v>0</v>
      </c>
      <c r="N417">
        <v>1440</v>
      </c>
      <c r="O417">
        <v>2063</v>
      </c>
      <c r="P417" t="str">
        <f t="shared" si="24"/>
        <v>Monday</v>
      </c>
      <c r="Q417">
        <f t="shared" si="25"/>
        <v>1440</v>
      </c>
      <c r="R417" t="str">
        <f t="shared" si="26"/>
        <v>Weekday</v>
      </c>
      <c r="S417" t="str">
        <f t="shared" si="27"/>
        <v>Sedentary</v>
      </c>
    </row>
    <row r="418" spans="1:19" x14ac:dyDescent="0.25">
      <c r="A418">
        <v>1927972279</v>
      </c>
      <c r="B418" s="4">
        <v>42648</v>
      </c>
      <c r="C418">
        <v>0</v>
      </c>
      <c r="D418" s="1">
        <v>0</v>
      </c>
      <c r="E418" s="1">
        <v>0</v>
      </c>
      <c r="F418" s="1">
        <v>0</v>
      </c>
      <c r="G418" s="1">
        <v>0</v>
      </c>
      <c r="H418" s="1">
        <v>0</v>
      </c>
      <c r="I418" s="1">
        <v>0</v>
      </c>
      <c r="J418" s="1">
        <v>0</v>
      </c>
      <c r="K418">
        <v>0</v>
      </c>
      <c r="L418">
        <v>0</v>
      </c>
      <c r="M418">
        <v>0</v>
      </c>
      <c r="N418">
        <v>1440</v>
      </c>
      <c r="O418">
        <v>2063</v>
      </c>
      <c r="P418" t="str">
        <f t="shared" si="24"/>
        <v>Wednesday</v>
      </c>
      <c r="Q418">
        <f t="shared" si="25"/>
        <v>1440</v>
      </c>
      <c r="R418" t="str">
        <f t="shared" si="26"/>
        <v>Weekday</v>
      </c>
      <c r="S418" t="str">
        <f t="shared" si="27"/>
        <v>Sedentary</v>
      </c>
    </row>
    <row r="419" spans="1:19" x14ac:dyDescent="0.25">
      <c r="A419">
        <v>1927972279</v>
      </c>
      <c r="B419" s="4">
        <v>42679</v>
      </c>
      <c r="C419">
        <v>0</v>
      </c>
      <c r="D419" s="1">
        <v>0</v>
      </c>
      <c r="E419" s="1">
        <v>0</v>
      </c>
      <c r="F419" s="1">
        <v>0</v>
      </c>
      <c r="G419" s="1">
        <v>0</v>
      </c>
      <c r="H419" s="1">
        <v>0</v>
      </c>
      <c r="I419" s="1">
        <v>0</v>
      </c>
      <c r="J419" s="1">
        <v>0</v>
      </c>
      <c r="K419">
        <v>0</v>
      </c>
      <c r="L419">
        <v>0</v>
      </c>
      <c r="M419">
        <v>0</v>
      </c>
      <c r="N419">
        <v>1440</v>
      </c>
      <c r="O419">
        <v>2063</v>
      </c>
      <c r="P419" t="str">
        <f t="shared" si="24"/>
        <v>Saturday</v>
      </c>
      <c r="Q419">
        <f t="shared" si="25"/>
        <v>1440</v>
      </c>
      <c r="R419" t="str">
        <f t="shared" si="26"/>
        <v>Weekend</v>
      </c>
      <c r="S419" t="str">
        <f t="shared" si="27"/>
        <v>Sedentary</v>
      </c>
    </row>
    <row r="420" spans="1:19" x14ac:dyDescent="0.25">
      <c r="A420">
        <v>2873212765</v>
      </c>
      <c r="B420" s="4">
        <v>42475</v>
      </c>
      <c r="C420">
        <v>8482</v>
      </c>
      <c r="D420" s="1">
        <v>5.6999998092651403</v>
      </c>
      <c r="E420" s="1">
        <v>5.6999998092651403</v>
      </c>
      <c r="F420" s="1">
        <v>0</v>
      </c>
      <c r="G420" s="1">
        <v>0</v>
      </c>
      <c r="H420" s="1">
        <v>0</v>
      </c>
      <c r="I420" s="1">
        <v>5.6900000572204599</v>
      </c>
      <c r="J420" s="1">
        <v>9.9999997764825804E-3</v>
      </c>
      <c r="K420">
        <v>0</v>
      </c>
      <c r="L420">
        <v>0</v>
      </c>
      <c r="M420">
        <v>448</v>
      </c>
      <c r="N420">
        <v>992</v>
      </c>
      <c r="O420">
        <v>2063</v>
      </c>
      <c r="P420" t="str">
        <f t="shared" si="24"/>
        <v>Friday</v>
      </c>
      <c r="Q420">
        <f t="shared" si="25"/>
        <v>1440</v>
      </c>
      <c r="R420" t="str">
        <f t="shared" si="26"/>
        <v>Weekday</v>
      </c>
      <c r="S420" t="str">
        <f t="shared" si="27"/>
        <v>Fairly Active</v>
      </c>
    </row>
    <row r="421" spans="1:19" x14ac:dyDescent="0.25">
      <c r="A421">
        <v>1927972279</v>
      </c>
      <c r="B421" s="4">
        <v>42476</v>
      </c>
      <c r="C421">
        <v>0</v>
      </c>
      <c r="D421" s="1">
        <v>0</v>
      </c>
      <c r="E421" s="1">
        <v>0</v>
      </c>
      <c r="F421" s="1">
        <v>0</v>
      </c>
      <c r="G421" s="1">
        <v>0</v>
      </c>
      <c r="H421" s="1">
        <v>0</v>
      </c>
      <c r="I421" s="1">
        <v>0</v>
      </c>
      <c r="J421" s="1">
        <v>0</v>
      </c>
      <c r="K421">
        <v>0</v>
      </c>
      <c r="L421">
        <v>0</v>
      </c>
      <c r="M421">
        <v>0</v>
      </c>
      <c r="N421">
        <v>1440</v>
      </c>
      <c r="O421">
        <v>2064</v>
      </c>
      <c r="P421" t="str">
        <f t="shared" si="24"/>
        <v>Saturday</v>
      </c>
      <c r="Q421">
        <f t="shared" si="25"/>
        <v>1440</v>
      </c>
      <c r="R421" t="str">
        <f t="shared" si="26"/>
        <v>Weekend</v>
      </c>
      <c r="S421" t="str">
        <f t="shared" si="27"/>
        <v>Sedentary</v>
      </c>
    </row>
    <row r="422" spans="1:19" x14ac:dyDescent="0.25">
      <c r="A422">
        <v>1927972279</v>
      </c>
      <c r="B422" s="4">
        <v>42481</v>
      </c>
      <c r="C422">
        <v>0</v>
      </c>
      <c r="D422" s="1">
        <v>0</v>
      </c>
      <c r="E422" s="1">
        <v>0</v>
      </c>
      <c r="F422" s="1">
        <v>0</v>
      </c>
      <c r="G422" s="1">
        <v>0</v>
      </c>
      <c r="H422" s="1">
        <v>0</v>
      </c>
      <c r="I422" s="1">
        <v>0</v>
      </c>
      <c r="J422" s="1">
        <v>0</v>
      </c>
      <c r="K422">
        <v>0</v>
      </c>
      <c r="L422">
        <v>0</v>
      </c>
      <c r="M422">
        <v>0</v>
      </c>
      <c r="N422">
        <v>1440</v>
      </c>
      <c r="O422">
        <v>2064</v>
      </c>
      <c r="P422" t="str">
        <f t="shared" si="24"/>
        <v>Thursday</v>
      </c>
      <c r="Q422">
        <f t="shared" si="25"/>
        <v>1440</v>
      </c>
      <c r="R422" t="str">
        <f t="shared" si="26"/>
        <v>Weekday</v>
      </c>
      <c r="S422" t="str">
        <f t="shared" si="27"/>
        <v>Sedentary</v>
      </c>
    </row>
    <row r="423" spans="1:19" x14ac:dyDescent="0.25">
      <c r="A423">
        <v>1927972279</v>
      </c>
      <c r="B423" s="4">
        <v>42490</v>
      </c>
      <c r="C423">
        <v>0</v>
      </c>
      <c r="D423" s="1">
        <v>0</v>
      </c>
      <c r="E423" s="1">
        <v>0</v>
      </c>
      <c r="F423" s="1">
        <v>0</v>
      </c>
      <c r="G423" s="1">
        <v>0</v>
      </c>
      <c r="H423" s="1">
        <v>0</v>
      </c>
      <c r="I423" s="1">
        <v>0</v>
      </c>
      <c r="J423" s="1">
        <v>0</v>
      </c>
      <c r="K423">
        <v>0</v>
      </c>
      <c r="L423">
        <v>0</v>
      </c>
      <c r="M423">
        <v>0</v>
      </c>
      <c r="N423">
        <v>1440</v>
      </c>
      <c r="O423">
        <v>2064</v>
      </c>
      <c r="P423" t="str">
        <f t="shared" si="24"/>
        <v>Saturday</v>
      </c>
      <c r="Q423">
        <f t="shared" si="25"/>
        <v>1440</v>
      </c>
      <c r="R423" t="str">
        <f t="shared" si="26"/>
        <v>Weekend</v>
      </c>
      <c r="S423" t="str">
        <f t="shared" si="27"/>
        <v>Sedentary</v>
      </c>
    </row>
    <row r="424" spans="1:19" x14ac:dyDescent="0.25">
      <c r="A424">
        <v>3372868164</v>
      </c>
      <c r="B424" s="4">
        <v>42474</v>
      </c>
      <c r="C424">
        <v>8844</v>
      </c>
      <c r="D424" s="1">
        <v>6.0300002098083496</v>
      </c>
      <c r="E424" s="1">
        <v>6.0300002098083496</v>
      </c>
      <c r="F424" s="1">
        <v>0</v>
      </c>
      <c r="G424" s="1">
        <v>0.34000000357627902</v>
      </c>
      <c r="H424" s="1">
        <v>1.0299999713897701</v>
      </c>
      <c r="I424" s="1">
        <v>4.6500000953674299</v>
      </c>
      <c r="J424" s="1">
        <v>9.9999997764825804E-3</v>
      </c>
      <c r="K424">
        <v>6</v>
      </c>
      <c r="L424">
        <v>25</v>
      </c>
      <c r="M424">
        <v>370</v>
      </c>
      <c r="N424">
        <v>1039</v>
      </c>
      <c r="O424">
        <v>2065</v>
      </c>
      <c r="P424" t="str">
        <f t="shared" si="24"/>
        <v>Thursday</v>
      </c>
      <c r="Q424">
        <f t="shared" si="25"/>
        <v>1440</v>
      </c>
      <c r="R424" t="str">
        <f t="shared" si="26"/>
        <v>Weekday</v>
      </c>
      <c r="S424" t="str">
        <f t="shared" si="27"/>
        <v>Fairly Active</v>
      </c>
    </row>
    <row r="425" spans="1:19" x14ac:dyDescent="0.25">
      <c r="A425">
        <v>4558609924</v>
      </c>
      <c r="B425" s="4">
        <v>42405</v>
      </c>
      <c r="C425">
        <v>7891</v>
      </c>
      <c r="D425" s="1">
        <v>5.2199997901916504</v>
      </c>
      <c r="E425" s="1">
        <v>5.2199997901916504</v>
      </c>
      <c r="F425" s="1">
        <v>0</v>
      </c>
      <c r="G425" s="1">
        <v>0</v>
      </c>
      <c r="H425" s="1">
        <v>0</v>
      </c>
      <c r="I425" s="1">
        <v>5.2199997901916504</v>
      </c>
      <c r="J425" s="1">
        <v>0</v>
      </c>
      <c r="K425">
        <v>0</v>
      </c>
      <c r="L425">
        <v>0</v>
      </c>
      <c r="M425">
        <v>383</v>
      </c>
      <c r="N425">
        <v>1057</v>
      </c>
      <c r="O425">
        <v>2066</v>
      </c>
      <c r="P425" t="str">
        <f t="shared" si="24"/>
        <v>Friday</v>
      </c>
      <c r="Q425">
        <f t="shared" si="25"/>
        <v>1440</v>
      </c>
      <c r="R425" t="str">
        <f t="shared" si="26"/>
        <v>Weekday</v>
      </c>
      <c r="S425" t="str">
        <f t="shared" si="27"/>
        <v>Fairly Active</v>
      </c>
    </row>
    <row r="426" spans="1:19" x14ac:dyDescent="0.25">
      <c r="A426">
        <v>6962181067</v>
      </c>
      <c r="B426" s="4">
        <v>42495</v>
      </c>
      <c r="C426">
        <v>10524</v>
      </c>
      <c r="D426" s="1">
        <v>6.96000003814697</v>
      </c>
      <c r="E426" s="1">
        <v>6.96000003814697</v>
      </c>
      <c r="F426" s="1">
        <v>0</v>
      </c>
      <c r="G426" s="1">
        <v>0.99000000953674305</v>
      </c>
      <c r="H426" s="1">
        <v>1.1599999666214</v>
      </c>
      <c r="I426" s="1">
        <v>4.8099999427795401</v>
      </c>
      <c r="J426" s="1">
        <v>0</v>
      </c>
      <c r="K426">
        <v>14</v>
      </c>
      <c r="L426">
        <v>22</v>
      </c>
      <c r="M426">
        <v>305</v>
      </c>
      <c r="N426">
        <v>591</v>
      </c>
      <c r="O426">
        <v>2066</v>
      </c>
      <c r="P426" t="str">
        <f t="shared" si="24"/>
        <v>Thursday</v>
      </c>
      <c r="Q426">
        <f t="shared" si="25"/>
        <v>932</v>
      </c>
      <c r="R426" t="str">
        <f t="shared" si="26"/>
        <v>Weekday</v>
      </c>
      <c r="S426" t="str">
        <f t="shared" si="27"/>
        <v>Very_Active</v>
      </c>
    </row>
    <row r="427" spans="1:19" x14ac:dyDescent="0.25">
      <c r="A427">
        <v>5553957443</v>
      </c>
      <c r="B427" s="4">
        <v>42481</v>
      </c>
      <c r="C427">
        <v>12346</v>
      </c>
      <c r="D427" s="1">
        <v>8.0600004196166992</v>
      </c>
      <c r="E427" s="1">
        <v>8.0600004196166992</v>
      </c>
      <c r="F427" s="1">
        <v>0</v>
      </c>
      <c r="G427" s="1">
        <v>2.9500000476837198</v>
      </c>
      <c r="H427" s="1">
        <v>2.1600000858306898</v>
      </c>
      <c r="I427" s="1">
        <v>2.96000003814697</v>
      </c>
      <c r="J427" s="1">
        <v>0</v>
      </c>
      <c r="K427">
        <v>47</v>
      </c>
      <c r="L427">
        <v>42</v>
      </c>
      <c r="M427">
        <v>177</v>
      </c>
      <c r="N427">
        <v>801</v>
      </c>
      <c r="O427">
        <v>2066</v>
      </c>
      <c r="P427" t="str">
        <f t="shared" si="24"/>
        <v>Thursday</v>
      </c>
      <c r="Q427">
        <f t="shared" si="25"/>
        <v>1067</v>
      </c>
      <c r="R427" t="str">
        <f t="shared" si="26"/>
        <v>Weekday</v>
      </c>
      <c r="S427" t="str">
        <f t="shared" si="27"/>
        <v>Very_Active</v>
      </c>
    </row>
    <row r="428" spans="1:19" x14ac:dyDescent="0.25">
      <c r="A428">
        <v>8792009665</v>
      </c>
      <c r="B428" s="4">
        <v>42487</v>
      </c>
      <c r="C428">
        <v>1758</v>
      </c>
      <c r="D428" s="1">
        <v>1.12999999523163</v>
      </c>
      <c r="E428" s="1">
        <v>1.12999999523163</v>
      </c>
      <c r="F428" s="1">
        <v>0</v>
      </c>
      <c r="G428" s="1">
        <v>0</v>
      </c>
      <c r="H428" s="1">
        <v>0</v>
      </c>
      <c r="I428" s="1">
        <v>1.12999999523163</v>
      </c>
      <c r="J428" s="1">
        <v>0</v>
      </c>
      <c r="K428">
        <v>0</v>
      </c>
      <c r="L428">
        <v>0</v>
      </c>
      <c r="M428">
        <v>112</v>
      </c>
      <c r="N428">
        <v>900</v>
      </c>
      <c r="O428">
        <v>2067</v>
      </c>
      <c r="P428" t="str">
        <f t="shared" si="24"/>
        <v>Wednesday</v>
      </c>
      <c r="Q428">
        <f t="shared" si="25"/>
        <v>1012</v>
      </c>
      <c r="R428" t="str">
        <f t="shared" si="26"/>
        <v>Weekday</v>
      </c>
      <c r="S428" t="str">
        <f t="shared" si="27"/>
        <v>Sedentary</v>
      </c>
    </row>
    <row r="429" spans="1:19" x14ac:dyDescent="0.25">
      <c r="A429">
        <v>8792009665</v>
      </c>
      <c r="B429" s="4">
        <v>42465</v>
      </c>
      <c r="C429">
        <v>2283</v>
      </c>
      <c r="D429" s="1">
        <v>1.46000003814697</v>
      </c>
      <c r="E429" s="1">
        <v>1.46000003814697</v>
      </c>
      <c r="F429" s="1">
        <v>0</v>
      </c>
      <c r="G429" s="1">
        <v>0</v>
      </c>
      <c r="H429" s="1">
        <v>0</v>
      </c>
      <c r="I429" s="1">
        <v>1.46000003814697</v>
      </c>
      <c r="J429" s="1">
        <v>0</v>
      </c>
      <c r="K429">
        <v>0</v>
      </c>
      <c r="L429">
        <v>0</v>
      </c>
      <c r="M429">
        <v>129</v>
      </c>
      <c r="N429">
        <v>848</v>
      </c>
      <c r="O429">
        <v>2067</v>
      </c>
      <c r="P429" t="str">
        <f t="shared" si="24"/>
        <v>Tuesday</v>
      </c>
      <c r="Q429">
        <f t="shared" si="25"/>
        <v>977</v>
      </c>
      <c r="R429" t="str">
        <f t="shared" si="26"/>
        <v>Weekday</v>
      </c>
      <c r="S429" t="str">
        <f t="shared" si="27"/>
        <v>Sedentary</v>
      </c>
    </row>
    <row r="430" spans="1:19" x14ac:dyDescent="0.25">
      <c r="A430">
        <v>6775888955</v>
      </c>
      <c r="B430" s="4">
        <v>42477</v>
      </c>
      <c r="C430">
        <v>2497</v>
      </c>
      <c r="D430" s="1">
        <v>1.78999996185303</v>
      </c>
      <c r="E430" s="1">
        <v>1.78999996185303</v>
      </c>
      <c r="F430" s="1">
        <v>0</v>
      </c>
      <c r="G430" s="1">
        <v>0.34999999403953602</v>
      </c>
      <c r="H430" s="1">
        <v>1.12999999523163</v>
      </c>
      <c r="I430" s="1">
        <v>0.31000000238418601</v>
      </c>
      <c r="J430" s="1">
        <v>0</v>
      </c>
      <c r="K430">
        <v>5</v>
      </c>
      <c r="L430">
        <v>24</v>
      </c>
      <c r="M430">
        <v>19</v>
      </c>
      <c r="N430">
        <v>1392</v>
      </c>
      <c r="O430">
        <v>2067</v>
      </c>
      <c r="P430" t="str">
        <f t="shared" si="24"/>
        <v>Sunday</v>
      </c>
      <c r="Q430">
        <f t="shared" si="25"/>
        <v>1440</v>
      </c>
      <c r="R430" t="str">
        <f t="shared" si="26"/>
        <v>Weekend</v>
      </c>
      <c r="S430" t="str">
        <f t="shared" si="27"/>
        <v>Sedentary</v>
      </c>
    </row>
    <row r="431" spans="1:19" x14ac:dyDescent="0.25">
      <c r="A431">
        <v>2022484408</v>
      </c>
      <c r="B431" s="4">
        <v>42483</v>
      </c>
      <c r="C431">
        <v>6001</v>
      </c>
      <c r="D431" s="1">
        <v>4.21000003814697</v>
      </c>
      <c r="E431" s="1">
        <v>4.21000003814697</v>
      </c>
      <c r="F431" s="1">
        <v>0</v>
      </c>
      <c r="G431" s="1">
        <v>0</v>
      </c>
      <c r="H431" s="1">
        <v>0</v>
      </c>
      <c r="I431" s="1">
        <v>4.21000003814697</v>
      </c>
      <c r="J431" s="1">
        <v>0</v>
      </c>
      <c r="K431">
        <v>0</v>
      </c>
      <c r="L431">
        <v>0</v>
      </c>
      <c r="M431">
        <v>249</v>
      </c>
      <c r="N431">
        <v>1191</v>
      </c>
      <c r="O431">
        <v>2069</v>
      </c>
      <c r="P431" t="str">
        <f t="shared" si="24"/>
        <v>Saturday</v>
      </c>
      <c r="Q431">
        <f t="shared" si="25"/>
        <v>1440</v>
      </c>
      <c r="R431" t="str">
        <f t="shared" si="26"/>
        <v>Weekend</v>
      </c>
      <c r="S431" t="str">
        <f t="shared" si="27"/>
        <v>Lightly Active</v>
      </c>
    </row>
    <row r="432" spans="1:19" x14ac:dyDescent="0.25">
      <c r="A432">
        <v>4445114986</v>
      </c>
      <c r="B432" s="4">
        <v>42465</v>
      </c>
      <c r="C432">
        <v>2923</v>
      </c>
      <c r="D432" s="1">
        <v>1.96000003814697</v>
      </c>
      <c r="E432" s="1">
        <v>1.96000003814697</v>
      </c>
      <c r="F432" s="1">
        <v>0</v>
      </c>
      <c r="G432" s="1">
        <v>0</v>
      </c>
      <c r="H432" s="1">
        <v>0</v>
      </c>
      <c r="I432" s="1">
        <v>1.96000003814697</v>
      </c>
      <c r="J432" s="1">
        <v>0</v>
      </c>
      <c r="K432">
        <v>0</v>
      </c>
      <c r="L432">
        <v>0</v>
      </c>
      <c r="M432">
        <v>180</v>
      </c>
      <c r="N432">
        <v>897</v>
      </c>
      <c r="O432">
        <v>2070</v>
      </c>
      <c r="P432" t="str">
        <f t="shared" si="24"/>
        <v>Tuesday</v>
      </c>
      <c r="Q432">
        <f t="shared" si="25"/>
        <v>1077</v>
      </c>
      <c r="R432" t="str">
        <f t="shared" si="26"/>
        <v>Weekday</v>
      </c>
      <c r="S432" t="str">
        <f t="shared" si="27"/>
        <v>Sedentary</v>
      </c>
    </row>
    <row r="433" spans="1:19" x14ac:dyDescent="0.25">
      <c r="A433">
        <v>4445114986</v>
      </c>
      <c r="B433" s="4">
        <v>42485</v>
      </c>
      <c r="C433">
        <v>3385</v>
      </c>
      <c r="D433" s="1">
        <v>2.2699999809265101</v>
      </c>
      <c r="E433" s="1">
        <v>2.2699999809265101</v>
      </c>
      <c r="F433" s="1">
        <v>0</v>
      </c>
      <c r="G433" s="1">
        <v>0</v>
      </c>
      <c r="H433" s="1">
        <v>0</v>
      </c>
      <c r="I433" s="1">
        <v>2.2699999809265101</v>
      </c>
      <c r="J433" s="1">
        <v>0</v>
      </c>
      <c r="K433">
        <v>0</v>
      </c>
      <c r="L433">
        <v>0</v>
      </c>
      <c r="M433">
        <v>179</v>
      </c>
      <c r="N433">
        <v>916</v>
      </c>
      <c r="O433">
        <v>2070</v>
      </c>
      <c r="P433" t="str">
        <f t="shared" si="24"/>
        <v>Monday</v>
      </c>
      <c r="Q433">
        <f t="shared" si="25"/>
        <v>1095</v>
      </c>
      <c r="R433" t="str">
        <f t="shared" si="26"/>
        <v>Weekday</v>
      </c>
      <c r="S433" t="str">
        <f t="shared" si="27"/>
        <v>Sedentary</v>
      </c>
    </row>
    <row r="434" spans="1:19" x14ac:dyDescent="0.25">
      <c r="A434">
        <v>6962181067</v>
      </c>
      <c r="B434" s="4">
        <v>42434</v>
      </c>
      <c r="C434">
        <v>12109</v>
      </c>
      <c r="D434" s="1">
        <v>8.1199998855590803</v>
      </c>
      <c r="E434" s="1">
        <v>8.1199998855590803</v>
      </c>
      <c r="F434" s="1">
        <v>0</v>
      </c>
      <c r="G434" s="1">
        <v>1.7400000095367401</v>
      </c>
      <c r="H434" s="1">
        <v>2.03999996185303</v>
      </c>
      <c r="I434" s="1">
        <v>4.3299999237060502</v>
      </c>
      <c r="J434" s="1">
        <v>0</v>
      </c>
      <c r="K434">
        <v>21</v>
      </c>
      <c r="L434">
        <v>36</v>
      </c>
      <c r="M434">
        <v>267</v>
      </c>
      <c r="N434">
        <v>654</v>
      </c>
      <c r="O434">
        <v>2072</v>
      </c>
      <c r="P434" t="str">
        <f t="shared" si="24"/>
        <v>Saturday</v>
      </c>
      <c r="Q434">
        <f t="shared" si="25"/>
        <v>978</v>
      </c>
      <c r="R434" t="str">
        <f t="shared" si="26"/>
        <v>Weekend</v>
      </c>
      <c r="S434" t="str">
        <f t="shared" si="27"/>
        <v>Very_Active</v>
      </c>
    </row>
    <row r="435" spans="1:19" x14ac:dyDescent="0.25">
      <c r="A435">
        <v>7007744171</v>
      </c>
      <c r="B435" s="4">
        <v>42476</v>
      </c>
      <c r="C435">
        <v>4631</v>
      </c>
      <c r="D435" s="1">
        <v>3.0999999046325701</v>
      </c>
      <c r="E435" s="1">
        <v>3.0999999046325701</v>
      </c>
      <c r="F435" s="1">
        <v>0</v>
      </c>
      <c r="G435" s="1">
        <v>0</v>
      </c>
      <c r="H435" s="1">
        <v>0</v>
      </c>
      <c r="I435" s="1">
        <v>3.0999999046325701</v>
      </c>
      <c r="J435" s="1">
        <v>0</v>
      </c>
      <c r="K435">
        <v>0</v>
      </c>
      <c r="L435">
        <v>0</v>
      </c>
      <c r="M435">
        <v>203</v>
      </c>
      <c r="N435">
        <v>1155</v>
      </c>
      <c r="O435">
        <v>2076</v>
      </c>
      <c r="P435" t="str">
        <f t="shared" si="24"/>
        <v>Saturday</v>
      </c>
      <c r="Q435">
        <f t="shared" si="25"/>
        <v>1358</v>
      </c>
      <c r="R435" t="str">
        <f t="shared" si="26"/>
        <v>Weekend</v>
      </c>
      <c r="S435" t="str">
        <f t="shared" si="27"/>
        <v>Sedentary</v>
      </c>
    </row>
    <row r="436" spans="1:19" x14ac:dyDescent="0.25">
      <c r="A436">
        <v>4558609924</v>
      </c>
      <c r="B436" s="4">
        <v>42483</v>
      </c>
      <c r="C436">
        <v>6890</v>
      </c>
      <c r="D436" s="1">
        <v>4.5500001907348597</v>
      </c>
      <c r="E436" s="1">
        <v>4.5500001907348597</v>
      </c>
      <c r="F436" s="1">
        <v>0</v>
      </c>
      <c r="G436" s="1">
        <v>0.34000000357627902</v>
      </c>
      <c r="H436" s="1">
        <v>0.20000000298023199</v>
      </c>
      <c r="I436" s="1">
        <v>4.0100002288818404</v>
      </c>
      <c r="J436" s="1">
        <v>0</v>
      </c>
      <c r="K436">
        <v>5</v>
      </c>
      <c r="L436">
        <v>5</v>
      </c>
      <c r="M436">
        <v>308</v>
      </c>
      <c r="N436">
        <v>1122</v>
      </c>
      <c r="O436">
        <v>2085</v>
      </c>
      <c r="P436" t="str">
        <f t="shared" si="24"/>
        <v>Saturday</v>
      </c>
      <c r="Q436">
        <f t="shared" si="25"/>
        <v>1440</v>
      </c>
      <c r="R436" t="str">
        <f t="shared" si="26"/>
        <v>Weekend</v>
      </c>
      <c r="S436" t="str">
        <f t="shared" si="27"/>
        <v>Lightly Active</v>
      </c>
    </row>
    <row r="437" spans="1:19" x14ac:dyDescent="0.25">
      <c r="A437">
        <v>6962181067</v>
      </c>
      <c r="B437" s="4">
        <v>42465</v>
      </c>
      <c r="C437">
        <v>10147</v>
      </c>
      <c r="D437" s="1">
        <v>6.71000003814697</v>
      </c>
      <c r="E437" s="1">
        <v>6.71000003814697</v>
      </c>
      <c r="F437" s="1">
        <v>0</v>
      </c>
      <c r="G437" s="1">
        <v>0.46999999880790699</v>
      </c>
      <c r="H437" s="1">
        <v>1.6799999475479099</v>
      </c>
      <c r="I437" s="1">
        <v>4.5500001907348597</v>
      </c>
      <c r="J437" s="1">
        <v>0</v>
      </c>
      <c r="K437">
        <v>15</v>
      </c>
      <c r="L437">
        <v>36</v>
      </c>
      <c r="M437">
        <v>284</v>
      </c>
      <c r="N437">
        <v>683</v>
      </c>
      <c r="O437">
        <v>2086</v>
      </c>
      <c r="P437" t="str">
        <f t="shared" si="24"/>
        <v>Tuesday</v>
      </c>
      <c r="Q437">
        <f t="shared" si="25"/>
        <v>1018</v>
      </c>
      <c r="R437" t="str">
        <f t="shared" si="26"/>
        <v>Weekday</v>
      </c>
      <c r="S437" t="str">
        <f t="shared" si="27"/>
        <v>Very_Active</v>
      </c>
    </row>
    <row r="438" spans="1:19" x14ac:dyDescent="0.25">
      <c r="A438">
        <v>6962181067</v>
      </c>
      <c r="B438" s="4">
        <v>42482</v>
      </c>
      <c r="C438">
        <v>10725</v>
      </c>
      <c r="D438" s="1">
        <v>7.0900001525878897</v>
      </c>
      <c r="E438" s="1">
        <v>7.0900001525878897</v>
      </c>
      <c r="F438" s="1">
        <v>0</v>
      </c>
      <c r="G438" s="1">
        <v>1.7699999809265099</v>
      </c>
      <c r="H438" s="1">
        <v>1.54999995231628</v>
      </c>
      <c r="I438" s="1">
        <v>3.7699999809265101</v>
      </c>
      <c r="J438" s="1">
        <v>0</v>
      </c>
      <c r="K438">
        <v>30</v>
      </c>
      <c r="L438">
        <v>33</v>
      </c>
      <c r="M438">
        <v>240</v>
      </c>
      <c r="N438">
        <v>659</v>
      </c>
      <c r="O438">
        <v>2086</v>
      </c>
      <c r="P438" t="str">
        <f t="shared" si="24"/>
        <v>Friday</v>
      </c>
      <c r="Q438">
        <f t="shared" si="25"/>
        <v>962</v>
      </c>
      <c r="R438" t="str">
        <f t="shared" si="26"/>
        <v>Weekday</v>
      </c>
      <c r="S438" t="str">
        <f t="shared" si="27"/>
        <v>Very_Active</v>
      </c>
    </row>
    <row r="439" spans="1:19" x14ac:dyDescent="0.25">
      <c r="A439">
        <v>4319703577</v>
      </c>
      <c r="B439" s="4">
        <v>42490</v>
      </c>
      <c r="C439">
        <v>8221</v>
      </c>
      <c r="D439" s="1">
        <v>5.5199999809265101</v>
      </c>
      <c r="E439" s="1">
        <v>5.5199999809265101</v>
      </c>
      <c r="F439" s="1">
        <v>0</v>
      </c>
      <c r="G439" s="1">
        <v>0.40000000596046398</v>
      </c>
      <c r="H439" s="1">
        <v>1.6100000143051101</v>
      </c>
      <c r="I439" s="1">
        <v>3.5099999904632599</v>
      </c>
      <c r="J439" s="1">
        <v>0</v>
      </c>
      <c r="K439">
        <v>6</v>
      </c>
      <c r="L439">
        <v>38</v>
      </c>
      <c r="M439">
        <v>196</v>
      </c>
      <c r="N439">
        <v>695</v>
      </c>
      <c r="O439">
        <v>2092</v>
      </c>
      <c r="P439" t="str">
        <f t="shared" si="24"/>
        <v>Saturday</v>
      </c>
      <c r="Q439">
        <f t="shared" si="25"/>
        <v>935</v>
      </c>
      <c r="R439" t="str">
        <f t="shared" si="26"/>
        <v>Weekend</v>
      </c>
      <c r="S439" t="str">
        <f t="shared" si="27"/>
        <v>Fairly Active</v>
      </c>
    </row>
    <row r="440" spans="1:19" x14ac:dyDescent="0.25">
      <c r="A440">
        <v>1927972279</v>
      </c>
      <c r="B440" s="4">
        <v>42482</v>
      </c>
      <c r="C440">
        <v>149</v>
      </c>
      <c r="D440" s="1">
        <v>0.10000000149011599</v>
      </c>
      <c r="E440" s="1">
        <v>0.10000000149011599</v>
      </c>
      <c r="F440" s="1">
        <v>0</v>
      </c>
      <c r="G440" s="1">
        <v>0</v>
      </c>
      <c r="H440" s="1">
        <v>0</v>
      </c>
      <c r="I440" s="1">
        <v>0.10000000149011599</v>
      </c>
      <c r="J440" s="1">
        <v>0</v>
      </c>
      <c r="K440">
        <v>0</v>
      </c>
      <c r="L440">
        <v>0</v>
      </c>
      <c r="M440">
        <v>10</v>
      </c>
      <c r="N440">
        <v>1430</v>
      </c>
      <c r="O440">
        <v>2093</v>
      </c>
      <c r="P440" t="str">
        <f t="shared" si="24"/>
        <v>Friday</v>
      </c>
      <c r="Q440">
        <f t="shared" si="25"/>
        <v>1440</v>
      </c>
      <c r="R440" t="str">
        <f t="shared" si="26"/>
        <v>Weekday</v>
      </c>
      <c r="S440" t="str">
        <f t="shared" si="27"/>
        <v>Sedentary</v>
      </c>
    </row>
    <row r="441" spans="1:19" x14ac:dyDescent="0.25">
      <c r="A441">
        <v>3372868164</v>
      </c>
      <c r="B441" s="4">
        <v>42473</v>
      </c>
      <c r="C441">
        <v>9715</v>
      </c>
      <c r="D441" s="1">
        <v>6.6300001144409197</v>
      </c>
      <c r="E441" s="1">
        <v>6.6300001144409197</v>
      </c>
      <c r="F441" s="1">
        <v>0</v>
      </c>
      <c r="G441" s="1">
        <v>0.99000000953674305</v>
      </c>
      <c r="H441" s="1">
        <v>0.34000000357627902</v>
      </c>
      <c r="I441" s="1">
        <v>5.2699999809265101</v>
      </c>
      <c r="J441" s="1">
        <v>1.9999999552965199E-2</v>
      </c>
      <c r="K441">
        <v>16</v>
      </c>
      <c r="L441">
        <v>8</v>
      </c>
      <c r="M441">
        <v>371</v>
      </c>
      <c r="N441">
        <v>1045</v>
      </c>
      <c r="O441">
        <v>2093</v>
      </c>
      <c r="P441" t="str">
        <f t="shared" si="24"/>
        <v>Wednesday</v>
      </c>
      <c r="Q441">
        <f t="shared" si="25"/>
        <v>1440</v>
      </c>
      <c r="R441" t="str">
        <f t="shared" si="26"/>
        <v>Weekday</v>
      </c>
      <c r="S441" t="str">
        <f t="shared" si="27"/>
        <v>Fairly Active</v>
      </c>
    </row>
    <row r="442" spans="1:19" x14ac:dyDescent="0.25">
      <c r="A442">
        <v>5553957443</v>
      </c>
      <c r="B442" s="4">
        <v>42486</v>
      </c>
      <c r="C442">
        <v>11886</v>
      </c>
      <c r="D442" s="1">
        <v>7.7600002288818404</v>
      </c>
      <c r="E442" s="1">
        <v>7.7600002288818404</v>
      </c>
      <c r="F442" s="1">
        <v>0</v>
      </c>
      <c r="G442" s="1">
        <v>2.3699998855590798</v>
      </c>
      <c r="H442" s="1">
        <v>0.93000000715255704</v>
      </c>
      <c r="I442" s="1">
        <v>4.46000003814697</v>
      </c>
      <c r="J442" s="1">
        <v>0</v>
      </c>
      <c r="K442">
        <v>40</v>
      </c>
      <c r="L442">
        <v>18</v>
      </c>
      <c r="M442">
        <v>238</v>
      </c>
      <c r="N442">
        <v>750</v>
      </c>
      <c r="O442">
        <v>2093</v>
      </c>
      <c r="P442" t="str">
        <f t="shared" si="24"/>
        <v>Tuesday</v>
      </c>
      <c r="Q442">
        <f t="shared" si="25"/>
        <v>1046</v>
      </c>
      <c r="R442" t="str">
        <f t="shared" si="26"/>
        <v>Weekday</v>
      </c>
      <c r="S442" t="str">
        <f t="shared" si="27"/>
        <v>Very_Active</v>
      </c>
    </row>
    <row r="443" spans="1:19" x14ac:dyDescent="0.25">
      <c r="A443">
        <v>2873212765</v>
      </c>
      <c r="B443" s="4">
        <v>42480</v>
      </c>
      <c r="C443">
        <v>9202</v>
      </c>
      <c r="D443" s="1">
        <v>6.3000001907348597</v>
      </c>
      <c r="E443" s="1">
        <v>6.3000001907348597</v>
      </c>
      <c r="F443" s="1">
        <v>0</v>
      </c>
      <c r="G443" s="1">
        <v>1.5099999904632599</v>
      </c>
      <c r="H443" s="1">
        <v>0.119999997317791</v>
      </c>
      <c r="I443" s="1">
        <v>4.6599998474121103</v>
      </c>
      <c r="J443" s="1">
        <v>9.9999997764825804E-3</v>
      </c>
      <c r="K443">
        <v>22</v>
      </c>
      <c r="L443">
        <v>5</v>
      </c>
      <c r="M443">
        <v>378</v>
      </c>
      <c r="N443">
        <v>1035</v>
      </c>
      <c r="O443">
        <v>2094</v>
      </c>
      <c r="P443" t="str">
        <f t="shared" si="24"/>
        <v>Wednesday</v>
      </c>
      <c r="Q443">
        <f t="shared" si="25"/>
        <v>1440</v>
      </c>
      <c r="R443" t="str">
        <f t="shared" si="26"/>
        <v>Weekday</v>
      </c>
      <c r="S443" t="str">
        <f t="shared" si="27"/>
        <v>Fairly Active</v>
      </c>
    </row>
    <row r="444" spans="1:19" x14ac:dyDescent="0.25">
      <c r="A444">
        <v>4558609924</v>
      </c>
      <c r="B444" s="4">
        <v>42482</v>
      </c>
      <c r="C444">
        <v>9601</v>
      </c>
      <c r="D444" s="1">
        <v>6.3499999046325701</v>
      </c>
      <c r="E444" s="1">
        <v>6.3499999046325701</v>
      </c>
      <c r="F444" s="1">
        <v>0</v>
      </c>
      <c r="G444" s="1">
        <v>1.37000000476837</v>
      </c>
      <c r="H444" s="1">
        <v>1.5</v>
      </c>
      <c r="I444" s="1">
        <v>3.4700000286102299</v>
      </c>
      <c r="J444" s="1">
        <v>0</v>
      </c>
      <c r="K444">
        <v>20</v>
      </c>
      <c r="L444">
        <v>25</v>
      </c>
      <c r="M444">
        <v>273</v>
      </c>
      <c r="N444">
        <v>1122</v>
      </c>
      <c r="O444">
        <v>2094</v>
      </c>
      <c r="P444" t="str">
        <f t="shared" si="24"/>
        <v>Friday</v>
      </c>
      <c r="Q444">
        <f t="shared" si="25"/>
        <v>1440</v>
      </c>
      <c r="R444" t="str">
        <f t="shared" si="26"/>
        <v>Weekday</v>
      </c>
      <c r="S444" t="str">
        <f t="shared" si="27"/>
        <v>Fairly Active</v>
      </c>
    </row>
    <row r="445" spans="1:19" x14ac:dyDescent="0.25">
      <c r="A445">
        <v>4445114986</v>
      </c>
      <c r="B445" s="4">
        <v>42473</v>
      </c>
      <c r="C445">
        <v>2961</v>
      </c>
      <c r="D445" s="1">
        <v>1.9900000095367401</v>
      </c>
      <c r="E445" s="1">
        <v>1.9900000095367401</v>
      </c>
      <c r="F445" s="1">
        <v>0</v>
      </c>
      <c r="G445" s="1">
        <v>0</v>
      </c>
      <c r="H445" s="1">
        <v>0</v>
      </c>
      <c r="I445" s="1">
        <v>1.9900000095367401</v>
      </c>
      <c r="J445" s="1">
        <v>0</v>
      </c>
      <c r="K445">
        <v>0</v>
      </c>
      <c r="L445">
        <v>0</v>
      </c>
      <c r="M445">
        <v>194</v>
      </c>
      <c r="N445">
        <v>840</v>
      </c>
      <c r="O445">
        <v>2095</v>
      </c>
      <c r="P445" t="str">
        <f t="shared" si="24"/>
        <v>Wednesday</v>
      </c>
      <c r="Q445">
        <f t="shared" si="25"/>
        <v>1034</v>
      </c>
      <c r="R445" t="str">
        <f t="shared" si="26"/>
        <v>Weekday</v>
      </c>
      <c r="S445" t="str">
        <f t="shared" si="27"/>
        <v>Sedentary</v>
      </c>
    </row>
    <row r="446" spans="1:19" x14ac:dyDescent="0.25">
      <c r="A446">
        <v>3372868164</v>
      </c>
      <c r="B446" s="4">
        <v>42487</v>
      </c>
      <c r="C446">
        <v>7904</v>
      </c>
      <c r="D446" s="1">
        <v>5.4200000762939498</v>
      </c>
      <c r="E446" s="1">
        <v>5.4200000762939498</v>
      </c>
      <c r="F446" s="1">
        <v>0</v>
      </c>
      <c r="G446" s="1">
        <v>1.58000004291534</v>
      </c>
      <c r="H446" s="1">
        <v>0.62999999523162797</v>
      </c>
      <c r="I446" s="1">
        <v>3.1900000572204599</v>
      </c>
      <c r="J446" s="1">
        <v>9.9999997764825804E-3</v>
      </c>
      <c r="K446">
        <v>24</v>
      </c>
      <c r="L446">
        <v>13</v>
      </c>
      <c r="M446">
        <v>346</v>
      </c>
      <c r="N446">
        <v>1057</v>
      </c>
      <c r="O446">
        <v>2095</v>
      </c>
      <c r="P446" t="str">
        <f t="shared" si="24"/>
        <v>Wednesday</v>
      </c>
      <c r="Q446">
        <f t="shared" si="25"/>
        <v>1440</v>
      </c>
      <c r="R446" t="str">
        <f t="shared" si="26"/>
        <v>Weekday</v>
      </c>
      <c r="S446" t="str">
        <f t="shared" si="27"/>
        <v>Fairly Active</v>
      </c>
    </row>
    <row r="447" spans="1:19" x14ac:dyDescent="0.25">
      <c r="A447">
        <v>2347167796</v>
      </c>
      <c r="B447" s="4">
        <v>42485</v>
      </c>
      <c r="C447">
        <v>9482</v>
      </c>
      <c r="D447" s="1">
        <v>6.3800001144409197</v>
      </c>
      <c r="E447" s="1">
        <v>6.3800001144409197</v>
      </c>
      <c r="F447" s="1">
        <v>0</v>
      </c>
      <c r="G447" s="1">
        <v>1.2699999809265099</v>
      </c>
      <c r="H447" s="1">
        <v>0.519999980926514</v>
      </c>
      <c r="I447" s="1">
        <v>4.5999999046325701</v>
      </c>
      <c r="J447" s="1">
        <v>0</v>
      </c>
      <c r="K447">
        <v>15</v>
      </c>
      <c r="L447">
        <v>11</v>
      </c>
      <c r="M447">
        <v>277</v>
      </c>
      <c r="N447">
        <v>653</v>
      </c>
      <c r="O447">
        <v>2095</v>
      </c>
      <c r="P447" t="str">
        <f t="shared" si="24"/>
        <v>Monday</v>
      </c>
      <c r="Q447">
        <f t="shared" si="25"/>
        <v>956</v>
      </c>
      <c r="R447" t="str">
        <f t="shared" si="26"/>
        <v>Weekday</v>
      </c>
      <c r="S447" t="str">
        <f t="shared" si="27"/>
        <v>Fairly Active</v>
      </c>
    </row>
    <row r="448" spans="1:19" x14ac:dyDescent="0.25">
      <c r="A448">
        <v>2873212765</v>
      </c>
      <c r="B448" s="4">
        <v>42587</v>
      </c>
      <c r="C448">
        <v>8168</v>
      </c>
      <c r="D448" s="1">
        <v>5.53999996185303</v>
      </c>
      <c r="E448" s="1">
        <v>5.53999996185303</v>
      </c>
      <c r="F448" s="1">
        <v>0</v>
      </c>
      <c r="G448" s="1">
        <v>2.9000000953674299</v>
      </c>
      <c r="H448" s="1">
        <v>0</v>
      </c>
      <c r="I448" s="1">
        <v>2.6400001049041699</v>
      </c>
      <c r="J448" s="1">
        <v>0</v>
      </c>
      <c r="K448">
        <v>46</v>
      </c>
      <c r="L448">
        <v>0</v>
      </c>
      <c r="M448">
        <v>326</v>
      </c>
      <c r="N448">
        <v>1068</v>
      </c>
      <c r="O448">
        <v>2096</v>
      </c>
      <c r="P448" t="str">
        <f t="shared" si="24"/>
        <v>Friday</v>
      </c>
      <c r="Q448">
        <f t="shared" si="25"/>
        <v>1440</v>
      </c>
      <c r="R448" t="str">
        <f t="shared" si="26"/>
        <v>Weekday</v>
      </c>
      <c r="S448" t="str">
        <f t="shared" si="27"/>
        <v>Fairly Active</v>
      </c>
    </row>
    <row r="449" spans="1:19" x14ac:dyDescent="0.25">
      <c r="A449">
        <v>7007744171</v>
      </c>
      <c r="B449" s="4">
        <v>42475</v>
      </c>
      <c r="C449">
        <v>5273</v>
      </c>
      <c r="D449" s="1">
        <v>3.5299999713897701</v>
      </c>
      <c r="E449" s="1">
        <v>3.5299999713897701</v>
      </c>
      <c r="F449" s="1">
        <v>0</v>
      </c>
      <c r="G449" s="1">
        <v>0</v>
      </c>
      <c r="H449" s="1">
        <v>0</v>
      </c>
      <c r="I449" s="1">
        <v>3.5299999713897701</v>
      </c>
      <c r="J449" s="1">
        <v>0</v>
      </c>
      <c r="K449">
        <v>0</v>
      </c>
      <c r="L449">
        <v>0</v>
      </c>
      <c r="M449">
        <v>202</v>
      </c>
      <c r="N449">
        <v>1238</v>
      </c>
      <c r="O449">
        <v>2098</v>
      </c>
      <c r="P449" t="str">
        <f t="shared" si="24"/>
        <v>Friday</v>
      </c>
      <c r="Q449">
        <f t="shared" si="25"/>
        <v>1440</v>
      </c>
      <c r="R449" t="str">
        <f t="shared" si="26"/>
        <v>Weekday</v>
      </c>
      <c r="S449" t="str">
        <f t="shared" si="27"/>
        <v>Lightly Active</v>
      </c>
    </row>
    <row r="450" spans="1:19" x14ac:dyDescent="0.25">
      <c r="A450">
        <v>4558609924</v>
      </c>
      <c r="B450" s="4">
        <v>42487</v>
      </c>
      <c r="C450">
        <v>9557</v>
      </c>
      <c r="D450" s="1">
        <v>6.3200001716613796</v>
      </c>
      <c r="E450" s="1">
        <v>6.3200001716613796</v>
      </c>
      <c r="F450" s="1">
        <v>0</v>
      </c>
      <c r="G450" s="1">
        <v>1.96000003814697</v>
      </c>
      <c r="H450" s="1">
        <v>0.88999998569488503</v>
      </c>
      <c r="I450" s="1">
        <v>3.46000003814697</v>
      </c>
      <c r="J450" s="1">
        <v>0</v>
      </c>
      <c r="K450">
        <v>27</v>
      </c>
      <c r="L450">
        <v>14</v>
      </c>
      <c r="M450">
        <v>312</v>
      </c>
      <c r="N450">
        <v>1087</v>
      </c>
      <c r="O450">
        <v>2098</v>
      </c>
      <c r="P450" t="str">
        <f t="shared" ref="P450:P513" si="28">TEXT(B450,"dddd")</f>
        <v>Wednesday</v>
      </c>
      <c r="Q450">
        <f t="shared" ref="Q450:Q513" si="29">SUM(K450:N450)</f>
        <v>1440</v>
      </c>
      <c r="R450" t="str">
        <f t="shared" ref="R450:R513" si="30">IF(WEEKDAY(B450,2)&lt;=5,"Weekday","Weekend")</f>
        <v>Weekday</v>
      </c>
      <c r="S450" t="str">
        <f t="shared" ref="S450:S513" si="31">IF(C450&lt;5000,"Sedentary",IF(C450&lt;7500,"Lightly Active",IF(C450&lt;10000,"Fairly Active","Very_Active")))</f>
        <v>Fairly Active</v>
      </c>
    </row>
    <row r="451" spans="1:19" x14ac:dyDescent="0.25">
      <c r="A451">
        <v>1927972279</v>
      </c>
      <c r="B451" s="4">
        <v>42485</v>
      </c>
      <c r="C451">
        <v>152</v>
      </c>
      <c r="D451" s="1">
        <v>0.109999999403954</v>
      </c>
      <c r="E451" s="1">
        <v>0.109999999403954</v>
      </c>
      <c r="F451" s="1">
        <v>0</v>
      </c>
      <c r="G451" s="1">
        <v>0</v>
      </c>
      <c r="H451" s="1">
        <v>0</v>
      </c>
      <c r="I451" s="1">
        <v>0.109999999403954</v>
      </c>
      <c r="J451" s="1">
        <v>0</v>
      </c>
      <c r="K451">
        <v>0</v>
      </c>
      <c r="L451">
        <v>0</v>
      </c>
      <c r="M451">
        <v>12</v>
      </c>
      <c r="N451">
        <v>1303</v>
      </c>
      <c r="O451">
        <v>2100</v>
      </c>
      <c r="P451" t="str">
        <f t="shared" si="28"/>
        <v>Monday</v>
      </c>
      <c r="Q451">
        <f t="shared" si="29"/>
        <v>1315</v>
      </c>
      <c r="R451" t="str">
        <f t="shared" si="30"/>
        <v>Weekday</v>
      </c>
      <c r="S451" t="str">
        <f t="shared" si="31"/>
        <v>Sedentary</v>
      </c>
    </row>
    <row r="452" spans="1:19" x14ac:dyDescent="0.25">
      <c r="A452">
        <v>4558609924</v>
      </c>
      <c r="B452" s="4">
        <v>42490</v>
      </c>
      <c r="C452">
        <v>10319</v>
      </c>
      <c r="D452" s="1">
        <v>6.8200001716613796</v>
      </c>
      <c r="E452" s="1">
        <v>6.8200001716613796</v>
      </c>
      <c r="F452" s="1">
        <v>0</v>
      </c>
      <c r="G452" s="1">
        <v>0.46999999880790699</v>
      </c>
      <c r="H452" s="1">
        <v>1.8899999856948899</v>
      </c>
      <c r="I452" s="1">
        <v>4.46000003814697</v>
      </c>
      <c r="J452" s="1">
        <v>0</v>
      </c>
      <c r="K452">
        <v>7</v>
      </c>
      <c r="L452">
        <v>29</v>
      </c>
      <c r="M452">
        <v>293</v>
      </c>
      <c r="N452">
        <v>1111</v>
      </c>
      <c r="O452">
        <v>2105</v>
      </c>
      <c r="P452" t="str">
        <f t="shared" si="28"/>
        <v>Saturday</v>
      </c>
      <c r="Q452">
        <f t="shared" si="29"/>
        <v>1440</v>
      </c>
      <c r="R452" t="str">
        <f t="shared" si="30"/>
        <v>Weekend</v>
      </c>
      <c r="S452" t="str">
        <f t="shared" si="31"/>
        <v>Very_Active</v>
      </c>
    </row>
    <row r="453" spans="1:19" x14ac:dyDescent="0.25">
      <c r="A453">
        <v>5553957443</v>
      </c>
      <c r="B453" s="4">
        <v>42482</v>
      </c>
      <c r="C453">
        <v>11682</v>
      </c>
      <c r="D453" s="1">
        <v>7.6300001144409197</v>
      </c>
      <c r="E453" s="1">
        <v>7.6300001144409197</v>
      </c>
      <c r="F453" s="1">
        <v>0</v>
      </c>
      <c r="G453" s="1">
        <v>1.37999999523163</v>
      </c>
      <c r="H453" s="1">
        <v>0.62999999523162797</v>
      </c>
      <c r="I453" s="1">
        <v>5.5999999046325701</v>
      </c>
      <c r="J453" s="1">
        <v>0</v>
      </c>
      <c r="K453">
        <v>25</v>
      </c>
      <c r="L453">
        <v>16</v>
      </c>
      <c r="M453">
        <v>270</v>
      </c>
      <c r="N453">
        <v>781</v>
      </c>
      <c r="O453">
        <v>2105</v>
      </c>
      <c r="P453" t="str">
        <f t="shared" si="28"/>
        <v>Friday</v>
      </c>
      <c r="Q453">
        <f t="shared" si="29"/>
        <v>1092</v>
      </c>
      <c r="R453" t="str">
        <f t="shared" si="30"/>
        <v>Weekday</v>
      </c>
      <c r="S453" t="str">
        <f t="shared" si="31"/>
        <v>Very_Active</v>
      </c>
    </row>
    <row r="454" spans="1:19" x14ac:dyDescent="0.25">
      <c r="A454">
        <v>6962181067</v>
      </c>
      <c r="B454" s="4">
        <v>42618</v>
      </c>
      <c r="C454">
        <v>12342</v>
      </c>
      <c r="D454" s="1">
        <v>8.7200002670288104</v>
      </c>
      <c r="E454" s="1">
        <v>8.6800003051757795</v>
      </c>
      <c r="F454" s="1">
        <v>3.1678218841552699</v>
      </c>
      <c r="G454" s="1">
        <v>3.9000000953674299</v>
      </c>
      <c r="H454" s="1">
        <v>1.1799999475479099</v>
      </c>
      <c r="I454" s="1">
        <v>3.6500000953674299</v>
      </c>
      <c r="J454" s="1">
        <v>0</v>
      </c>
      <c r="K454">
        <v>43</v>
      </c>
      <c r="L454">
        <v>21</v>
      </c>
      <c r="M454">
        <v>231</v>
      </c>
      <c r="N454">
        <v>607</v>
      </c>
      <c r="O454">
        <v>2105</v>
      </c>
      <c r="P454" t="str">
        <f t="shared" si="28"/>
        <v>Monday</v>
      </c>
      <c r="Q454">
        <f t="shared" si="29"/>
        <v>902</v>
      </c>
      <c r="R454" t="str">
        <f t="shared" si="30"/>
        <v>Weekday</v>
      </c>
      <c r="S454" t="str">
        <f t="shared" si="31"/>
        <v>Very_Active</v>
      </c>
    </row>
    <row r="455" spans="1:19" x14ac:dyDescent="0.25">
      <c r="A455">
        <v>1927972279</v>
      </c>
      <c r="B455" s="4">
        <v>42478</v>
      </c>
      <c r="C455">
        <v>244</v>
      </c>
      <c r="D455" s="1">
        <v>0.17000000178813901</v>
      </c>
      <c r="E455" s="1">
        <v>0.17000000178813901</v>
      </c>
      <c r="F455" s="1">
        <v>0</v>
      </c>
      <c r="G455" s="1">
        <v>0</v>
      </c>
      <c r="H455" s="1">
        <v>0</v>
      </c>
      <c r="I455" s="1">
        <v>0.17000000178813901</v>
      </c>
      <c r="J455" s="1">
        <v>0</v>
      </c>
      <c r="K455">
        <v>0</v>
      </c>
      <c r="L455">
        <v>0</v>
      </c>
      <c r="M455">
        <v>17</v>
      </c>
      <c r="N455">
        <v>1423</v>
      </c>
      <c r="O455">
        <v>2111</v>
      </c>
      <c r="P455" t="str">
        <f t="shared" si="28"/>
        <v>Monday</v>
      </c>
      <c r="Q455">
        <f t="shared" si="29"/>
        <v>1440</v>
      </c>
      <c r="R455" t="str">
        <f t="shared" si="30"/>
        <v>Weekday</v>
      </c>
      <c r="S455" t="str">
        <f t="shared" si="31"/>
        <v>Sedentary</v>
      </c>
    </row>
    <row r="456" spans="1:19" x14ac:dyDescent="0.25">
      <c r="A456">
        <v>8253242879</v>
      </c>
      <c r="B456" s="4">
        <v>42477</v>
      </c>
      <c r="C456">
        <v>10204</v>
      </c>
      <c r="D456" s="1">
        <v>7.9099998474121103</v>
      </c>
      <c r="E456" s="1">
        <v>7.9099998474121103</v>
      </c>
      <c r="F456" s="1">
        <v>0</v>
      </c>
      <c r="G456" s="1">
        <v>5.4299998283386204</v>
      </c>
      <c r="H456" s="1">
        <v>0.15000000596046401</v>
      </c>
      <c r="I456" s="1">
        <v>2.3299999237060498</v>
      </c>
      <c r="J456" s="1">
        <v>0</v>
      </c>
      <c r="K456">
        <v>41</v>
      </c>
      <c r="L456">
        <v>5</v>
      </c>
      <c r="M456">
        <v>157</v>
      </c>
      <c r="N456">
        <v>1237</v>
      </c>
      <c r="O456">
        <v>2112</v>
      </c>
      <c r="P456" t="str">
        <f t="shared" si="28"/>
        <v>Sunday</v>
      </c>
      <c r="Q456">
        <f t="shared" si="29"/>
        <v>1440</v>
      </c>
      <c r="R456" t="str">
        <f t="shared" si="30"/>
        <v>Weekend</v>
      </c>
      <c r="S456" t="str">
        <f t="shared" si="31"/>
        <v>Very_Active</v>
      </c>
    </row>
    <row r="457" spans="1:19" x14ac:dyDescent="0.25">
      <c r="A457">
        <v>4445114986</v>
      </c>
      <c r="B457" s="4">
        <v>42708</v>
      </c>
      <c r="C457">
        <v>3276</v>
      </c>
      <c r="D457" s="1">
        <v>2.2000000476837198</v>
      </c>
      <c r="E457" s="1">
        <v>2.2000000476837198</v>
      </c>
      <c r="F457" s="1">
        <v>0</v>
      </c>
      <c r="G457" s="1">
        <v>0</v>
      </c>
      <c r="H457" s="1">
        <v>0</v>
      </c>
      <c r="I457" s="1">
        <v>2.2000000476837198</v>
      </c>
      <c r="J457" s="1">
        <v>0</v>
      </c>
      <c r="K457">
        <v>0</v>
      </c>
      <c r="L457">
        <v>0</v>
      </c>
      <c r="M457">
        <v>196</v>
      </c>
      <c r="N457">
        <v>787</v>
      </c>
      <c r="O457">
        <v>2113</v>
      </c>
      <c r="P457" t="str">
        <f t="shared" si="28"/>
        <v>Sunday</v>
      </c>
      <c r="Q457">
        <f t="shared" si="29"/>
        <v>983</v>
      </c>
      <c r="R457" t="str">
        <f t="shared" si="30"/>
        <v>Weekend</v>
      </c>
      <c r="S457" t="str">
        <f t="shared" si="31"/>
        <v>Sedentary</v>
      </c>
    </row>
    <row r="458" spans="1:19" x14ac:dyDescent="0.25">
      <c r="A458">
        <v>4319703577</v>
      </c>
      <c r="B458" s="4">
        <v>42708</v>
      </c>
      <c r="C458">
        <v>7753</v>
      </c>
      <c r="D458" s="1">
        <v>5.1999998092651403</v>
      </c>
      <c r="E458" s="1">
        <v>5.1999998092651403</v>
      </c>
      <c r="F458" s="1">
        <v>0</v>
      </c>
      <c r="G458" s="1">
        <v>0</v>
      </c>
      <c r="H458" s="1">
        <v>0</v>
      </c>
      <c r="I458" s="1">
        <v>0</v>
      </c>
      <c r="J458" s="1">
        <v>0</v>
      </c>
      <c r="K458">
        <v>0</v>
      </c>
      <c r="L458">
        <v>0</v>
      </c>
      <c r="M458">
        <v>0</v>
      </c>
      <c r="N458">
        <v>1440</v>
      </c>
      <c r="O458">
        <v>2115</v>
      </c>
      <c r="P458" t="str">
        <f t="shared" si="28"/>
        <v>Sunday</v>
      </c>
      <c r="Q458">
        <f t="shared" si="29"/>
        <v>1440</v>
      </c>
      <c r="R458" t="str">
        <f t="shared" si="30"/>
        <v>Weekend</v>
      </c>
      <c r="S458" t="str">
        <f t="shared" si="31"/>
        <v>Fairly Active</v>
      </c>
    </row>
    <row r="459" spans="1:19" x14ac:dyDescent="0.25">
      <c r="A459">
        <v>4558609924</v>
      </c>
      <c r="B459" s="4">
        <v>42478</v>
      </c>
      <c r="C459">
        <v>8940</v>
      </c>
      <c r="D459" s="1">
        <v>5.9099998474121103</v>
      </c>
      <c r="E459" s="1">
        <v>5.9099998474121103</v>
      </c>
      <c r="F459" s="1">
        <v>0</v>
      </c>
      <c r="G459" s="1">
        <v>0.980000019073486</v>
      </c>
      <c r="H459" s="1">
        <v>0.93000000715255704</v>
      </c>
      <c r="I459" s="1">
        <v>4</v>
      </c>
      <c r="J459" s="1">
        <v>0</v>
      </c>
      <c r="K459">
        <v>14</v>
      </c>
      <c r="L459">
        <v>15</v>
      </c>
      <c r="M459">
        <v>331</v>
      </c>
      <c r="N459">
        <v>1080</v>
      </c>
      <c r="O459">
        <v>2116</v>
      </c>
      <c r="P459" t="str">
        <f t="shared" si="28"/>
        <v>Monday</v>
      </c>
      <c r="Q459">
        <f t="shared" si="29"/>
        <v>1440</v>
      </c>
      <c r="R459" t="str">
        <f t="shared" si="30"/>
        <v>Weekday</v>
      </c>
      <c r="S459" t="str">
        <f t="shared" si="31"/>
        <v>Fairly Active</v>
      </c>
    </row>
    <row r="460" spans="1:19" x14ac:dyDescent="0.25">
      <c r="A460">
        <v>5553957443</v>
      </c>
      <c r="B460" s="4">
        <v>42434</v>
      </c>
      <c r="C460">
        <v>12848</v>
      </c>
      <c r="D460" s="1">
        <v>8.3900003433227504</v>
      </c>
      <c r="E460" s="1">
        <v>8.3900003433227504</v>
      </c>
      <c r="F460" s="1">
        <v>0</v>
      </c>
      <c r="G460" s="1">
        <v>1.5</v>
      </c>
      <c r="H460" s="1">
        <v>1.20000004768372</v>
      </c>
      <c r="I460" s="1">
        <v>5.6799998283386204</v>
      </c>
      <c r="J460" s="1">
        <v>0</v>
      </c>
      <c r="K460">
        <v>26</v>
      </c>
      <c r="L460">
        <v>29</v>
      </c>
      <c r="M460">
        <v>247</v>
      </c>
      <c r="N460">
        <v>812</v>
      </c>
      <c r="O460">
        <v>2116</v>
      </c>
      <c r="P460" t="str">
        <f t="shared" si="28"/>
        <v>Saturday</v>
      </c>
      <c r="Q460">
        <f t="shared" si="29"/>
        <v>1114</v>
      </c>
      <c r="R460" t="str">
        <f t="shared" si="30"/>
        <v>Weekend</v>
      </c>
      <c r="S460" t="str">
        <f t="shared" si="31"/>
        <v>Very_Active</v>
      </c>
    </row>
    <row r="461" spans="1:19" x14ac:dyDescent="0.25">
      <c r="A461">
        <v>4558609924</v>
      </c>
      <c r="B461" s="4">
        <v>42477</v>
      </c>
      <c r="C461">
        <v>9634</v>
      </c>
      <c r="D461" s="1">
        <v>6.4000000953674299</v>
      </c>
      <c r="E461" s="1">
        <v>6.4000000953674299</v>
      </c>
      <c r="F461" s="1">
        <v>0</v>
      </c>
      <c r="G461" s="1">
        <v>0.55000001192092896</v>
      </c>
      <c r="H461" s="1">
        <v>1.1399999856948899</v>
      </c>
      <c r="I461" s="1">
        <v>4.71000003814697</v>
      </c>
      <c r="J461" s="1">
        <v>0</v>
      </c>
      <c r="K461">
        <v>7</v>
      </c>
      <c r="L461">
        <v>19</v>
      </c>
      <c r="M461">
        <v>304</v>
      </c>
      <c r="N461">
        <v>1110</v>
      </c>
      <c r="O461">
        <v>2117</v>
      </c>
      <c r="P461" t="str">
        <f t="shared" si="28"/>
        <v>Sunday</v>
      </c>
      <c r="Q461">
        <f t="shared" si="29"/>
        <v>1440</v>
      </c>
      <c r="R461" t="str">
        <f t="shared" si="30"/>
        <v>Weekend</v>
      </c>
      <c r="S461" t="str">
        <f t="shared" si="31"/>
        <v>Fairly Active</v>
      </c>
    </row>
    <row r="462" spans="1:19" x14ac:dyDescent="0.25">
      <c r="A462">
        <v>4445114986</v>
      </c>
      <c r="B462" s="4">
        <v>42495</v>
      </c>
      <c r="C462">
        <v>3800</v>
      </c>
      <c r="D462" s="1">
        <v>2.5499999523162802</v>
      </c>
      <c r="E462" s="1">
        <v>2.5499999523162802</v>
      </c>
      <c r="F462" s="1">
        <v>0</v>
      </c>
      <c r="G462" s="1">
        <v>0.119999997317791</v>
      </c>
      <c r="H462" s="1">
        <v>0.239999994635582</v>
      </c>
      <c r="I462" s="1">
        <v>2.1800000667571999</v>
      </c>
      <c r="J462" s="1">
        <v>0</v>
      </c>
      <c r="K462">
        <v>2</v>
      </c>
      <c r="L462">
        <v>6</v>
      </c>
      <c r="M462">
        <v>185</v>
      </c>
      <c r="N462">
        <v>734</v>
      </c>
      <c r="O462">
        <v>2120</v>
      </c>
      <c r="P462" t="str">
        <f t="shared" si="28"/>
        <v>Thursday</v>
      </c>
      <c r="Q462">
        <f t="shared" si="29"/>
        <v>927</v>
      </c>
      <c r="R462" t="str">
        <f t="shared" si="30"/>
        <v>Weekday</v>
      </c>
      <c r="S462" t="str">
        <f t="shared" si="31"/>
        <v>Sedentary</v>
      </c>
    </row>
    <row r="463" spans="1:19" x14ac:dyDescent="0.25">
      <c r="A463">
        <v>4558609924</v>
      </c>
      <c r="B463" s="4">
        <v>42475</v>
      </c>
      <c r="C463">
        <v>7795</v>
      </c>
      <c r="D463" s="1">
        <v>5.1500000953674299</v>
      </c>
      <c r="E463" s="1">
        <v>5.1500000953674299</v>
      </c>
      <c r="F463" s="1">
        <v>0</v>
      </c>
      <c r="G463" s="1">
        <v>0.58999997377395597</v>
      </c>
      <c r="H463" s="1">
        <v>0.83999997377395597</v>
      </c>
      <c r="I463" s="1">
        <v>3.7300000190734899</v>
      </c>
      <c r="J463" s="1">
        <v>0</v>
      </c>
      <c r="K463">
        <v>17</v>
      </c>
      <c r="L463">
        <v>30</v>
      </c>
      <c r="M463">
        <v>262</v>
      </c>
      <c r="N463">
        <v>1131</v>
      </c>
      <c r="O463">
        <v>2121</v>
      </c>
      <c r="P463" t="str">
        <f t="shared" si="28"/>
        <v>Friday</v>
      </c>
      <c r="Q463">
        <f t="shared" si="29"/>
        <v>1440</v>
      </c>
      <c r="R463" t="str">
        <f t="shared" si="30"/>
        <v>Weekday</v>
      </c>
      <c r="S463" t="str">
        <f t="shared" si="31"/>
        <v>Fairly Active</v>
      </c>
    </row>
    <row r="464" spans="1:19" x14ac:dyDescent="0.25">
      <c r="A464">
        <v>4445114986</v>
      </c>
      <c r="B464" s="4">
        <v>42556</v>
      </c>
      <c r="C464">
        <v>5183</v>
      </c>
      <c r="D464" s="1">
        <v>3.5899999141693102</v>
      </c>
      <c r="E464" s="1">
        <v>3.5899999141693102</v>
      </c>
      <c r="F464" s="1">
        <v>0</v>
      </c>
      <c r="G464" s="1">
        <v>2.1300001144409202</v>
      </c>
      <c r="H464" s="1">
        <v>0.18999999761581399</v>
      </c>
      <c r="I464" s="1">
        <v>1.25</v>
      </c>
      <c r="J464" s="1">
        <v>0</v>
      </c>
      <c r="K464">
        <v>26</v>
      </c>
      <c r="L464">
        <v>4</v>
      </c>
      <c r="M464">
        <v>108</v>
      </c>
      <c r="N464">
        <v>866</v>
      </c>
      <c r="O464">
        <v>2123</v>
      </c>
      <c r="P464" t="str">
        <f t="shared" si="28"/>
        <v>Tuesday</v>
      </c>
      <c r="Q464">
        <f t="shared" si="29"/>
        <v>1004</v>
      </c>
      <c r="R464" t="str">
        <f t="shared" si="30"/>
        <v>Weekday</v>
      </c>
      <c r="S464" t="str">
        <f t="shared" si="31"/>
        <v>Lightly Active</v>
      </c>
    </row>
    <row r="465" spans="1:19" x14ac:dyDescent="0.25">
      <c r="A465">
        <v>3372868164</v>
      </c>
      <c r="B465" s="4">
        <v>42481</v>
      </c>
      <c r="C465">
        <v>8857</v>
      </c>
      <c r="D465" s="1">
        <v>6.0700001716613796</v>
      </c>
      <c r="E465" s="1">
        <v>6.0700001716613796</v>
      </c>
      <c r="F465" s="1">
        <v>0</v>
      </c>
      <c r="G465" s="1">
        <v>1.1499999761581401</v>
      </c>
      <c r="H465" s="1">
        <v>0.259999990463257</v>
      </c>
      <c r="I465" s="1">
        <v>4.6399998664856001</v>
      </c>
      <c r="J465" s="1">
        <v>9.9999997764825804E-3</v>
      </c>
      <c r="K465">
        <v>18</v>
      </c>
      <c r="L465">
        <v>9</v>
      </c>
      <c r="M465">
        <v>376</v>
      </c>
      <c r="N465">
        <v>1037</v>
      </c>
      <c r="O465">
        <v>2124</v>
      </c>
      <c r="P465" t="str">
        <f t="shared" si="28"/>
        <v>Thursday</v>
      </c>
      <c r="Q465">
        <f t="shared" si="29"/>
        <v>1440</v>
      </c>
      <c r="R465" t="str">
        <f t="shared" si="30"/>
        <v>Weekday</v>
      </c>
      <c r="S465" t="str">
        <f t="shared" si="31"/>
        <v>Fairly Active</v>
      </c>
    </row>
    <row r="466" spans="1:19" x14ac:dyDescent="0.25">
      <c r="A466">
        <v>2320127002</v>
      </c>
      <c r="B466" s="4">
        <v>42708</v>
      </c>
      <c r="C466">
        <v>10725</v>
      </c>
      <c r="D466" s="1">
        <v>7.4899997711181596</v>
      </c>
      <c r="E466" s="1">
        <v>7.4899997711181596</v>
      </c>
      <c r="F466" s="1">
        <v>0</v>
      </c>
      <c r="G466" s="1">
        <v>1.16999995708466</v>
      </c>
      <c r="H466" s="1">
        <v>0.31000000238418601</v>
      </c>
      <c r="I466" s="1">
        <v>6.0100002288818404</v>
      </c>
      <c r="J466" s="1">
        <v>0</v>
      </c>
      <c r="K466">
        <v>13</v>
      </c>
      <c r="L466">
        <v>9</v>
      </c>
      <c r="M466">
        <v>306</v>
      </c>
      <c r="N466">
        <v>1112</v>
      </c>
      <c r="O466">
        <v>2124</v>
      </c>
      <c r="P466" t="str">
        <f t="shared" si="28"/>
        <v>Sunday</v>
      </c>
      <c r="Q466">
        <f t="shared" si="29"/>
        <v>1440</v>
      </c>
      <c r="R466" t="str">
        <f t="shared" si="30"/>
        <v>Weekend</v>
      </c>
      <c r="S466" t="str">
        <f t="shared" si="31"/>
        <v>Very_Active</v>
      </c>
    </row>
    <row r="467" spans="1:19" x14ac:dyDescent="0.25">
      <c r="A467">
        <v>6775888955</v>
      </c>
      <c r="B467" s="4">
        <v>42475</v>
      </c>
      <c r="C467">
        <v>1282</v>
      </c>
      <c r="D467" s="1">
        <v>0.92000001668930098</v>
      </c>
      <c r="E467" s="1">
        <v>0.92000001668930098</v>
      </c>
      <c r="F467" s="1">
        <v>0</v>
      </c>
      <c r="G467" s="1">
        <v>0</v>
      </c>
      <c r="H467" s="1">
        <v>0</v>
      </c>
      <c r="I467" s="1">
        <v>0.92000001668930098</v>
      </c>
      <c r="J467" s="1">
        <v>0</v>
      </c>
      <c r="K467">
        <v>0</v>
      </c>
      <c r="L467">
        <v>0</v>
      </c>
      <c r="M467">
        <v>58</v>
      </c>
      <c r="N467">
        <v>976</v>
      </c>
      <c r="O467">
        <v>2127</v>
      </c>
      <c r="P467" t="str">
        <f t="shared" si="28"/>
        <v>Friday</v>
      </c>
      <c r="Q467">
        <f t="shared" si="29"/>
        <v>1034</v>
      </c>
      <c r="R467" t="str">
        <f t="shared" si="30"/>
        <v>Weekday</v>
      </c>
      <c r="S467" t="str">
        <f t="shared" si="31"/>
        <v>Sedentary</v>
      </c>
    </row>
    <row r="468" spans="1:19" x14ac:dyDescent="0.25">
      <c r="A468">
        <v>1844505072</v>
      </c>
      <c r="B468" s="4">
        <v>42474</v>
      </c>
      <c r="C468">
        <v>7937</v>
      </c>
      <c r="D468" s="1">
        <v>5.25</v>
      </c>
      <c r="E468" s="1">
        <v>5.25</v>
      </c>
      <c r="F468" s="1">
        <v>0</v>
      </c>
      <c r="G468" s="1">
        <v>0</v>
      </c>
      <c r="H468" s="1">
        <v>0</v>
      </c>
      <c r="I468" s="1">
        <v>5.2300000190734899</v>
      </c>
      <c r="J468" s="1">
        <v>0</v>
      </c>
      <c r="K468">
        <v>0</v>
      </c>
      <c r="L468">
        <v>0</v>
      </c>
      <c r="M468">
        <v>373</v>
      </c>
      <c r="N468">
        <v>843</v>
      </c>
      <c r="O468">
        <v>2130</v>
      </c>
      <c r="P468" t="str">
        <f t="shared" si="28"/>
        <v>Thursday</v>
      </c>
      <c r="Q468">
        <f t="shared" si="29"/>
        <v>1216</v>
      </c>
      <c r="R468" t="str">
        <f t="shared" si="30"/>
        <v>Weekday</v>
      </c>
      <c r="S468" t="str">
        <f t="shared" si="31"/>
        <v>Fairly Active</v>
      </c>
    </row>
    <row r="469" spans="1:19" x14ac:dyDescent="0.25">
      <c r="A469">
        <v>4558609924</v>
      </c>
      <c r="B469" s="4">
        <v>42679</v>
      </c>
      <c r="C469">
        <v>9108</v>
      </c>
      <c r="D469" s="1">
        <v>6.0199999809265101</v>
      </c>
      <c r="E469" s="1">
        <v>6.0199999809265101</v>
      </c>
      <c r="F469" s="1">
        <v>0</v>
      </c>
      <c r="G469" s="1">
        <v>0.259999990463257</v>
      </c>
      <c r="H469" s="1">
        <v>1.8200000524520901</v>
      </c>
      <c r="I469" s="1">
        <v>3.9400000572204599</v>
      </c>
      <c r="J469" s="1">
        <v>0</v>
      </c>
      <c r="K469">
        <v>4</v>
      </c>
      <c r="L469">
        <v>31</v>
      </c>
      <c r="M469">
        <v>324</v>
      </c>
      <c r="N469">
        <v>1081</v>
      </c>
      <c r="O469">
        <v>2131</v>
      </c>
      <c r="P469" t="str">
        <f t="shared" si="28"/>
        <v>Saturday</v>
      </c>
      <c r="Q469">
        <f t="shared" si="29"/>
        <v>1440</v>
      </c>
      <c r="R469" t="str">
        <f t="shared" si="30"/>
        <v>Weekend</v>
      </c>
      <c r="S469" t="str">
        <f t="shared" si="31"/>
        <v>Fairly Active</v>
      </c>
    </row>
    <row r="470" spans="1:19" x14ac:dyDescent="0.25">
      <c r="A470">
        <v>8253242879</v>
      </c>
      <c r="B470" s="4">
        <v>42483</v>
      </c>
      <c r="C470">
        <v>9282</v>
      </c>
      <c r="D470" s="1">
        <v>6.2600002288818404</v>
      </c>
      <c r="E470" s="1">
        <v>6.2600002288818404</v>
      </c>
      <c r="F470" s="1">
        <v>0</v>
      </c>
      <c r="G470" s="1">
        <v>2.0899999141693102</v>
      </c>
      <c r="H470" s="1">
        <v>1.03999996185303</v>
      </c>
      <c r="I470" s="1">
        <v>3.1300001144409202</v>
      </c>
      <c r="J470" s="1">
        <v>0</v>
      </c>
      <c r="K470">
        <v>30</v>
      </c>
      <c r="L470">
        <v>26</v>
      </c>
      <c r="M470">
        <v>191</v>
      </c>
      <c r="N470">
        <v>1193</v>
      </c>
      <c r="O470">
        <v>2132</v>
      </c>
      <c r="P470" t="str">
        <f t="shared" si="28"/>
        <v>Saturday</v>
      </c>
      <c r="Q470">
        <f t="shared" si="29"/>
        <v>1440</v>
      </c>
      <c r="R470" t="str">
        <f t="shared" si="30"/>
        <v>Weekend</v>
      </c>
      <c r="S470" t="str">
        <f t="shared" si="31"/>
        <v>Fairly Active</v>
      </c>
    </row>
    <row r="471" spans="1:19" x14ac:dyDescent="0.25">
      <c r="A471">
        <v>2347167796</v>
      </c>
      <c r="B471" s="4">
        <v>42475</v>
      </c>
      <c r="C471">
        <v>10465</v>
      </c>
      <c r="D471" s="1">
        <v>6.9200000762939498</v>
      </c>
      <c r="E471" s="1">
        <v>6.9200000762939498</v>
      </c>
      <c r="F471" s="1">
        <v>0</v>
      </c>
      <c r="G471" s="1">
        <v>7.0000000298023196E-2</v>
      </c>
      <c r="H471" s="1">
        <v>1.41999995708466</v>
      </c>
      <c r="I471" s="1">
        <v>5.4299998283386204</v>
      </c>
      <c r="J471" s="1">
        <v>0</v>
      </c>
      <c r="K471">
        <v>1</v>
      </c>
      <c r="L471">
        <v>24</v>
      </c>
      <c r="M471">
        <v>284</v>
      </c>
      <c r="N471">
        <v>720</v>
      </c>
      <c r="O471">
        <v>2133</v>
      </c>
      <c r="P471" t="str">
        <f t="shared" si="28"/>
        <v>Friday</v>
      </c>
      <c r="Q471">
        <f t="shared" si="29"/>
        <v>1029</v>
      </c>
      <c r="R471" t="str">
        <f t="shared" si="30"/>
        <v>Weekday</v>
      </c>
      <c r="S471" t="str">
        <f t="shared" si="31"/>
        <v>Very_Active</v>
      </c>
    </row>
    <row r="472" spans="1:19" x14ac:dyDescent="0.25">
      <c r="A472">
        <v>4319703577</v>
      </c>
      <c r="B472" s="4">
        <v>42473</v>
      </c>
      <c r="C472">
        <v>8204</v>
      </c>
      <c r="D472" s="1">
        <v>5.5</v>
      </c>
      <c r="E472" s="1">
        <v>5.5</v>
      </c>
      <c r="F472" s="1">
        <v>0</v>
      </c>
      <c r="G472" s="1">
        <v>0.52999997138977095</v>
      </c>
      <c r="H472" s="1">
        <v>0.58999997377395597</v>
      </c>
      <c r="I472" s="1">
        <v>1.3099999427795399</v>
      </c>
      <c r="J472" s="1">
        <v>0</v>
      </c>
      <c r="K472">
        <v>8</v>
      </c>
      <c r="L472">
        <v>15</v>
      </c>
      <c r="M472">
        <v>96</v>
      </c>
      <c r="N472">
        <v>1234</v>
      </c>
      <c r="O472">
        <v>2135</v>
      </c>
      <c r="P472" t="str">
        <f t="shared" si="28"/>
        <v>Wednesday</v>
      </c>
      <c r="Q472">
        <f t="shared" si="29"/>
        <v>1353</v>
      </c>
      <c r="R472" t="str">
        <f t="shared" si="30"/>
        <v>Weekday</v>
      </c>
      <c r="S472" t="str">
        <f t="shared" si="31"/>
        <v>Fairly Active</v>
      </c>
    </row>
    <row r="473" spans="1:19" x14ac:dyDescent="0.25">
      <c r="A473">
        <v>1644430081</v>
      </c>
      <c r="B473" s="4">
        <v>42481</v>
      </c>
      <c r="C473">
        <v>1223</v>
      </c>
      <c r="D473" s="1">
        <v>0.88999998569488503</v>
      </c>
      <c r="E473" s="1">
        <v>0.88999998569488503</v>
      </c>
      <c r="F473" s="1">
        <v>0</v>
      </c>
      <c r="G473" s="1">
        <v>0</v>
      </c>
      <c r="H473" s="1">
        <v>0</v>
      </c>
      <c r="I473" s="1">
        <v>0.87999999523162797</v>
      </c>
      <c r="J473" s="1">
        <v>9.9999997764825804E-3</v>
      </c>
      <c r="K473">
        <v>0</v>
      </c>
      <c r="L473">
        <v>0</v>
      </c>
      <c r="M473">
        <v>38</v>
      </c>
      <c r="N473">
        <v>1402</v>
      </c>
      <c r="O473">
        <v>2140</v>
      </c>
      <c r="P473" t="str">
        <f t="shared" si="28"/>
        <v>Thursday</v>
      </c>
      <c r="Q473">
        <f t="shared" si="29"/>
        <v>1440</v>
      </c>
      <c r="R473" t="str">
        <f t="shared" si="30"/>
        <v>Weekday</v>
      </c>
      <c r="S473" t="str">
        <f t="shared" si="31"/>
        <v>Sedentary</v>
      </c>
    </row>
    <row r="474" spans="1:19" x14ac:dyDescent="0.25">
      <c r="A474">
        <v>2873212765</v>
      </c>
      <c r="B474" s="4">
        <v>42476</v>
      </c>
      <c r="C474">
        <v>9685</v>
      </c>
      <c r="D474" s="1">
        <v>6.6500000953674299</v>
      </c>
      <c r="E474" s="1">
        <v>6.6500000953674299</v>
      </c>
      <c r="F474" s="1">
        <v>0</v>
      </c>
      <c r="G474" s="1">
        <v>3.1099998950958301</v>
      </c>
      <c r="H474" s="1">
        <v>1.9999999552965199E-2</v>
      </c>
      <c r="I474" s="1">
        <v>3.5099999904632599</v>
      </c>
      <c r="J474" s="1">
        <v>9.9999997764825804E-3</v>
      </c>
      <c r="K474">
        <v>47</v>
      </c>
      <c r="L474">
        <v>1</v>
      </c>
      <c r="M474">
        <v>305</v>
      </c>
      <c r="N474">
        <v>1087</v>
      </c>
      <c r="O474">
        <v>2148</v>
      </c>
      <c r="P474" t="str">
        <f t="shared" si="28"/>
        <v>Saturday</v>
      </c>
      <c r="Q474">
        <f t="shared" si="29"/>
        <v>1440</v>
      </c>
      <c r="R474" t="str">
        <f t="shared" si="30"/>
        <v>Weekend</v>
      </c>
      <c r="S474" t="str">
        <f t="shared" si="31"/>
        <v>Fairly Active</v>
      </c>
    </row>
    <row r="475" spans="1:19" x14ac:dyDescent="0.25">
      <c r="A475">
        <v>4445114986</v>
      </c>
      <c r="B475" s="4">
        <v>42483</v>
      </c>
      <c r="C475">
        <v>4363</v>
      </c>
      <c r="D475" s="1">
        <v>2.9300000667571999</v>
      </c>
      <c r="E475" s="1">
        <v>2.9300000667571999</v>
      </c>
      <c r="F475" s="1">
        <v>0</v>
      </c>
      <c r="G475" s="1">
        <v>0</v>
      </c>
      <c r="H475" s="1">
        <v>0</v>
      </c>
      <c r="I475" s="1">
        <v>2.9300000667571999</v>
      </c>
      <c r="J475" s="1">
        <v>0</v>
      </c>
      <c r="K475">
        <v>0</v>
      </c>
      <c r="L475">
        <v>0</v>
      </c>
      <c r="M475">
        <v>201</v>
      </c>
      <c r="N475">
        <v>1239</v>
      </c>
      <c r="O475">
        <v>2149</v>
      </c>
      <c r="P475" t="str">
        <f t="shared" si="28"/>
        <v>Saturday</v>
      </c>
      <c r="Q475">
        <f t="shared" si="29"/>
        <v>1440</v>
      </c>
      <c r="R475" t="str">
        <f t="shared" si="30"/>
        <v>Weekend</v>
      </c>
      <c r="S475" t="str">
        <f t="shared" si="31"/>
        <v>Sedentary</v>
      </c>
    </row>
    <row r="476" spans="1:19" x14ac:dyDescent="0.25">
      <c r="A476">
        <v>4445114986</v>
      </c>
      <c r="B476" s="4">
        <v>42481</v>
      </c>
      <c r="C476">
        <v>3809</v>
      </c>
      <c r="D476" s="1">
        <v>2.5599999427795401</v>
      </c>
      <c r="E476" s="1">
        <v>2.5599999427795401</v>
      </c>
      <c r="F476" s="1">
        <v>0</v>
      </c>
      <c r="G476" s="1">
        <v>0</v>
      </c>
      <c r="H476" s="1">
        <v>0</v>
      </c>
      <c r="I476" s="1">
        <v>2.53999996185303</v>
      </c>
      <c r="J476" s="1">
        <v>0</v>
      </c>
      <c r="K476">
        <v>0</v>
      </c>
      <c r="L476">
        <v>0</v>
      </c>
      <c r="M476">
        <v>215</v>
      </c>
      <c r="N476">
        <v>756</v>
      </c>
      <c r="O476">
        <v>2150</v>
      </c>
      <c r="P476" t="str">
        <f t="shared" si="28"/>
        <v>Thursday</v>
      </c>
      <c r="Q476">
        <f t="shared" si="29"/>
        <v>971</v>
      </c>
      <c r="R476" t="str">
        <f t="shared" si="30"/>
        <v>Weekday</v>
      </c>
      <c r="S476" t="str">
        <f t="shared" si="31"/>
        <v>Sedentary</v>
      </c>
    </row>
    <row r="477" spans="1:19" x14ac:dyDescent="0.25">
      <c r="A477">
        <v>1927972279</v>
      </c>
      <c r="B477" s="4">
        <v>42473</v>
      </c>
      <c r="C477">
        <v>356</v>
      </c>
      <c r="D477" s="1">
        <v>0.25</v>
      </c>
      <c r="E477" s="1">
        <v>0.25</v>
      </c>
      <c r="F477" s="1">
        <v>0</v>
      </c>
      <c r="G477" s="1">
        <v>0</v>
      </c>
      <c r="H477" s="1">
        <v>0</v>
      </c>
      <c r="I477" s="1">
        <v>0.25</v>
      </c>
      <c r="J477" s="1">
        <v>0</v>
      </c>
      <c r="K477">
        <v>0</v>
      </c>
      <c r="L477">
        <v>0</v>
      </c>
      <c r="M477">
        <v>32</v>
      </c>
      <c r="N477">
        <v>986</v>
      </c>
      <c r="O477">
        <v>2151</v>
      </c>
      <c r="P477" t="str">
        <f t="shared" si="28"/>
        <v>Wednesday</v>
      </c>
      <c r="Q477">
        <f t="shared" si="29"/>
        <v>1018</v>
      </c>
      <c r="R477" t="str">
        <f t="shared" si="30"/>
        <v>Weekday</v>
      </c>
      <c r="S477" t="str">
        <f t="shared" si="31"/>
        <v>Sedentary</v>
      </c>
    </row>
    <row r="478" spans="1:19" x14ac:dyDescent="0.25">
      <c r="A478">
        <v>5553957443</v>
      </c>
      <c r="B478" s="4">
        <v>42495</v>
      </c>
      <c r="C478">
        <v>14331</v>
      </c>
      <c r="D478" s="1">
        <v>9.5100002288818395</v>
      </c>
      <c r="E478" s="1">
        <v>9.5100002288818395</v>
      </c>
      <c r="F478" s="1">
        <v>0</v>
      </c>
      <c r="G478" s="1">
        <v>3.4300000667571999</v>
      </c>
      <c r="H478" s="1">
        <v>1.6599999666214</v>
      </c>
      <c r="I478" s="1">
        <v>4.4299998283386204</v>
      </c>
      <c r="J478" s="1">
        <v>0</v>
      </c>
      <c r="K478">
        <v>44</v>
      </c>
      <c r="L478">
        <v>29</v>
      </c>
      <c r="M478">
        <v>241</v>
      </c>
      <c r="N478">
        <v>692</v>
      </c>
      <c r="O478">
        <v>2156</v>
      </c>
      <c r="P478" t="str">
        <f t="shared" si="28"/>
        <v>Thursday</v>
      </c>
      <c r="Q478">
        <f t="shared" si="29"/>
        <v>1006</v>
      </c>
      <c r="R478" t="str">
        <f t="shared" si="30"/>
        <v>Weekday</v>
      </c>
      <c r="S478" t="str">
        <f t="shared" si="31"/>
        <v>Very_Active</v>
      </c>
    </row>
    <row r="479" spans="1:19" x14ac:dyDescent="0.25">
      <c r="A479">
        <v>4319703577</v>
      </c>
      <c r="B479" s="4">
        <v>42556</v>
      </c>
      <c r="C479">
        <v>7937</v>
      </c>
      <c r="D479" s="1">
        <v>5.3299999237060502</v>
      </c>
      <c r="E479" s="1">
        <v>5.3299999237060502</v>
      </c>
      <c r="F479" s="1">
        <v>0</v>
      </c>
      <c r="G479" s="1">
        <v>0.18999999761581399</v>
      </c>
      <c r="H479" s="1">
        <v>1.04999995231628</v>
      </c>
      <c r="I479" s="1">
        <v>4.0799999237060502</v>
      </c>
      <c r="J479" s="1">
        <v>0</v>
      </c>
      <c r="K479">
        <v>3</v>
      </c>
      <c r="L479">
        <v>28</v>
      </c>
      <c r="M479">
        <v>279</v>
      </c>
      <c r="N479">
        <v>586</v>
      </c>
      <c r="O479">
        <v>2158</v>
      </c>
      <c r="P479" t="str">
        <f t="shared" si="28"/>
        <v>Tuesday</v>
      </c>
      <c r="Q479">
        <f t="shared" si="29"/>
        <v>896</v>
      </c>
      <c r="R479" t="str">
        <f t="shared" si="30"/>
        <v>Weekday</v>
      </c>
      <c r="S479" t="str">
        <f t="shared" si="31"/>
        <v>Fairly Active</v>
      </c>
    </row>
    <row r="480" spans="1:19" x14ac:dyDescent="0.25">
      <c r="A480">
        <v>1503960366</v>
      </c>
      <c r="B480" s="4">
        <v>42487</v>
      </c>
      <c r="C480">
        <v>18134</v>
      </c>
      <c r="D480" s="1">
        <v>12.210000038146999</v>
      </c>
      <c r="E480" s="1">
        <v>12.210000038146999</v>
      </c>
      <c r="F480" s="1">
        <v>0</v>
      </c>
      <c r="G480" s="1">
        <v>6.4000000953674299</v>
      </c>
      <c r="H480" s="1">
        <v>0.40999999642372098</v>
      </c>
      <c r="I480" s="1">
        <v>5.4099998474121103</v>
      </c>
      <c r="J480" s="1">
        <v>0</v>
      </c>
      <c r="K480">
        <v>78</v>
      </c>
      <c r="L480">
        <v>11</v>
      </c>
      <c r="M480">
        <v>243</v>
      </c>
      <c r="N480">
        <v>1108</v>
      </c>
      <c r="O480">
        <v>2159</v>
      </c>
      <c r="P480" t="str">
        <f t="shared" si="28"/>
        <v>Wednesday</v>
      </c>
      <c r="Q480">
        <f t="shared" si="29"/>
        <v>1440</v>
      </c>
      <c r="R480" t="str">
        <f t="shared" si="30"/>
        <v>Weekday</v>
      </c>
      <c r="S480" t="str">
        <f t="shared" si="31"/>
        <v>Very_Active</v>
      </c>
    </row>
    <row r="481" spans="1:19" x14ac:dyDescent="0.25">
      <c r="A481">
        <v>6962181067</v>
      </c>
      <c r="B481" s="4">
        <v>42405</v>
      </c>
      <c r="C481">
        <v>12912</v>
      </c>
      <c r="D481" s="1">
        <v>8.5399999618530291</v>
      </c>
      <c r="E481" s="1">
        <v>8.5399999618530291</v>
      </c>
      <c r="F481" s="1">
        <v>0</v>
      </c>
      <c r="G481" s="1">
        <v>1.20000004768372</v>
      </c>
      <c r="H481" s="1">
        <v>2</v>
      </c>
      <c r="I481" s="1">
        <v>5.3400001525878897</v>
      </c>
      <c r="J481" s="1">
        <v>0</v>
      </c>
      <c r="K481">
        <v>18</v>
      </c>
      <c r="L481">
        <v>39</v>
      </c>
      <c r="M481">
        <v>313</v>
      </c>
      <c r="N481">
        <v>655</v>
      </c>
      <c r="O481">
        <v>2162</v>
      </c>
      <c r="P481" t="str">
        <f t="shared" si="28"/>
        <v>Friday</v>
      </c>
      <c r="Q481">
        <f t="shared" si="29"/>
        <v>1025</v>
      </c>
      <c r="R481" t="str">
        <f t="shared" si="30"/>
        <v>Weekday</v>
      </c>
      <c r="S481" t="str">
        <f t="shared" si="31"/>
        <v>Very_Active</v>
      </c>
    </row>
    <row r="482" spans="1:19" x14ac:dyDescent="0.25">
      <c r="A482">
        <v>5553957443</v>
      </c>
      <c r="B482" s="4">
        <v>42489</v>
      </c>
      <c r="C482">
        <v>12764</v>
      </c>
      <c r="D482" s="1">
        <v>8.3299999237060494</v>
      </c>
      <c r="E482" s="1">
        <v>8.3299999237060494</v>
      </c>
      <c r="F482" s="1">
        <v>0</v>
      </c>
      <c r="G482" s="1">
        <v>2.78999996185303</v>
      </c>
      <c r="H482" s="1">
        <v>0.63999998569488503</v>
      </c>
      <c r="I482" s="1">
        <v>4.9099998474121103</v>
      </c>
      <c r="J482" s="1">
        <v>0</v>
      </c>
      <c r="K482">
        <v>46</v>
      </c>
      <c r="L482">
        <v>15</v>
      </c>
      <c r="M482">
        <v>270</v>
      </c>
      <c r="N482">
        <v>709</v>
      </c>
      <c r="O482">
        <v>2169</v>
      </c>
      <c r="P482" t="str">
        <f t="shared" si="28"/>
        <v>Friday</v>
      </c>
      <c r="Q482">
        <f t="shared" si="29"/>
        <v>1040</v>
      </c>
      <c r="R482" t="str">
        <f t="shared" si="30"/>
        <v>Weekday</v>
      </c>
      <c r="S482" t="str">
        <f t="shared" si="31"/>
        <v>Very_Active</v>
      </c>
    </row>
    <row r="483" spans="1:19" x14ac:dyDescent="0.25">
      <c r="A483">
        <v>4558609924</v>
      </c>
      <c r="B483" s="4">
        <v>42484</v>
      </c>
      <c r="C483">
        <v>8563</v>
      </c>
      <c r="D483" s="1">
        <v>5.6599998474121103</v>
      </c>
      <c r="E483" s="1">
        <v>5.6599998474121103</v>
      </c>
      <c r="F483" s="1">
        <v>0</v>
      </c>
      <c r="G483" s="1">
        <v>0</v>
      </c>
      <c r="H483" s="1">
        <v>0</v>
      </c>
      <c r="I483" s="1">
        <v>5.6500000953674299</v>
      </c>
      <c r="J483" s="1">
        <v>0</v>
      </c>
      <c r="K483">
        <v>0</v>
      </c>
      <c r="L483">
        <v>0</v>
      </c>
      <c r="M483">
        <v>395</v>
      </c>
      <c r="N483">
        <v>1045</v>
      </c>
      <c r="O483">
        <v>2173</v>
      </c>
      <c r="P483" t="str">
        <f t="shared" si="28"/>
        <v>Sunday</v>
      </c>
      <c r="Q483">
        <f t="shared" si="29"/>
        <v>1440</v>
      </c>
      <c r="R483" t="str">
        <f t="shared" si="30"/>
        <v>Weekend</v>
      </c>
      <c r="S483" t="str">
        <f t="shared" si="31"/>
        <v>Fairly Active</v>
      </c>
    </row>
    <row r="484" spans="1:19" x14ac:dyDescent="0.25">
      <c r="A484">
        <v>6962181067</v>
      </c>
      <c r="B484" s="4">
        <v>42476</v>
      </c>
      <c r="C484">
        <v>13217</v>
      </c>
      <c r="D484" s="1">
        <v>8.7399997711181605</v>
      </c>
      <c r="E484" s="1">
        <v>8.7399997711181605</v>
      </c>
      <c r="F484" s="1">
        <v>0</v>
      </c>
      <c r="G484" s="1">
        <v>3.6600000858306898</v>
      </c>
      <c r="H484" s="1">
        <v>0.18999999761581399</v>
      </c>
      <c r="I484" s="1">
        <v>4.8800001144409197</v>
      </c>
      <c r="J484" s="1">
        <v>0</v>
      </c>
      <c r="K484">
        <v>50</v>
      </c>
      <c r="L484">
        <v>3</v>
      </c>
      <c r="M484">
        <v>280</v>
      </c>
      <c r="N484">
        <v>741</v>
      </c>
      <c r="O484">
        <v>2173</v>
      </c>
      <c r="P484" t="str">
        <f t="shared" si="28"/>
        <v>Saturday</v>
      </c>
      <c r="Q484">
        <f t="shared" si="29"/>
        <v>1074</v>
      </c>
      <c r="R484" t="str">
        <f t="shared" si="30"/>
        <v>Weekend</v>
      </c>
      <c r="S484" t="str">
        <f t="shared" si="31"/>
        <v>Very_Active</v>
      </c>
    </row>
    <row r="485" spans="1:19" x14ac:dyDescent="0.25">
      <c r="A485">
        <v>6962181067</v>
      </c>
      <c r="B485" s="4">
        <v>42480</v>
      </c>
      <c r="C485">
        <v>13928</v>
      </c>
      <c r="D485" s="1">
        <v>9.5500001907348597</v>
      </c>
      <c r="E485" s="1">
        <v>9.5500001907348597</v>
      </c>
      <c r="F485" s="1">
        <v>0</v>
      </c>
      <c r="G485" s="1">
        <v>4.2800002098083496</v>
      </c>
      <c r="H485" s="1">
        <v>0.18999999761581399</v>
      </c>
      <c r="I485" s="1">
        <v>5.0900001525878897</v>
      </c>
      <c r="J485" s="1">
        <v>0</v>
      </c>
      <c r="K485">
        <v>48</v>
      </c>
      <c r="L485">
        <v>4</v>
      </c>
      <c r="M485">
        <v>297</v>
      </c>
      <c r="N485">
        <v>639</v>
      </c>
      <c r="O485">
        <v>2174</v>
      </c>
      <c r="P485" t="str">
        <f t="shared" si="28"/>
        <v>Wednesday</v>
      </c>
      <c r="Q485">
        <f t="shared" si="29"/>
        <v>988</v>
      </c>
      <c r="R485" t="str">
        <f t="shared" si="30"/>
        <v>Weekday</v>
      </c>
      <c r="S485" t="str">
        <f t="shared" si="31"/>
        <v>Very_Active</v>
      </c>
    </row>
    <row r="486" spans="1:19" x14ac:dyDescent="0.25">
      <c r="A486">
        <v>6290855005</v>
      </c>
      <c r="B486" s="4">
        <v>42618</v>
      </c>
      <c r="C486">
        <v>6277</v>
      </c>
      <c r="D486" s="1">
        <v>4.75</v>
      </c>
      <c r="E486" s="1">
        <v>4.75</v>
      </c>
      <c r="F486" s="1">
        <v>0</v>
      </c>
      <c r="G486" s="1">
        <v>0</v>
      </c>
      <c r="H486" s="1">
        <v>0</v>
      </c>
      <c r="I486" s="1">
        <v>4.7300000190734899</v>
      </c>
      <c r="J486" s="1">
        <v>1.9999999552965199E-2</v>
      </c>
      <c r="K486">
        <v>0</v>
      </c>
      <c r="L486">
        <v>0</v>
      </c>
      <c r="M486">
        <v>264</v>
      </c>
      <c r="N486">
        <v>800</v>
      </c>
      <c r="O486">
        <v>2175</v>
      </c>
      <c r="P486" t="str">
        <f t="shared" si="28"/>
        <v>Monday</v>
      </c>
      <c r="Q486">
        <f t="shared" si="29"/>
        <v>1064</v>
      </c>
      <c r="R486" t="str">
        <f t="shared" si="30"/>
        <v>Weekday</v>
      </c>
      <c r="S486" t="str">
        <f t="shared" si="31"/>
        <v>Lightly Active</v>
      </c>
    </row>
    <row r="487" spans="1:19" x14ac:dyDescent="0.25">
      <c r="A487">
        <v>4319703577</v>
      </c>
      <c r="B487" s="4">
        <v>42489</v>
      </c>
      <c r="C487">
        <v>7990</v>
      </c>
      <c r="D487" s="1">
        <v>5.3600001335143999</v>
      </c>
      <c r="E487" s="1">
        <v>5.3600001335143999</v>
      </c>
      <c r="F487" s="1">
        <v>0</v>
      </c>
      <c r="G487" s="1">
        <v>0.44999998807907099</v>
      </c>
      <c r="H487" s="1">
        <v>0.79000002145767201</v>
      </c>
      <c r="I487" s="1">
        <v>4.1199998855590803</v>
      </c>
      <c r="J487" s="1">
        <v>0</v>
      </c>
      <c r="K487">
        <v>6</v>
      </c>
      <c r="L487">
        <v>18</v>
      </c>
      <c r="M487">
        <v>289</v>
      </c>
      <c r="N487">
        <v>624</v>
      </c>
      <c r="O487">
        <v>2175</v>
      </c>
      <c r="P487" t="str">
        <f t="shared" si="28"/>
        <v>Friday</v>
      </c>
      <c r="Q487">
        <f t="shared" si="29"/>
        <v>937</v>
      </c>
      <c r="R487" t="str">
        <f t="shared" si="30"/>
        <v>Weekday</v>
      </c>
      <c r="S487" t="str">
        <f t="shared" si="31"/>
        <v>Fairly Active</v>
      </c>
    </row>
    <row r="488" spans="1:19" x14ac:dyDescent="0.25">
      <c r="A488">
        <v>2022484408</v>
      </c>
      <c r="B488" s="4">
        <v>42476</v>
      </c>
      <c r="C488">
        <v>10100</v>
      </c>
      <c r="D488" s="1">
        <v>7.0900001525878897</v>
      </c>
      <c r="E488" s="1">
        <v>7.0900001525878897</v>
      </c>
      <c r="F488" s="1">
        <v>0</v>
      </c>
      <c r="G488" s="1">
        <v>3.1500000953674299</v>
      </c>
      <c r="H488" s="1">
        <v>0.55000001192092896</v>
      </c>
      <c r="I488" s="1">
        <v>3.3900001049041699</v>
      </c>
      <c r="J488" s="1">
        <v>0</v>
      </c>
      <c r="K488">
        <v>41</v>
      </c>
      <c r="L488">
        <v>11</v>
      </c>
      <c r="M488">
        <v>151</v>
      </c>
      <c r="N488">
        <v>1237</v>
      </c>
      <c r="O488">
        <v>2177</v>
      </c>
      <c r="P488" t="str">
        <f t="shared" si="28"/>
        <v>Saturday</v>
      </c>
      <c r="Q488">
        <f t="shared" si="29"/>
        <v>1440</v>
      </c>
      <c r="R488" t="str">
        <f t="shared" si="30"/>
        <v>Weekend</v>
      </c>
      <c r="S488" t="str">
        <f t="shared" si="31"/>
        <v>Very_Active</v>
      </c>
    </row>
    <row r="489" spans="1:19" x14ac:dyDescent="0.25">
      <c r="A489">
        <v>6962181067</v>
      </c>
      <c r="B489" s="4">
        <v>42481</v>
      </c>
      <c r="C489">
        <v>11835</v>
      </c>
      <c r="D489" s="1">
        <v>9.7100000381469709</v>
      </c>
      <c r="E489" s="1">
        <v>7.8800001144409197</v>
      </c>
      <c r="F489" s="1">
        <v>4.0816922187805202</v>
      </c>
      <c r="G489" s="1">
        <v>3.9900000095367401</v>
      </c>
      <c r="H489" s="1">
        <v>2.0999999046325701</v>
      </c>
      <c r="I489" s="1">
        <v>3.5099999904632599</v>
      </c>
      <c r="J489" s="1">
        <v>0.109999999403954</v>
      </c>
      <c r="K489">
        <v>53</v>
      </c>
      <c r="L489">
        <v>27</v>
      </c>
      <c r="M489">
        <v>214</v>
      </c>
      <c r="N489">
        <v>708</v>
      </c>
      <c r="O489">
        <v>2179</v>
      </c>
      <c r="P489" t="str">
        <f t="shared" si="28"/>
        <v>Thursday</v>
      </c>
      <c r="Q489">
        <f t="shared" si="29"/>
        <v>1002</v>
      </c>
      <c r="R489" t="str">
        <f t="shared" si="30"/>
        <v>Weekday</v>
      </c>
      <c r="S489" t="str">
        <f t="shared" si="31"/>
        <v>Very_Active</v>
      </c>
    </row>
    <row r="490" spans="1:19" x14ac:dyDescent="0.25">
      <c r="A490">
        <v>4445114986</v>
      </c>
      <c r="B490" s="4">
        <v>42476</v>
      </c>
      <c r="C490">
        <v>3945</v>
      </c>
      <c r="D490" s="1">
        <v>2.6500000953674299</v>
      </c>
      <c r="E490" s="1">
        <v>2.6500000953674299</v>
      </c>
      <c r="F490" s="1">
        <v>0</v>
      </c>
      <c r="G490" s="1">
        <v>0</v>
      </c>
      <c r="H490" s="1">
        <v>0</v>
      </c>
      <c r="I490" s="1">
        <v>2.6500000953674299</v>
      </c>
      <c r="J490" s="1">
        <v>0</v>
      </c>
      <c r="K490">
        <v>0</v>
      </c>
      <c r="L490">
        <v>0</v>
      </c>
      <c r="M490">
        <v>225</v>
      </c>
      <c r="N490">
        <v>716</v>
      </c>
      <c r="O490">
        <v>2180</v>
      </c>
      <c r="P490" t="str">
        <f t="shared" si="28"/>
        <v>Saturday</v>
      </c>
      <c r="Q490">
        <f t="shared" si="29"/>
        <v>941</v>
      </c>
      <c r="R490" t="str">
        <f t="shared" si="30"/>
        <v>Weekend</v>
      </c>
      <c r="S490" t="str">
        <f t="shared" si="31"/>
        <v>Sedentary</v>
      </c>
    </row>
    <row r="491" spans="1:19" x14ac:dyDescent="0.25">
      <c r="A491">
        <v>4445114986</v>
      </c>
      <c r="B491" s="4">
        <v>42648</v>
      </c>
      <c r="C491">
        <v>3915</v>
      </c>
      <c r="D491" s="1">
        <v>2.6300001144409202</v>
      </c>
      <c r="E491" s="1">
        <v>2.6300001144409202</v>
      </c>
      <c r="F491" s="1">
        <v>0</v>
      </c>
      <c r="G491" s="1">
        <v>0</v>
      </c>
      <c r="H491" s="1">
        <v>0</v>
      </c>
      <c r="I491" s="1">
        <v>2.6300001144409202</v>
      </c>
      <c r="J491" s="1">
        <v>0</v>
      </c>
      <c r="K491">
        <v>0</v>
      </c>
      <c r="L491">
        <v>0</v>
      </c>
      <c r="M491">
        <v>231</v>
      </c>
      <c r="N491">
        <v>783</v>
      </c>
      <c r="O491">
        <v>2181</v>
      </c>
      <c r="P491" t="str">
        <f t="shared" si="28"/>
        <v>Wednesday</v>
      </c>
      <c r="Q491">
        <f t="shared" si="29"/>
        <v>1014</v>
      </c>
      <c r="R491" t="str">
        <f t="shared" si="30"/>
        <v>Weekday</v>
      </c>
      <c r="S491" t="str">
        <f t="shared" si="31"/>
        <v>Sedentary</v>
      </c>
    </row>
    <row r="492" spans="1:19" x14ac:dyDescent="0.25">
      <c r="A492">
        <v>6962181067</v>
      </c>
      <c r="B492" s="4">
        <v>42488</v>
      </c>
      <c r="C492">
        <v>12627</v>
      </c>
      <c r="D492" s="1">
        <v>8.3500003814697301</v>
      </c>
      <c r="E492" s="1">
        <v>8.3500003814697301</v>
      </c>
      <c r="F492" s="1">
        <v>0</v>
      </c>
      <c r="G492" s="1">
        <v>2.5099999904632599</v>
      </c>
      <c r="H492" s="1">
        <v>0.239999994635582</v>
      </c>
      <c r="I492" s="1">
        <v>5.5900001525878897</v>
      </c>
      <c r="J492" s="1">
        <v>0</v>
      </c>
      <c r="K492">
        <v>38</v>
      </c>
      <c r="L492">
        <v>8</v>
      </c>
      <c r="M492">
        <v>288</v>
      </c>
      <c r="N492">
        <v>621</v>
      </c>
      <c r="O492">
        <v>2182</v>
      </c>
      <c r="P492" t="str">
        <f t="shared" si="28"/>
        <v>Thursday</v>
      </c>
      <c r="Q492">
        <f t="shared" si="29"/>
        <v>955</v>
      </c>
      <c r="R492" t="str">
        <f t="shared" si="30"/>
        <v>Weekday</v>
      </c>
      <c r="S492" t="str">
        <f t="shared" si="31"/>
        <v>Very_Active</v>
      </c>
    </row>
    <row r="493" spans="1:19" x14ac:dyDescent="0.25">
      <c r="A493">
        <v>4558609924</v>
      </c>
      <c r="B493" s="4">
        <v>42488</v>
      </c>
      <c r="C493">
        <v>9451</v>
      </c>
      <c r="D493" s="1">
        <v>6.25</v>
      </c>
      <c r="E493" s="1">
        <v>6.25</v>
      </c>
      <c r="F493" s="1">
        <v>0</v>
      </c>
      <c r="G493" s="1">
        <v>1.9999999552965199E-2</v>
      </c>
      <c r="H493" s="1">
        <v>0.270000010728836</v>
      </c>
      <c r="I493" s="1">
        <v>5.9499998092651403</v>
      </c>
      <c r="J493" s="1">
        <v>0</v>
      </c>
      <c r="K493">
        <v>1</v>
      </c>
      <c r="L493">
        <v>11</v>
      </c>
      <c r="M493">
        <v>367</v>
      </c>
      <c r="N493">
        <v>985</v>
      </c>
      <c r="O493">
        <v>2185</v>
      </c>
      <c r="P493" t="str">
        <f t="shared" si="28"/>
        <v>Thursday</v>
      </c>
      <c r="Q493">
        <f t="shared" si="29"/>
        <v>1364</v>
      </c>
      <c r="R493" t="str">
        <f t="shared" si="30"/>
        <v>Weekday</v>
      </c>
      <c r="S493" t="str">
        <f t="shared" si="31"/>
        <v>Fairly Active</v>
      </c>
    </row>
    <row r="494" spans="1:19" x14ac:dyDescent="0.25">
      <c r="A494">
        <v>2347167796</v>
      </c>
      <c r="B494" s="4">
        <v>42484</v>
      </c>
      <c r="C494">
        <v>9471</v>
      </c>
      <c r="D494" s="1">
        <v>6.2600002288818404</v>
      </c>
      <c r="E494" s="1">
        <v>6.2600002288818404</v>
      </c>
      <c r="F494" s="1">
        <v>0</v>
      </c>
      <c r="G494" s="1">
        <v>0</v>
      </c>
      <c r="H494" s="1">
        <v>0</v>
      </c>
      <c r="I494" s="1">
        <v>6.2600002288818404</v>
      </c>
      <c r="J494" s="1">
        <v>0</v>
      </c>
      <c r="K494">
        <v>0</v>
      </c>
      <c r="L494">
        <v>0</v>
      </c>
      <c r="M494">
        <v>360</v>
      </c>
      <c r="N494">
        <v>584</v>
      </c>
      <c r="O494">
        <v>2187</v>
      </c>
      <c r="P494" t="str">
        <f t="shared" si="28"/>
        <v>Sunday</v>
      </c>
      <c r="Q494">
        <f t="shared" si="29"/>
        <v>944</v>
      </c>
      <c r="R494" t="str">
        <f t="shared" si="30"/>
        <v>Weekend</v>
      </c>
      <c r="S494" t="str">
        <f t="shared" si="31"/>
        <v>Fairly Active</v>
      </c>
    </row>
    <row r="495" spans="1:19" x14ac:dyDescent="0.25">
      <c r="A495">
        <v>8792009665</v>
      </c>
      <c r="B495" s="4">
        <v>42480</v>
      </c>
      <c r="C495">
        <v>3147</v>
      </c>
      <c r="D495" s="1">
        <v>2.0099999904632599</v>
      </c>
      <c r="E495" s="1">
        <v>2.0099999904632599</v>
      </c>
      <c r="F495" s="1">
        <v>0</v>
      </c>
      <c r="G495" s="1">
        <v>0</v>
      </c>
      <c r="H495" s="1">
        <v>0.28000000119209301</v>
      </c>
      <c r="I495" s="1">
        <v>1.7400000095367401</v>
      </c>
      <c r="J495" s="1">
        <v>0</v>
      </c>
      <c r="K495">
        <v>0</v>
      </c>
      <c r="L495">
        <v>10</v>
      </c>
      <c r="M495">
        <v>139</v>
      </c>
      <c r="N495">
        <v>744</v>
      </c>
      <c r="O495">
        <v>2188</v>
      </c>
      <c r="P495" t="str">
        <f t="shared" si="28"/>
        <v>Wednesday</v>
      </c>
      <c r="Q495">
        <f t="shared" si="29"/>
        <v>893</v>
      </c>
      <c r="R495" t="str">
        <f t="shared" si="30"/>
        <v>Weekday</v>
      </c>
      <c r="S495" t="str">
        <f t="shared" si="31"/>
        <v>Sedentary</v>
      </c>
    </row>
    <row r="496" spans="1:19" x14ac:dyDescent="0.25">
      <c r="A496">
        <v>8877689391</v>
      </c>
      <c r="B496" s="4">
        <v>42405</v>
      </c>
      <c r="C496">
        <v>4790</v>
      </c>
      <c r="D496" s="1">
        <v>3.6400001049041699</v>
      </c>
      <c r="E496" s="1">
        <v>3.6400001049041699</v>
      </c>
      <c r="F496" s="1">
        <v>0</v>
      </c>
      <c r="G496" s="1">
        <v>0</v>
      </c>
      <c r="H496" s="1">
        <v>0</v>
      </c>
      <c r="I496" s="1">
        <v>3.5599999427795401</v>
      </c>
      <c r="J496" s="1">
        <v>0</v>
      </c>
      <c r="K496">
        <v>0</v>
      </c>
      <c r="L496">
        <v>0</v>
      </c>
      <c r="M496">
        <v>105</v>
      </c>
      <c r="N496">
        <v>1335</v>
      </c>
      <c r="O496">
        <v>2189</v>
      </c>
      <c r="P496" t="str">
        <f t="shared" si="28"/>
        <v>Friday</v>
      </c>
      <c r="Q496">
        <f t="shared" si="29"/>
        <v>1440</v>
      </c>
      <c r="R496" t="str">
        <f t="shared" si="30"/>
        <v>Weekday</v>
      </c>
      <c r="S496" t="str">
        <f t="shared" si="31"/>
        <v>Sedentary</v>
      </c>
    </row>
    <row r="497" spans="1:19" x14ac:dyDescent="0.25">
      <c r="A497">
        <v>4445114986</v>
      </c>
      <c r="B497" s="4">
        <v>42474</v>
      </c>
      <c r="C497">
        <v>3974</v>
      </c>
      <c r="D497" s="1">
        <v>2.6700000762939502</v>
      </c>
      <c r="E497" s="1">
        <v>2.6700000762939502</v>
      </c>
      <c r="F497" s="1">
        <v>0</v>
      </c>
      <c r="G497" s="1">
        <v>0</v>
      </c>
      <c r="H497" s="1">
        <v>0</v>
      </c>
      <c r="I497" s="1">
        <v>2.6700000762939502</v>
      </c>
      <c r="J497" s="1">
        <v>0</v>
      </c>
      <c r="K497">
        <v>0</v>
      </c>
      <c r="L497">
        <v>0</v>
      </c>
      <c r="M497">
        <v>231</v>
      </c>
      <c r="N497">
        <v>717</v>
      </c>
      <c r="O497">
        <v>2194</v>
      </c>
      <c r="P497" t="str">
        <f t="shared" si="28"/>
        <v>Thursday</v>
      </c>
      <c r="Q497">
        <f t="shared" si="29"/>
        <v>948</v>
      </c>
      <c r="R497" t="str">
        <f t="shared" si="30"/>
        <v>Weekday</v>
      </c>
      <c r="S497" t="str">
        <f t="shared" si="31"/>
        <v>Sedentary</v>
      </c>
    </row>
    <row r="498" spans="1:19" x14ac:dyDescent="0.25">
      <c r="A498">
        <v>2347167796</v>
      </c>
      <c r="B498" s="4">
        <v>42487</v>
      </c>
      <c r="C498">
        <v>11423</v>
      </c>
      <c r="D498" s="1">
        <v>7.5799999237060502</v>
      </c>
      <c r="E498" s="1">
        <v>7.5799999237060502</v>
      </c>
      <c r="F498" s="1">
        <v>0</v>
      </c>
      <c r="G498" s="1">
        <v>1.8600000143051101</v>
      </c>
      <c r="H498" s="1">
        <v>0.40000000596046398</v>
      </c>
      <c r="I498" s="1">
        <v>5.3200001716613796</v>
      </c>
      <c r="J498" s="1">
        <v>0</v>
      </c>
      <c r="K498">
        <v>26</v>
      </c>
      <c r="L498">
        <v>9</v>
      </c>
      <c r="M498">
        <v>295</v>
      </c>
      <c r="N498">
        <v>623</v>
      </c>
      <c r="O498">
        <v>2194</v>
      </c>
      <c r="P498" t="str">
        <f t="shared" si="28"/>
        <v>Wednesday</v>
      </c>
      <c r="Q498">
        <f t="shared" si="29"/>
        <v>953</v>
      </c>
      <c r="R498" t="str">
        <f t="shared" si="30"/>
        <v>Weekday</v>
      </c>
      <c r="S498" t="str">
        <f t="shared" si="31"/>
        <v>Very_Active</v>
      </c>
    </row>
    <row r="499" spans="1:19" x14ac:dyDescent="0.25">
      <c r="A499">
        <v>6962181067</v>
      </c>
      <c r="B499" s="4">
        <v>42485</v>
      </c>
      <c r="C499">
        <v>13239</v>
      </c>
      <c r="D499" s="1">
        <v>9.2700004577636701</v>
      </c>
      <c r="E499" s="1">
        <v>9.0799999237060494</v>
      </c>
      <c r="F499" s="1">
        <v>2.7851750850677499</v>
      </c>
      <c r="G499" s="1">
        <v>3.0199999809265101</v>
      </c>
      <c r="H499" s="1">
        <v>1.6799999475479099</v>
      </c>
      <c r="I499" s="1">
        <v>4.46000003814697</v>
      </c>
      <c r="J499" s="1">
        <v>0.10000000149011599</v>
      </c>
      <c r="K499">
        <v>35</v>
      </c>
      <c r="L499">
        <v>31</v>
      </c>
      <c r="M499">
        <v>282</v>
      </c>
      <c r="N499">
        <v>637</v>
      </c>
      <c r="O499">
        <v>2194</v>
      </c>
      <c r="P499" t="str">
        <f t="shared" si="28"/>
        <v>Monday</v>
      </c>
      <c r="Q499">
        <f t="shared" si="29"/>
        <v>985</v>
      </c>
      <c r="R499" t="str">
        <f t="shared" si="30"/>
        <v>Weekday</v>
      </c>
      <c r="S499" t="str">
        <f t="shared" si="31"/>
        <v>Very_Active</v>
      </c>
    </row>
    <row r="500" spans="1:19" x14ac:dyDescent="0.25">
      <c r="A500">
        <v>1927972279</v>
      </c>
      <c r="B500" s="4">
        <v>42434</v>
      </c>
      <c r="C500">
        <v>1326</v>
      </c>
      <c r="D500" s="1">
        <v>0.92000001668930098</v>
      </c>
      <c r="E500" s="1">
        <v>0.92000001668930098</v>
      </c>
      <c r="F500" s="1">
        <v>0</v>
      </c>
      <c r="G500" s="1">
        <v>0.730000019073486</v>
      </c>
      <c r="H500" s="1">
        <v>0</v>
      </c>
      <c r="I500" s="1">
        <v>0.18000000715255701</v>
      </c>
      <c r="J500" s="1">
        <v>0</v>
      </c>
      <c r="K500">
        <v>10</v>
      </c>
      <c r="L500">
        <v>0</v>
      </c>
      <c r="M500">
        <v>17</v>
      </c>
      <c r="N500">
        <v>1413</v>
      </c>
      <c r="O500">
        <v>2195</v>
      </c>
      <c r="P500" t="str">
        <f t="shared" si="28"/>
        <v>Saturday</v>
      </c>
      <c r="Q500">
        <f t="shared" si="29"/>
        <v>1440</v>
      </c>
      <c r="R500" t="str">
        <f t="shared" si="30"/>
        <v>Weekend</v>
      </c>
      <c r="S500" t="str">
        <f t="shared" si="31"/>
        <v>Sedentary</v>
      </c>
    </row>
    <row r="501" spans="1:19" x14ac:dyDescent="0.25">
      <c r="A501">
        <v>4445114986</v>
      </c>
      <c r="B501" s="4">
        <v>42489</v>
      </c>
      <c r="C501">
        <v>4676</v>
      </c>
      <c r="D501" s="1">
        <v>3.1400001049041699</v>
      </c>
      <c r="E501" s="1">
        <v>3.1400001049041699</v>
      </c>
      <c r="F501" s="1">
        <v>0</v>
      </c>
      <c r="G501" s="1">
        <v>0</v>
      </c>
      <c r="H501" s="1">
        <v>0</v>
      </c>
      <c r="I501" s="1">
        <v>3.1300001144409202</v>
      </c>
      <c r="J501" s="1">
        <v>0</v>
      </c>
      <c r="K501">
        <v>0</v>
      </c>
      <c r="L501">
        <v>0</v>
      </c>
      <c r="M501">
        <v>226</v>
      </c>
      <c r="N501">
        <v>1106</v>
      </c>
      <c r="O501">
        <v>2196</v>
      </c>
      <c r="P501" t="str">
        <f t="shared" si="28"/>
        <v>Friday</v>
      </c>
      <c r="Q501">
        <f t="shared" si="29"/>
        <v>1332</v>
      </c>
      <c r="R501" t="str">
        <f t="shared" si="30"/>
        <v>Weekday</v>
      </c>
      <c r="S501" t="str">
        <f t="shared" si="31"/>
        <v>Sedentary</v>
      </c>
    </row>
    <row r="502" spans="1:19" x14ac:dyDescent="0.25">
      <c r="A502">
        <v>2347167796</v>
      </c>
      <c r="B502" s="4">
        <v>42480</v>
      </c>
      <c r="C502">
        <v>10999</v>
      </c>
      <c r="D502" s="1">
        <v>7.2699999809265101</v>
      </c>
      <c r="E502" s="1">
        <v>7.2699999809265101</v>
      </c>
      <c r="F502" s="1">
        <v>0</v>
      </c>
      <c r="G502" s="1">
        <v>0.68000000715255704</v>
      </c>
      <c r="H502" s="1">
        <v>1.8099999427795399</v>
      </c>
      <c r="I502" s="1">
        <v>4.7800002098083496</v>
      </c>
      <c r="J502" s="1">
        <v>0</v>
      </c>
      <c r="K502">
        <v>11</v>
      </c>
      <c r="L502">
        <v>43</v>
      </c>
      <c r="M502">
        <v>269</v>
      </c>
      <c r="N502">
        <v>1011</v>
      </c>
      <c r="O502">
        <v>2198</v>
      </c>
      <c r="P502" t="str">
        <f t="shared" si="28"/>
        <v>Wednesday</v>
      </c>
      <c r="Q502">
        <f t="shared" si="29"/>
        <v>1334</v>
      </c>
      <c r="R502" t="str">
        <f t="shared" si="30"/>
        <v>Weekday</v>
      </c>
      <c r="S502" t="str">
        <f t="shared" si="31"/>
        <v>Very_Active</v>
      </c>
    </row>
    <row r="503" spans="1:19" x14ac:dyDescent="0.25">
      <c r="A503">
        <v>4319703577</v>
      </c>
      <c r="B503" s="4">
        <v>42479</v>
      </c>
      <c r="C503">
        <v>8925</v>
      </c>
      <c r="D503" s="1">
        <v>5.9899997711181596</v>
      </c>
      <c r="E503" s="1">
        <v>5.9899997711181596</v>
      </c>
      <c r="F503" s="1">
        <v>0</v>
      </c>
      <c r="G503" s="1">
        <v>0</v>
      </c>
      <c r="H503" s="1">
        <v>0</v>
      </c>
      <c r="I503" s="1">
        <v>5.9899997711181596</v>
      </c>
      <c r="J503" s="1">
        <v>0</v>
      </c>
      <c r="K503">
        <v>0</v>
      </c>
      <c r="L503">
        <v>0</v>
      </c>
      <c r="M503">
        <v>311</v>
      </c>
      <c r="N503">
        <v>604</v>
      </c>
      <c r="O503">
        <v>2200</v>
      </c>
      <c r="P503" t="str">
        <f t="shared" si="28"/>
        <v>Tuesday</v>
      </c>
      <c r="Q503">
        <f t="shared" si="29"/>
        <v>915</v>
      </c>
      <c r="R503" t="str">
        <f t="shared" si="30"/>
        <v>Weekday</v>
      </c>
      <c r="S503" t="str">
        <f t="shared" si="31"/>
        <v>Fairly Active</v>
      </c>
    </row>
    <row r="504" spans="1:19" x14ac:dyDescent="0.25">
      <c r="A504">
        <v>4445114986</v>
      </c>
      <c r="B504" s="4">
        <v>42488</v>
      </c>
      <c r="C504">
        <v>4493</v>
      </c>
      <c r="D504" s="1">
        <v>3.0099999904632599</v>
      </c>
      <c r="E504" s="1">
        <v>3.0099999904632599</v>
      </c>
      <c r="F504" s="1">
        <v>0</v>
      </c>
      <c r="G504" s="1">
        <v>0</v>
      </c>
      <c r="H504" s="1">
        <v>0</v>
      </c>
      <c r="I504" s="1">
        <v>3.0099999904632599</v>
      </c>
      <c r="J504" s="1">
        <v>0</v>
      </c>
      <c r="K504">
        <v>0</v>
      </c>
      <c r="L504">
        <v>0</v>
      </c>
      <c r="M504">
        <v>236</v>
      </c>
      <c r="N504">
        <v>762</v>
      </c>
      <c r="O504">
        <v>2203</v>
      </c>
      <c r="P504" t="str">
        <f t="shared" si="28"/>
        <v>Thursday</v>
      </c>
      <c r="Q504">
        <f t="shared" si="29"/>
        <v>998</v>
      </c>
      <c r="R504" t="str">
        <f t="shared" si="30"/>
        <v>Weekday</v>
      </c>
      <c r="S504" t="str">
        <f t="shared" si="31"/>
        <v>Sedentary</v>
      </c>
    </row>
    <row r="505" spans="1:19" x14ac:dyDescent="0.25">
      <c r="A505">
        <v>4020332650</v>
      </c>
      <c r="B505" s="4">
        <v>42405</v>
      </c>
      <c r="C505">
        <v>475</v>
      </c>
      <c r="D505" s="1">
        <v>0.34000000357627902</v>
      </c>
      <c r="E505" s="1">
        <v>0.34000000357627902</v>
      </c>
      <c r="F505" s="1">
        <v>0</v>
      </c>
      <c r="G505" s="1">
        <v>0</v>
      </c>
      <c r="H505" s="1">
        <v>3.9999999105930301E-2</v>
      </c>
      <c r="I505" s="1">
        <v>0.28999999165535001</v>
      </c>
      <c r="J505" s="1">
        <v>0</v>
      </c>
      <c r="K505">
        <v>0</v>
      </c>
      <c r="L505">
        <v>11</v>
      </c>
      <c r="M505">
        <v>31</v>
      </c>
      <c r="N505">
        <v>1350</v>
      </c>
      <c r="O505">
        <v>2207</v>
      </c>
      <c r="P505" t="str">
        <f t="shared" si="28"/>
        <v>Friday</v>
      </c>
      <c r="Q505">
        <f t="shared" si="29"/>
        <v>1392</v>
      </c>
      <c r="R505" t="str">
        <f t="shared" si="30"/>
        <v>Weekday</v>
      </c>
      <c r="S505" t="str">
        <f t="shared" si="31"/>
        <v>Sedentary</v>
      </c>
    </row>
    <row r="506" spans="1:19" x14ac:dyDescent="0.25">
      <c r="A506">
        <v>4445114986</v>
      </c>
      <c r="B506" s="4">
        <v>42526</v>
      </c>
      <c r="C506">
        <v>4514</v>
      </c>
      <c r="D506" s="1">
        <v>3.0299999713897701</v>
      </c>
      <c r="E506" s="1">
        <v>3.0299999713897701</v>
      </c>
      <c r="F506" s="1">
        <v>0</v>
      </c>
      <c r="G506" s="1">
        <v>0</v>
      </c>
      <c r="H506" s="1">
        <v>0</v>
      </c>
      <c r="I506" s="1">
        <v>3.0299999713897701</v>
      </c>
      <c r="J506" s="1">
        <v>0</v>
      </c>
      <c r="K506">
        <v>0</v>
      </c>
      <c r="L506">
        <v>0</v>
      </c>
      <c r="M506">
        <v>229</v>
      </c>
      <c r="N506">
        <v>809</v>
      </c>
      <c r="O506">
        <v>2211</v>
      </c>
      <c r="P506" t="str">
        <f t="shared" si="28"/>
        <v>Sunday</v>
      </c>
      <c r="Q506">
        <f t="shared" si="29"/>
        <v>1038</v>
      </c>
      <c r="R506" t="str">
        <f t="shared" si="30"/>
        <v>Weekend</v>
      </c>
      <c r="S506" t="str">
        <f t="shared" si="31"/>
        <v>Sedentary</v>
      </c>
    </row>
    <row r="507" spans="1:19" x14ac:dyDescent="0.25">
      <c r="A507">
        <v>8253242879</v>
      </c>
      <c r="B507" s="4">
        <v>42481</v>
      </c>
      <c r="C507">
        <v>11268</v>
      </c>
      <c r="D507" s="1">
        <v>8.5600004196166992</v>
      </c>
      <c r="E507" s="1">
        <v>8.5600004196166992</v>
      </c>
      <c r="F507" s="1">
        <v>0</v>
      </c>
      <c r="G507" s="1">
        <v>5.8800001144409197</v>
      </c>
      <c r="H507" s="1">
        <v>0.93000000715255704</v>
      </c>
      <c r="I507" s="1">
        <v>1.75</v>
      </c>
      <c r="J507" s="1">
        <v>0</v>
      </c>
      <c r="K507">
        <v>49</v>
      </c>
      <c r="L507">
        <v>20</v>
      </c>
      <c r="M507">
        <v>172</v>
      </c>
      <c r="N507">
        <v>1199</v>
      </c>
      <c r="O507">
        <v>2218</v>
      </c>
      <c r="P507" t="str">
        <f t="shared" si="28"/>
        <v>Thursday</v>
      </c>
      <c r="Q507">
        <f t="shared" si="29"/>
        <v>1440</v>
      </c>
      <c r="R507" t="str">
        <f t="shared" si="30"/>
        <v>Weekday</v>
      </c>
      <c r="S507" t="str">
        <f t="shared" si="31"/>
        <v>Very_Active</v>
      </c>
    </row>
    <row r="508" spans="1:19" x14ac:dyDescent="0.25">
      <c r="A508">
        <v>1927972279</v>
      </c>
      <c r="B508" s="4">
        <v>42708</v>
      </c>
      <c r="C508">
        <v>678</v>
      </c>
      <c r="D508" s="1">
        <v>0.46999999880790699</v>
      </c>
      <c r="E508" s="1">
        <v>0.46999999880790699</v>
      </c>
      <c r="F508" s="1">
        <v>0</v>
      </c>
      <c r="G508" s="1">
        <v>0</v>
      </c>
      <c r="H508" s="1">
        <v>0</v>
      </c>
      <c r="I508" s="1">
        <v>0.46999999880790699</v>
      </c>
      <c r="J508" s="1">
        <v>0</v>
      </c>
      <c r="K508">
        <v>0</v>
      </c>
      <c r="L508">
        <v>0</v>
      </c>
      <c r="M508">
        <v>55</v>
      </c>
      <c r="N508">
        <v>734</v>
      </c>
      <c r="O508">
        <v>2220</v>
      </c>
      <c r="P508" t="str">
        <f t="shared" si="28"/>
        <v>Sunday</v>
      </c>
      <c r="Q508">
        <f t="shared" si="29"/>
        <v>789</v>
      </c>
      <c r="R508" t="str">
        <f t="shared" si="30"/>
        <v>Weekend</v>
      </c>
      <c r="S508" t="str">
        <f t="shared" si="31"/>
        <v>Sedentary</v>
      </c>
    </row>
    <row r="509" spans="1:19" x14ac:dyDescent="0.25">
      <c r="A509">
        <v>4319703577</v>
      </c>
      <c r="B509" s="4">
        <v>42480</v>
      </c>
      <c r="C509">
        <v>8954</v>
      </c>
      <c r="D509" s="1">
        <v>6.0100002288818404</v>
      </c>
      <c r="E509" s="1">
        <v>6.0100002288818404</v>
      </c>
      <c r="F509" s="1">
        <v>0</v>
      </c>
      <c r="G509" s="1">
        <v>0</v>
      </c>
      <c r="H509" s="1">
        <v>0.68000000715255704</v>
      </c>
      <c r="I509" s="1">
        <v>5.3099999427795401</v>
      </c>
      <c r="J509" s="1">
        <v>0</v>
      </c>
      <c r="K509">
        <v>0</v>
      </c>
      <c r="L509">
        <v>18</v>
      </c>
      <c r="M509">
        <v>306</v>
      </c>
      <c r="N509">
        <v>671</v>
      </c>
      <c r="O509">
        <v>2220</v>
      </c>
      <c r="P509" t="str">
        <f t="shared" si="28"/>
        <v>Wednesday</v>
      </c>
      <c r="Q509">
        <f t="shared" si="29"/>
        <v>995</v>
      </c>
      <c r="R509" t="str">
        <f t="shared" si="30"/>
        <v>Weekday</v>
      </c>
      <c r="S509" t="str">
        <f t="shared" si="31"/>
        <v>Fairly Active</v>
      </c>
    </row>
    <row r="510" spans="1:19" x14ac:dyDescent="0.25">
      <c r="A510">
        <v>1927972279</v>
      </c>
      <c r="B510" s="4">
        <v>42475</v>
      </c>
      <c r="C510">
        <v>980</v>
      </c>
      <c r="D510" s="1">
        <v>0.68000000715255704</v>
      </c>
      <c r="E510" s="1">
        <v>0.68000000715255704</v>
      </c>
      <c r="F510" s="1">
        <v>0</v>
      </c>
      <c r="G510" s="1">
        <v>0</v>
      </c>
      <c r="H510" s="1">
        <v>0</v>
      </c>
      <c r="I510" s="1">
        <v>0.68000000715255704</v>
      </c>
      <c r="J510" s="1">
        <v>0</v>
      </c>
      <c r="K510">
        <v>0</v>
      </c>
      <c r="L510">
        <v>0</v>
      </c>
      <c r="M510">
        <v>51</v>
      </c>
      <c r="N510">
        <v>941</v>
      </c>
      <c r="O510">
        <v>2221</v>
      </c>
      <c r="P510" t="str">
        <f t="shared" si="28"/>
        <v>Friday</v>
      </c>
      <c r="Q510">
        <f t="shared" si="29"/>
        <v>992</v>
      </c>
      <c r="R510" t="str">
        <f t="shared" si="30"/>
        <v>Weekday</v>
      </c>
      <c r="S510" t="str">
        <f t="shared" si="31"/>
        <v>Sedentary</v>
      </c>
    </row>
    <row r="511" spans="1:19" x14ac:dyDescent="0.25">
      <c r="A511">
        <v>1644430081</v>
      </c>
      <c r="B511" s="4">
        <v>42465</v>
      </c>
      <c r="C511">
        <v>2309</v>
      </c>
      <c r="D511" s="1">
        <v>1.6799999475479099</v>
      </c>
      <c r="E511" s="1">
        <v>1.6799999475479099</v>
      </c>
      <c r="F511" s="1">
        <v>0</v>
      </c>
      <c r="G511" s="1">
        <v>0</v>
      </c>
      <c r="H511" s="1">
        <v>0</v>
      </c>
      <c r="I511" s="1">
        <v>1.6599999666214</v>
      </c>
      <c r="J511" s="1">
        <v>1.9999999552965199E-2</v>
      </c>
      <c r="K511">
        <v>0</v>
      </c>
      <c r="L511">
        <v>0</v>
      </c>
      <c r="M511">
        <v>52</v>
      </c>
      <c r="N511">
        <v>1388</v>
      </c>
      <c r="O511">
        <v>2222</v>
      </c>
      <c r="P511" t="str">
        <f t="shared" si="28"/>
        <v>Tuesday</v>
      </c>
      <c r="Q511">
        <f t="shared" si="29"/>
        <v>1440</v>
      </c>
      <c r="R511" t="str">
        <f t="shared" si="30"/>
        <v>Weekday</v>
      </c>
      <c r="S511" t="str">
        <f t="shared" si="31"/>
        <v>Sedentary</v>
      </c>
    </row>
    <row r="512" spans="1:19" x14ac:dyDescent="0.25">
      <c r="A512">
        <v>4558609924</v>
      </c>
      <c r="B512" s="4">
        <v>42486</v>
      </c>
      <c r="C512">
        <v>9148</v>
      </c>
      <c r="D512" s="1">
        <v>6.0500001907348597</v>
      </c>
      <c r="E512" s="1">
        <v>6.0500001907348597</v>
      </c>
      <c r="F512" s="1">
        <v>0</v>
      </c>
      <c r="G512" s="1">
        <v>0.43000000715255698</v>
      </c>
      <c r="H512" s="1">
        <v>2.0299999713897701</v>
      </c>
      <c r="I512" s="1">
        <v>3.5899999141693102</v>
      </c>
      <c r="J512" s="1">
        <v>0</v>
      </c>
      <c r="K512">
        <v>12</v>
      </c>
      <c r="L512">
        <v>41</v>
      </c>
      <c r="M512">
        <v>283</v>
      </c>
      <c r="N512">
        <v>1062</v>
      </c>
      <c r="O512">
        <v>2223</v>
      </c>
      <c r="P512" t="str">
        <f t="shared" si="28"/>
        <v>Tuesday</v>
      </c>
      <c r="Q512">
        <f t="shared" si="29"/>
        <v>1398</v>
      </c>
      <c r="R512" t="str">
        <f t="shared" si="30"/>
        <v>Weekday</v>
      </c>
      <c r="S512" t="str">
        <f t="shared" si="31"/>
        <v>Fairly Active</v>
      </c>
    </row>
    <row r="513" spans="1:19" x14ac:dyDescent="0.25">
      <c r="A513">
        <v>4558609924</v>
      </c>
      <c r="B513" s="4">
        <v>42618</v>
      </c>
      <c r="C513">
        <v>11451</v>
      </c>
      <c r="D513" s="1">
        <v>7.5700001716613796</v>
      </c>
      <c r="E513" s="1">
        <v>7.5700001716613796</v>
      </c>
      <c r="F513" s="1">
        <v>0</v>
      </c>
      <c r="G513" s="1">
        <v>0.43000000715255698</v>
      </c>
      <c r="H513" s="1">
        <v>1.62000000476837</v>
      </c>
      <c r="I513" s="1">
        <v>5.5199999809265101</v>
      </c>
      <c r="J513" s="1">
        <v>0</v>
      </c>
      <c r="K513">
        <v>6</v>
      </c>
      <c r="L513">
        <v>30</v>
      </c>
      <c r="M513">
        <v>339</v>
      </c>
      <c r="N513">
        <v>1065</v>
      </c>
      <c r="O513">
        <v>2223</v>
      </c>
      <c r="P513" t="str">
        <f t="shared" si="28"/>
        <v>Monday</v>
      </c>
      <c r="Q513">
        <f t="shared" si="29"/>
        <v>1440</v>
      </c>
      <c r="R513" t="str">
        <f t="shared" si="30"/>
        <v>Weekday</v>
      </c>
      <c r="S513" t="str">
        <f t="shared" si="31"/>
        <v>Very_Active</v>
      </c>
    </row>
    <row r="514" spans="1:19" x14ac:dyDescent="0.25">
      <c r="A514">
        <v>6775888955</v>
      </c>
      <c r="B514" s="4">
        <v>42476</v>
      </c>
      <c r="C514">
        <v>4732</v>
      </c>
      <c r="D514" s="1">
        <v>3.3900001049041699</v>
      </c>
      <c r="E514" s="1">
        <v>3.3900001049041699</v>
      </c>
      <c r="F514" s="1">
        <v>0</v>
      </c>
      <c r="G514" s="1">
        <v>2.5199999809265101</v>
      </c>
      <c r="H514" s="1">
        <v>0.81000000238418601</v>
      </c>
      <c r="I514" s="1">
        <v>5.9999998658895499E-2</v>
      </c>
      <c r="J514" s="1">
        <v>0</v>
      </c>
      <c r="K514">
        <v>36</v>
      </c>
      <c r="L514">
        <v>18</v>
      </c>
      <c r="M514">
        <v>9</v>
      </c>
      <c r="N514">
        <v>1377</v>
      </c>
      <c r="O514">
        <v>2225</v>
      </c>
      <c r="P514" t="str">
        <f t="shared" ref="P514:P577" si="32">TEXT(B514,"dddd")</f>
        <v>Saturday</v>
      </c>
      <c r="Q514">
        <f t="shared" ref="Q514:Q577" si="33">SUM(K514:N514)</f>
        <v>1440</v>
      </c>
      <c r="R514" t="str">
        <f t="shared" ref="R514:R577" si="34">IF(WEEKDAY(B514,2)&lt;=5,"Weekday","Weekend")</f>
        <v>Weekend</v>
      </c>
      <c r="S514" t="str">
        <f t="shared" ref="S514:S577" si="35">IF(C514&lt;5000,"Sedentary",IF(C514&lt;7500,"Lightly Active",IF(C514&lt;10000,"Fairly Active","Very_Active")))</f>
        <v>Sedentary</v>
      </c>
    </row>
    <row r="515" spans="1:19" x14ac:dyDescent="0.25">
      <c r="A515">
        <v>7007744171</v>
      </c>
      <c r="B515" s="4">
        <v>42374</v>
      </c>
      <c r="C515">
        <v>5600</v>
      </c>
      <c r="D515" s="1">
        <v>3.75</v>
      </c>
      <c r="E515" s="1">
        <v>3.75</v>
      </c>
      <c r="F515" s="1">
        <v>0</v>
      </c>
      <c r="G515" s="1">
        <v>0</v>
      </c>
      <c r="H515" s="1">
        <v>0</v>
      </c>
      <c r="I515" s="1">
        <v>3.75</v>
      </c>
      <c r="J515" s="1">
        <v>0</v>
      </c>
      <c r="K515">
        <v>0</v>
      </c>
      <c r="L515">
        <v>0</v>
      </c>
      <c r="M515">
        <v>237</v>
      </c>
      <c r="N515">
        <v>1142</v>
      </c>
      <c r="O515">
        <v>2225</v>
      </c>
      <c r="P515" t="str">
        <f t="shared" si="32"/>
        <v>Tuesday</v>
      </c>
      <c r="Q515">
        <f t="shared" si="33"/>
        <v>1379</v>
      </c>
      <c r="R515" t="str">
        <f t="shared" si="34"/>
        <v>Weekday</v>
      </c>
      <c r="S515" t="str">
        <f t="shared" si="35"/>
        <v>Lightly Active</v>
      </c>
    </row>
    <row r="516" spans="1:19" x14ac:dyDescent="0.25">
      <c r="A516">
        <v>6117666160</v>
      </c>
      <c r="B516" s="4">
        <v>42477</v>
      </c>
      <c r="C516">
        <v>7150</v>
      </c>
      <c r="D516" s="1">
        <v>5.4000000953674299</v>
      </c>
      <c r="E516" s="1">
        <v>5.4000000953674299</v>
      </c>
      <c r="F516" s="1">
        <v>0</v>
      </c>
      <c r="G516" s="1">
        <v>0</v>
      </c>
      <c r="H516" s="1">
        <v>0</v>
      </c>
      <c r="I516" s="1">
        <v>5.4000000953674299</v>
      </c>
      <c r="J516" s="1">
        <v>0</v>
      </c>
      <c r="K516">
        <v>0</v>
      </c>
      <c r="L516">
        <v>0</v>
      </c>
      <c r="M516">
        <v>312</v>
      </c>
      <c r="N516">
        <v>702</v>
      </c>
      <c r="O516">
        <v>2225</v>
      </c>
      <c r="P516" t="str">
        <f t="shared" si="32"/>
        <v>Sunday</v>
      </c>
      <c r="Q516">
        <f t="shared" si="33"/>
        <v>1014</v>
      </c>
      <c r="R516" t="str">
        <f t="shared" si="34"/>
        <v>Weekend</v>
      </c>
      <c r="S516" t="str">
        <f t="shared" si="35"/>
        <v>Lightly Active</v>
      </c>
    </row>
    <row r="517" spans="1:19" x14ac:dyDescent="0.25">
      <c r="A517">
        <v>4558609924</v>
      </c>
      <c r="B517" s="4">
        <v>42485</v>
      </c>
      <c r="C517">
        <v>8095</v>
      </c>
      <c r="D517" s="1">
        <v>5.3499999046325701</v>
      </c>
      <c r="E517" s="1">
        <v>5.3499999046325701</v>
      </c>
      <c r="F517" s="1">
        <v>0</v>
      </c>
      <c r="G517" s="1">
        <v>0.58999997377395597</v>
      </c>
      <c r="H517" s="1">
        <v>0.25</v>
      </c>
      <c r="I517" s="1">
        <v>4.5100002288818404</v>
      </c>
      <c r="J517" s="1">
        <v>0</v>
      </c>
      <c r="K517">
        <v>18</v>
      </c>
      <c r="L517">
        <v>10</v>
      </c>
      <c r="M517">
        <v>340</v>
      </c>
      <c r="N517">
        <v>993</v>
      </c>
      <c r="O517">
        <v>2225</v>
      </c>
      <c r="P517" t="str">
        <f t="shared" si="32"/>
        <v>Monday</v>
      </c>
      <c r="Q517">
        <f t="shared" si="33"/>
        <v>1361</v>
      </c>
      <c r="R517" t="str">
        <f t="shared" si="34"/>
        <v>Weekday</v>
      </c>
      <c r="S517" t="str">
        <f t="shared" si="35"/>
        <v>Fairly Active</v>
      </c>
    </row>
    <row r="518" spans="1:19" x14ac:dyDescent="0.25">
      <c r="A518">
        <v>1927972279</v>
      </c>
      <c r="B518" s="4">
        <v>42556</v>
      </c>
      <c r="C518">
        <v>1510</v>
      </c>
      <c r="D518" s="1">
        <v>1.03999996185303</v>
      </c>
      <c r="E518" s="1">
        <v>1.03999996185303</v>
      </c>
      <c r="F518" s="1">
        <v>0</v>
      </c>
      <c r="G518" s="1">
        <v>0</v>
      </c>
      <c r="H518" s="1">
        <v>0</v>
      </c>
      <c r="I518" s="1">
        <v>1.03999996185303</v>
      </c>
      <c r="J518" s="1">
        <v>0</v>
      </c>
      <c r="K518">
        <v>0</v>
      </c>
      <c r="L518">
        <v>0</v>
      </c>
      <c r="M518">
        <v>48</v>
      </c>
      <c r="N518">
        <v>1392</v>
      </c>
      <c r="O518">
        <v>2229</v>
      </c>
      <c r="P518" t="str">
        <f t="shared" si="32"/>
        <v>Tuesday</v>
      </c>
      <c r="Q518">
        <f t="shared" si="33"/>
        <v>1440</v>
      </c>
      <c r="R518" t="str">
        <f t="shared" si="34"/>
        <v>Weekday</v>
      </c>
      <c r="S518" t="str">
        <f t="shared" si="35"/>
        <v>Sedentary</v>
      </c>
    </row>
    <row r="519" spans="1:19" x14ac:dyDescent="0.25">
      <c r="A519">
        <v>4319703577</v>
      </c>
      <c r="B519" s="4">
        <v>42679</v>
      </c>
      <c r="C519">
        <v>9129</v>
      </c>
      <c r="D519" s="1">
        <v>6.1300001144409197</v>
      </c>
      <c r="E519" s="1">
        <v>6.1300001144409197</v>
      </c>
      <c r="F519" s="1">
        <v>0</v>
      </c>
      <c r="G519" s="1">
        <v>0.20000000298023199</v>
      </c>
      <c r="H519" s="1">
        <v>0.74000000953674305</v>
      </c>
      <c r="I519" s="1">
        <v>5.1799998283386204</v>
      </c>
      <c r="J519" s="1">
        <v>0</v>
      </c>
      <c r="K519">
        <v>3</v>
      </c>
      <c r="L519">
        <v>18</v>
      </c>
      <c r="M519">
        <v>311</v>
      </c>
      <c r="N519">
        <v>574</v>
      </c>
      <c r="O519">
        <v>2232</v>
      </c>
      <c r="P519" t="str">
        <f t="shared" si="32"/>
        <v>Saturday</v>
      </c>
      <c r="Q519">
        <f t="shared" si="33"/>
        <v>906</v>
      </c>
      <c r="R519" t="str">
        <f t="shared" si="34"/>
        <v>Weekend</v>
      </c>
      <c r="S519" t="str">
        <f t="shared" si="35"/>
        <v>Fairly Active</v>
      </c>
    </row>
    <row r="520" spans="1:19" x14ac:dyDescent="0.25">
      <c r="A520">
        <v>4319703577</v>
      </c>
      <c r="B520" s="4">
        <v>42434</v>
      </c>
      <c r="C520">
        <v>9648</v>
      </c>
      <c r="D520" s="1">
        <v>6.4699997901916504</v>
      </c>
      <c r="E520" s="1">
        <v>6.4699997901916504</v>
      </c>
      <c r="F520" s="1">
        <v>0</v>
      </c>
      <c r="G520" s="1">
        <v>0.57999998331069902</v>
      </c>
      <c r="H520" s="1">
        <v>1.0700000524520901</v>
      </c>
      <c r="I520" s="1">
        <v>4.8299999237060502</v>
      </c>
      <c r="J520" s="1">
        <v>0</v>
      </c>
      <c r="K520">
        <v>8</v>
      </c>
      <c r="L520">
        <v>26</v>
      </c>
      <c r="M520">
        <v>287</v>
      </c>
      <c r="N520">
        <v>669</v>
      </c>
      <c r="O520">
        <v>2235</v>
      </c>
      <c r="P520" t="str">
        <f t="shared" si="32"/>
        <v>Saturday</v>
      </c>
      <c r="Q520">
        <f t="shared" si="33"/>
        <v>990</v>
      </c>
      <c r="R520" t="str">
        <f t="shared" si="34"/>
        <v>Weekend</v>
      </c>
      <c r="S520" t="str">
        <f t="shared" si="35"/>
        <v>Fairly Active</v>
      </c>
    </row>
    <row r="521" spans="1:19" x14ac:dyDescent="0.25">
      <c r="A521">
        <v>4319703577</v>
      </c>
      <c r="B521" s="4">
        <v>42486</v>
      </c>
      <c r="C521">
        <v>9899</v>
      </c>
      <c r="D521" s="1">
        <v>6.6399998664856001</v>
      </c>
      <c r="E521" s="1">
        <v>6.6399998664856001</v>
      </c>
      <c r="F521" s="1">
        <v>0</v>
      </c>
      <c r="G521" s="1">
        <v>0.56999999284744296</v>
      </c>
      <c r="H521" s="1">
        <v>0.92000001668930098</v>
      </c>
      <c r="I521" s="1">
        <v>5.1500000953674299</v>
      </c>
      <c r="J521" s="1">
        <v>0</v>
      </c>
      <c r="K521">
        <v>8</v>
      </c>
      <c r="L521">
        <v>21</v>
      </c>
      <c r="M521">
        <v>288</v>
      </c>
      <c r="N521">
        <v>649</v>
      </c>
      <c r="O521">
        <v>2236</v>
      </c>
      <c r="P521" t="str">
        <f t="shared" si="32"/>
        <v>Tuesday</v>
      </c>
      <c r="Q521">
        <f t="shared" si="33"/>
        <v>966</v>
      </c>
      <c r="R521" t="str">
        <f t="shared" si="34"/>
        <v>Weekday</v>
      </c>
      <c r="S521" t="str">
        <f t="shared" si="35"/>
        <v>Fairly Active</v>
      </c>
    </row>
    <row r="522" spans="1:19" x14ac:dyDescent="0.25">
      <c r="A522">
        <v>4702921684</v>
      </c>
      <c r="B522" s="4">
        <v>42482</v>
      </c>
      <c r="C522">
        <v>1664</v>
      </c>
      <c r="D522" s="1">
        <v>1.3500000238418599</v>
      </c>
      <c r="E522" s="1">
        <v>1.3500000238418599</v>
      </c>
      <c r="F522" s="1">
        <v>0</v>
      </c>
      <c r="G522" s="1">
        <v>0</v>
      </c>
      <c r="H522" s="1">
        <v>0</v>
      </c>
      <c r="I522" s="1">
        <v>1.3500000238418599</v>
      </c>
      <c r="J522" s="1">
        <v>0</v>
      </c>
      <c r="K522">
        <v>0</v>
      </c>
      <c r="L522">
        <v>0</v>
      </c>
      <c r="M522">
        <v>72</v>
      </c>
      <c r="N522">
        <v>1341</v>
      </c>
      <c r="O522">
        <v>2241</v>
      </c>
      <c r="P522" t="str">
        <f t="shared" si="32"/>
        <v>Friday</v>
      </c>
      <c r="Q522">
        <f t="shared" si="33"/>
        <v>1413</v>
      </c>
      <c r="R522" t="str">
        <f t="shared" si="34"/>
        <v>Weekday</v>
      </c>
      <c r="S522" t="str">
        <f t="shared" si="35"/>
        <v>Sedentary</v>
      </c>
    </row>
    <row r="523" spans="1:19" x14ac:dyDescent="0.25">
      <c r="A523">
        <v>2873212765</v>
      </c>
      <c r="B523" s="4">
        <v>42482</v>
      </c>
      <c r="C523">
        <v>7286</v>
      </c>
      <c r="D523" s="1">
        <v>4.9000000953674299</v>
      </c>
      <c r="E523" s="1">
        <v>4.9000000953674299</v>
      </c>
      <c r="F523" s="1">
        <v>0</v>
      </c>
      <c r="G523" s="1">
        <v>0.46000000834464999</v>
      </c>
      <c r="H523" s="1">
        <v>0</v>
      </c>
      <c r="I523" s="1">
        <v>4.4200000762939498</v>
      </c>
      <c r="J523" s="1">
        <v>1.9999999552965199E-2</v>
      </c>
      <c r="K523">
        <v>46</v>
      </c>
      <c r="L523">
        <v>0</v>
      </c>
      <c r="M523">
        <v>366</v>
      </c>
      <c r="N523">
        <v>1028</v>
      </c>
      <c r="O523">
        <v>2241</v>
      </c>
      <c r="P523" t="str">
        <f t="shared" si="32"/>
        <v>Friday</v>
      </c>
      <c r="Q523">
        <f t="shared" si="33"/>
        <v>1440</v>
      </c>
      <c r="R523" t="str">
        <f t="shared" si="34"/>
        <v>Weekday</v>
      </c>
      <c r="S523" t="str">
        <f t="shared" si="35"/>
        <v>Lightly Active</v>
      </c>
    </row>
    <row r="524" spans="1:19" x14ac:dyDescent="0.25">
      <c r="A524">
        <v>4445114986</v>
      </c>
      <c r="B524" s="4">
        <v>42374</v>
      </c>
      <c r="C524">
        <v>5232</v>
      </c>
      <c r="D524" s="1">
        <v>3.5099999904632599</v>
      </c>
      <c r="E524" s="1">
        <v>3.5099999904632599</v>
      </c>
      <c r="F524" s="1">
        <v>0</v>
      </c>
      <c r="G524" s="1">
        <v>0</v>
      </c>
      <c r="H524" s="1">
        <v>0</v>
      </c>
      <c r="I524" s="1">
        <v>3.5099999904632599</v>
      </c>
      <c r="J524" s="1">
        <v>0</v>
      </c>
      <c r="K524">
        <v>0</v>
      </c>
      <c r="L524">
        <v>0</v>
      </c>
      <c r="M524">
        <v>240</v>
      </c>
      <c r="N524">
        <v>741</v>
      </c>
      <c r="O524">
        <v>2246</v>
      </c>
      <c r="P524" t="str">
        <f t="shared" si="32"/>
        <v>Tuesday</v>
      </c>
      <c r="Q524">
        <f t="shared" si="33"/>
        <v>981</v>
      </c>
      <c r="R524" t="str">
        <f t="shared" si="34"/>
        <v>Weekday</v>
      </c>
      <c r="S524" t="str">
        <f t="shared" si="35"/>
        <v>Lightly Active</v>
      </c>
    </row>
    <row r="525" spans="1:19" x14ac:dyDescent="0.25">
      <c r="A525">
        <v>4445114986</v>
      </c>
      <c r="B525" s="4">
        <v>42484</v>
      </c>
      <c r="C525">
        <v>5002</v>
      </c>
      <c r="D525" s="1">
        <v>3.3599998950958301</v>
      </c>
      <c r="E525" s="1">
        <v>3.3599998950958301</v>
      </c>
      <c r="F525" s="1">
        <v>0</v>
      </c>
      <c r="G525" s="1">
        <v>0</v>
      </c>
      <c r="H525" s="1">
        <v>0</v>
      </c>
      <c r="I525" s="1">
        <v>3.3599998950958301</v>
      </c>
      <c r="J525" s="1">
        <v>0</v>
      </c>
      <c r="K525">
        <v>0</v>
      </c>
      <c r="L525">
        <v>0</v>
      </c>
      <c r="M525">
        <v>244</v>
      </c>
      <c r="N525">
        <v>1196</v>
      </c>
      <c r="O525">
        <v>2247</v>
      </c>
      <c r="P525" t="str">
        <f t="shared" si="32"/>
        <v>Sunday</v>
      </c>
      <c r="Q525">
        <f t="shared" si="33"/>
        <v>1440</v>
      </c>
      <c r="R525" t="str">
        <f t="shared" si="34"/>
        <v>Weekend</v>
      </c>
      <c r="S525" t="str">
        <f t="shared" si="35"/>
        <v>Lightly Active</v>
      </c>
    </row>
    <row r="526" spans="1:19" x14ac:dyDescent="0.25">
      <c r="A526">
        <v>4445114986</v>
      </c>
      <c r="B526" s="4">
        <v>42478</v>
      </c>
      <c r="C526">
        <v>6155</v>
      </c>
      <c r="D526" s="1">
        <v>4.2399997711181596</v>
      </c>
      <c r="E526" s="1">
        <v>4.2399997711181596</v>
      </c>
      <c r="F526" s="1">
        <v>0</v>
      </c>
      <c r="G526" s="1">
        <v>2</v>
      </c>
      <c r="H526" s="1">
        <v>0.28999999165535001</v>
      </c>
      <c r="I526" s="1">
        <v>1.95000004768372</v>
      </c>
      <c r="J526" s="1">
        <v>0</v>
      </c>
      <c r="K526">
        <v>25</v>
      </c>
      <c r="L526">
        <v>6</v>
      </c>
      <c r="M526">
        <v>162</v>
      </c>
      <c r="N526">
        <v>1247</v>
      </c>
      <c r="O526">
        <v>2248</v>
      </c>
      <c r="P526" t="str">
        <f t="shared" si="32"/>
        <v>Monday</v>
      </c>
      <c r="Q526">
        <f t="shared" si="33"/>
        <v>1440</v>
      </c>
      <c r="R526" t="str">
        <f t="shared" si="34"/>
        <v>Weekday</v>
      </c>
      <c r="S526" t="str">
        <f t="shared" si="35"/>
        <v>Lightly Active</v>
      </c>
    </row>
    <row r="527" spans="1:19" x14ac:dyDescent="0.25">
      <c r="A527">
        <v>6117666160</v>
      </c>
      <c r="B527" s="4">
        <v>42587</v>
      </c>
      <c r="C527">
        <v>7328</v>
      </c>
      <c r="D527" s="1">
        <v>5.5300002098083496</v>
      </c>
      <c r="E527" s="1">
        <v>5.5300002098083496</v>
      </c>
      <c r="F527" s="1">
        <v>0</v>
      </c>
      <c r="G527" s="1">
        <v>0</v>
      </c>
      <c r="H527" s="1">
        <v>0</v>
      </c>
      <c r="I527" s="1">
        <v>5.5300002098083496</v>
      </c>
      <c r="J527" s="1">
        <v>0</v>
      </c>
      <c r="K527">
        <v>0</v>
      </c>
      <c r="L527">
        <v>0</v>
      </c>
      <c r="M527">
        <v>318</v>
      </c>
      <c r="N527">
        <v>517</v>
      </c>
      <c r="O527">
        <v>2250</v>
      </c>
      <c r="P527" t="str">
        <f t="shared" si="32"/>
        <v>Friday</v>
      </c>
      <c r="Q527">
        <f t="shared" si="33"/>
        <v>835</v>
      </c>
      <c r="R527" t="str">
        <f t="shared" si="34"/>
        <v>Weekday</v>
      </c>
      <c r="S527" t="str">
        <f t="shared" si="35"/>
        <v>Lightly Active</v>
      </c>
    </row>
    <row r="528" spans="1:19" x14ac:dyDescent="0.25">
      <c r="A528">
        <v>6962181067</v>
      </c>
      <c r="B528" s="4">
        <v>42489</v>
      </c>
      <c r="C528">
        <v>10762</v>
      </c>
      <c r="D528" s="1">
        <v>7.1100001335143999</v>
      </c>
      <c r="E528" s="1">
        <v>7.1100001335143999</v>
      </c>
      <c r="F528" s="1">
        <v>0</v>
      </c>
      <c r="G528" s="1">
        <v>0.81999999284744296</v>
      </c>
      <c r="H528" s="1">
        <v>0.479999989271164</v>
      </c>
      <c r="I528" s="1">
        <v>5.8099999427795401</v>
      </c>
      <c r="J528" s="1">
        <v>0</v>
      </c>
      <c r="K528">
        <v>12</v>
      </c>
      <c r="L528">
        <v>15</v>
      </c>
      <c r="M528">
        <v>369</v>
      </c>
      <c r="N528">
        <v>645</v>
      </c>
      <c r="O528">
        <v>2254</v>
      </c>
      <c r="P528" t="str">
        <f t="shared" si="32"/>
        <v>Friday</v>
      </c>
      <c r="Q528">
        <f t="shared" si="33"/>
        <v>1041</v>
      </c>
      <c r="R528" t="str">
        <f t="shared" si="34"/>
        <v>Weekday</v>
      </c>
      <c r="S528" t="str">
        <f t="shared" si="35"/>
        <v>Very_Active</v>
      </c>
    </row>
    <row r="529" spans="1:19" x14ac:dyDescent="0.25">
      <c r="A529">
        <v>5553957443</v>
      </c>
      <c r="B529" s="4">
        <v>42475</v>
      </c>
      <c r="C529">
        <v>16556</v>
      </c>
      <c r="D529" s="1">
        <v>10.8599996566772</v>
      </c>
      <c r="E529" s="1">
        <v>10.8599996566772</v>
      </c>
      <c r="F529" s="1">
        <v>0</v>
      </c>
      <c r="G529" s="1">
        <v>4.1599998474121103</v>
      </c>
      <c r="H529" s="1">
        <v>1.9800000190734901</v>
      </c>
      <c r="I529" s="1">
        <v>4.71000003814697</v>
      </c>
      <c r="J529" s="1">
        <v>0</v>
      </c>
      <c r="K529">
        <v>58</v>
      </c>
      <c r="L529">
        <v>38</v>
      </c>
      <c r="M529">
        <v>239</v>
      </c>
      <c r="N529">
        <v>689</v>
      </c>
      <c r="O529">
        <v>2254</v>
      </c>
      <c r="P529" t="str">
        <f t="shared" si="32"/>
        <v>Friday</v>
      </c>
      <c r="Q529">
        <f t="shared" si="33"/>
        <v>1024</v>
      </c>
      <c r="R529" t="str">
        <f t="shared" si="34"/>
        <v>Weekday</v>
      </c>
      <c r="S529" t="str">
        <f t="shared" si="35"/>
        <v>Very_Active</v>
      </c>
    </row>
    <row r="530" spans="1:19" x14ac:dyDescent="0.25">
      <c r="A530">
        <v>4319703577</v>
      </c>
      <c r="B530" s="4">
        <v>42648</v>
      </c>
      <c r="C530">
        <v>9487</v>
      </c>
      <c r="D530" s="1">
        <v>6.3699998855590803</v>
      </c>
      <c r="E530" s="1">
        <v>6.3699998855590803</v>
      </c>
      <c r="F530" s="1">
        <v>0</v>
      </c>
      <c r="G530" s="1">
        <v>0.20999999344348899</v>
      </c>
      <c r="H530" s="1">
        <v>0.46000000834464999</v>
      </c>
      <c r="I530" s="1">
        <v>5.6999998092651403</v>
      </c>
      <c r="J530" s="1">
        <v>0</v>
      </c>
      <c r="K530">
        <v>3</v>
      </c>
      <c r="L530">
        <v>12</v>
      </c>
      <c r="M530">
        <v>329</v>
      </c>
      <c r="N530">
        <v>555</v>
      </c>
      <c r="O530">
        <v>2260</v>
      </c>
      <c r="P530" t="str">
        <f t="shared" si="32"/>
        <v>Wednesday</v>
      </c>
      <c r="Q530">
        <f t="shared" si="33"/>
        <v>899</v>
      </c>
      <c r="R530" t="str">
        <f t="shared" si="34"/>
        <v>Weekday</v>
      </c>
      <c r="S530" t="str">
        <f t="shared" si="35"/>
        <v>Fairly Active</v>
      </c>
    </row>
    <row r="531" spans="1:19" x14ac:dyDescent="0.25">
      <c r="A531">
        <v>4558609924</v>
      </c>
      <c r="B531" s="4">
        <v>42495</v>
      </c>
      <c r="C531">
        <v>10611</v>
      </c>
      <c r="D531" s="1">
        <v>7.0100002288818404</v>
      </c>
      <c r="E531" s="1">
        <v>7.0100002288818404</v>
      </c>
      <c r="F531" s="1">
        <v>0</v>
      </c>
      <c r="G531" s="1">
        <v>1.0099999904632599</v>
      </c>
      <c r="H531" s="1">
        <v>0.5</v>
      </c>
      <c r="I531" s="1">
        <v>5.5100002288818404</v>
      </c>
      <c r="J531" s="1">
        <v>0</v>
      </c>
      <c r="K531">
        <v>14</v>
      </c>
      <c r="L531">
        <v>8</v>
      </c>
      <c r="M531">
        <v>370</v>
      </c>
      <c r="N531">
        <v>1048</v>
      </c>
      <c r="O531">
        <v>2262</v>
      </c>
      <c r="P531" t="str">
        <f t="shared" si="32"/>
        <v>Thursday</v>
      </c>
      <c r="Q531">
        <f t="shared" si="33"/>
        <v>1440</v>
      </c>
      <c r="R531" t="str">
        <f t="shared" si="34"/>
        <v>Weekday</v>
      </c>
      <c r="S531" t="str">
        <f t="shared" si="35"/>
        <v>Very_Active</v>
      </c>
    </row>
    <row r="532" spans="1:19" x14ac:dyDescent="0.25">
      <c r="A532">
        <v>4319703577</v>
      </c>
      <c r="B532" s="4">
        <v>42526</v>
      </c>
      <c r="C532">
        <v>9524</v>
      </c>
      <c r="D532" s="1">
        <v>6.4200000762939498</v>
      </c>
      <c r="E532" s="1">
        <v>6.4200000762939498</v>
      </c>
      <c r="F532" s="1">
        <v>0</v>
      </c>
      <c r="G532" s="1">
        <v>0.40999999642372098</v>
      </c>
      <c r="H532" s="1">
        <v>0.46999999880790699</v>
      </c>
      <c r="I532" s="1">
        <v>5.46000003814697</v>
      </c>
      <c r="J532" s="1">
        <v>0</v>
      </c>
      <c r="K532">
        <v>6</v>
      </c>
      <c r="L532">
        <v>11</v>
      </c>
      <c r="M532">
        <v>314</v>
      </c>
      <c r="N532">
        <v>692</v>
      </c>
      <c r="O532">
        <v>2266</v>
      </c>
      <c r="P532" t="str">
        <f t="shared" si="32"/>
        <v>Sunday</v>
      </c>
      <c r="Q532">
        <f t="shared" si="33"/>
        <v>1023</v>
      </c>
      <c r="R532" t="str">
        <f t="shared" si="34"/>
        <v>Weekend</v>
      </c>
      <c r="S532" t="str">
        <f t="shared" si="35"/>
        <v>Fairly Active</v>
      </c>
    </row>
    <row r="533" spans="1:19" x14ac:dyDescent="0.25">
      <c r="A533">
        <v>4319703577</v>
      </c>
      <c r="B533" s="4">
        <v>42405</v>
      </c>
      <c r="C533">
        <v>9261</v>
      </c>
      <c r="D533" s="1">
        <v>6.2399997711181596</v>
      </c>
      <c r="E533" s="1">
        <v>6.2399997711181596</v>
      </c>
      <c r="F533" s="1">
        <v>0</v>
      </c>
      <c r="G533" s="1">
        <v>0</v>
      </c>
      <c r="H533" s="1">
        <v>0.43999999761581399</v>
      </c>
      <c r="I533" s="1">
        <v>5.71000003814697</v>
      </c>
      <c r="J533" s="1">
        <v>0</v>
      </c>
      <c r="K533">
        <v>0</v>
      </c>
      <c r="L533">
        <v>11</v>
      </c>
      <c r="M533">
        <v>344</v>
      </c>
      <c r="N533">
        <v>585</v>
      </c>
      <c r="O533">
        <v>2270</v>
      </c>
      <c r="P533" t="str">
        <f t="shared" si="32"/>
        <v>Friday</v>
      </c>
      <c r="Q533">
        <f t="shared" si="33"/>
        <v>940</v>
      </c>
      <c r="R533" t="str">
        <f t="shared" si="34"/>
        <v>Weekday</v>
      </c>
      <c r="S533" t="str">
        <f t="shared" si="35"/>
        <v>Fairly Active</v>
      </c>
    </row>
    <row r="534" spans="1:19" x14ac:dyDescent="0.25">
      <c r="A534">
        <v>5553957443</v>
      </c>
      <c r="B534" s="4">
        <v>42618</v>
      </c>
      <c r="C534">
        <v>11611</v>
      </c>
      <c r="D534" s="1">
        <v>7.5799999237060502</v>
      </c>
      <c r="E534" s="1">
        <v>7.5799999237060502</v>
      </c>
      <c r="F534" s="1">
        <v>0</v>
      </c>
      <c r="G534" s="1">
        <v>2.1300001144409202</v>
      </c>
      <c r="H534" s="1">
        <v>0.88999998569488503</v>
      </c>
      <c r="I534" s="1">
        <v>4.5599999427795401</v>
      </c>
      <c r="J534" s="1">
        <v>0</v>
      </c>
      <c r="K534">
        <v>59</v>
      </c>
      <c r="L534">
        <v>22</v>
      </c>
      <c r="M534">
        <v>251</v>
      </c>
      <c r="N534">
        <v>667</v>
      </c>
      <c r="O534">
        <v>2272</v>
      </c>
      <c r="P534" t="str">
        <f t="shared" si="32"/>
        <v>Monday</v>
      </c>
      <c r="Q534">
        <f t="shared" si="33"/>
        <v>999</v>
      </c>
      <c r="R534" t="str">
        <f t="shared" si="34"/>
        <v>Weekday</v>
      </c>
      <c r="S534" t="str">
        <f t="shared" si="35"/>
        <v>Very_Active</v>
      </c>
    </row>
    <row r="535" spans="1:19" x14ac:dyDescent="0.25">
      <c r="A535">
        <v>6117666160</v>
      </c>
      <c r="B535" s="4">
        <v>42490</v>
      </c>
      <c r="C535">
        <v>6987</v>
      </c>
      <c r="D535" s="1">
        <v>5.2800002098083496</v>
      </c>
      <c r="E535" s="1">
        <v>5.2800002098083496</v>
      </c>
      <c r="F535" s="1">
        <v>0</v>
      </c>
      <c r="G535" s="1">
        <v>0</v>
      </c>
      <c r="H535" s="1">
        <v>0</v>
      </c>
      <c r="I535" s="1">
        <v>5.2800002098083496</v>
      </c>
      <c r="J535" s="1">
        <v>0</v>
      </c>
      <c r="K535">
        <v>0</v>
      </c>
      <c r="L535">
        <v>0</v>
      </c>
      <c r="M535">
        <v>343</v>
      </c>
      <c r="N535">
        <v>1040</v>
      </c>
      <c r="O535">
        <v>2275</v>
      </c>
      <c r="P535" t="str">
        <f t="shared" si="32"/>
        <v>Saturday</v>
      </c>
      <c r="Q535">
        <f t="shared" si="33"/>
        <v>1383</v>
      </c>
      <c r="R535" t="str">
        <f t="shared" si="34"/>
        <v>Weekend</v>
      </c>
      <c r="S535" t="str">
        <f t="shared" si="35"/>
        <v>Lightly Active</v>
      </c>
    </row>
    <row r="536" spans="1:19" x14ac:dyDescent="0.25">
      <c r="A536">
        <v>6775888955</v>
      </c>
      <c r="B536" s="4">
        <v>42490</v>
      </c>
      <c r="C536">
        <v>2503</v>
      </c>
      <c r="D536" s="1">
        <v>1.78999996185303</v>
      </c>
      <c r="E536" s="1">
        <v>1.78999996185303</v>
      </c>
      <c r="F536" s="1">
        <v>0</v>
      </c>
      <c r="G536" s="1">
        <v>0.15999999642372101</v>
      </c>
      <c r="H536" s="1">
        <v>0.15999999642372101</v>
      </c>
      <c r="I536" s="1">
        <v>1.4800000190734901</v>
      </c>
      <c r="J536" s="1">
        <v>0</v>
      </c>
      <c r="K536">
        <v>3</v>
      </c>
      <c r="L536">
        <v>9</v>
      </c>
      <c r="M536">
        <v>84</v>
      </c>
      <c r="N536">
        <v>1344</v>
      </c>
      <c r="O536">
        <v>2280</v>
      </c>
      <c r="P536" t="str">
        <f t="shared" si="32"/>
        <v>Saturday</v>
      </c>
      <c r="Q536">
        <f t="shared" si="33"/>
        <v>1440</v>
      </c>
      <c r="R536" t="str">
        <f t="shared" si="34"/>
        <v>Weekend</v>
      </c>
      <c r="S536" t="str">
        <f t="shared" si="35"/>
        <v>Sedentary</v>
      </c>
    </row>
    <row r="537" spans="1:19" x14ac:dyDescent="0.25">
      <c r="A537">
        <v>4445114986</v>
      </c>
      <c r="B537" s="4">
        <v>42618</v>
      </c>
      <c r="C537">
        <v>5275</v>
      </c>
      <c r="D537" s="1">
        <v>3.53999996185303</v>
      </c>
      <c r="E537" s="1">
        <v>3.53999996185303</v>
      </c>
      <c r="F537" s="1">
        <v>0</v>
      </c>
      <c r="G537" s="1">
        <v>0</v>
      </c>
      <c r="H537" s="1">
        <v>0</v>
      </c>
      <c r="I537" s="1">
        <v>3.53999996185303</v>
      </c>
      <c r="J537" s="1">
        <v>0</v>
      </c>
      <c r="K537">
        <v>0</v>
      </c>
      <c r="L537">
        <v>0</v>
      </c>
      <c r="M537">
        <v>266</v>
      </c>
      <c r="N537">
        <v>641</v>
      </c>
      <c r="O537">
        <v>2281</v>
      </c>
      <c r="P537" t="str">
        <f t="shared" si="32"/>
        <v>Monday</v>
      </c>
      <c r="Q537">
        <f t="shared" si="33"/>
        <v>907</v>
      </c>
      <c r="R537" t="str">
        <f t="shared" si="34"/>
        <v>Weekday</v>
      </c>
      <c r="S537" t="str">
        <f t="shared" si="35"/>
        <v>Lightly Active</v>
      </c>
    </row>
    <row r="538" spans="1:19" x14ac:dyDescent="0.25">
      <c r="A538">
        <v>4319703577</v>
      </c>
      <c r="B538" s="4">
        <v>42465</v>
      </c>
      <c r="C538">
        <v>10429</v>
      </c>
      <c r="D538" s="1">
        <v>7.0199999809265101</v>
      </c>
      <c r="E538" s="1">
        <v>7.0199999809265101</v>
      </c>
      <c r="F538" s="1">
        <v>0</v>
      </c>
      <c r="G538" s="1">
        <v>0.58999997377395597</v>
      </c>
      <c r="H538" s="1">
        <v>0.57999998331069902</v>
      </c>
      <c r="I538" s="1">
        <v>5.8499999046325701</v>
      </c>
      <c r="J538" s="1">
        <v>0</v>
      </c>
      <c r="K538">
        <v>8</v>
      </c>
      <c r="L538">
        <v>13</v>
      </c>
      <c r="M538">
        <v>313</v>
      </c>
      <c r="N538">
        <v>1106</v>
      </c>
      <c r="O538">
        <v>2282</v>
      </c>
      <c r="P538" t="str">
        <f t="shared" si="32"/>
        <v>Tuesday</v>
      </c>
      <c r="Q538">
        <f t="shared" si="33"/>
        <v>1440</v>
      </c>
      <c r="R538" t="str">
        <f t="shared" si="34"/>
        <v>Weekday</v>
      </c>
      <c r="S538" t="str">
        <f t="shared" si="35"/>
        <v>Very_Active</v>
      </c>
    </row>
    <row r="539" spans="1:19" x14ac:dyDescent="0.25">
      <c r="A539">
        <v>7007744171</v>
      </c>
      <c r="B539" s="4">
        <v>42483</v>
      </c>
      <c r="C539">
        <v>8093</v>
      </c>
      <c r="D539" s="1">
        <v>5.4099998474121103</v>
      </c>
      <c r="E539" s="1">
        <v>5.4099998474121103</v>
      </c>
      <c r="F539" s="1">
        <v>0</v>
      </c>
      <c r="G539" s="1">
        <v>0.129999995231628</v>
      </c>
      <c r="H539" s="1">
        <v>1.12999999523163</v>
      </c>
      <c r="I539" s="1">
        <v>4.1500000953674299</v>
      </c>
      <c r="J539" s="1">
        <v>0</v>
      </c>
      <c r="K539">
        <v>2</v>
      </c>
      <c r="L539">
        <v>25</v>
      </c>
      <c r="M539">
        <v>223</v>
      </c>
      <c r="N539">
        <v>1190</v>
      </c>
      <c r="O539">
        <v>2284</v>
      </c>
      <c r="P539" t="str">
        <f t="shared" si="32"/>
        <v>Saturday</v>
      </c>
      <c r="Q539">
        <f t="shared" si="33"/>
        <v>1440</v>
      </c>
      <c r="R539" t="str">
        <f t="shared" si="34"/>
        <v>Weekend</v>
      </c>
      <c r="S539" t="str">
        <f t="shared" si="35"/>
        <v>Fairly Active</v>
      </c>
    </row>
    <row r="540" spans="1:19" x14ac:dyDescent="0.25">
      <c r="A540">
        <v>5553957443</v>
      </c>
      <c r="B540" s="4">
        <v>42479</v>
      </c>
      <c r="C540">
        <v>15482</v>
      </c>
      <c r="D540" s="1">
        <v>10.1099996566772</v>
      </c>
      <c r="E540" s="1">
        <v>10.1099996566772</v>
      </c>
      <c r="F540" s="1">
        <v>0</v>
      </c>
      <c r="G540" s="1">
        <v>4.2800002098083496</v>
      </c>
      <c r="H540" s="1">
        <v>1.6599999666214</v>
      </c>
      <c r="I540" s="1">
        <v>4.1799998283386204</v>
      </c>
      <c r="J540" s="1">
        <v>0</v>
      </c>
      <c r="K540">
        <v>69</v>
      </c>
      <c r="L540">
        <v>28</v>
      </c>
      <c r="M540">
        <v>249</v>
      </c>
      <c r="N540">
        <v>756</v>
      </c>
      <c r="O540">
        <v>2284</v>
      </c>
      <c r="P540" t="str">
        <f t="shared" si="32"/>
        <v>Tuesday</v>
      </c>
      <c r="Q540">
        <f t="shared" si="33"/>
        <v>1102</v>
      </c>
      <c r="R540" t="str">
        <f t="shared" si="34"/>
        <v>Weekday</v>
      </c>
      <c r="S540" t="str">
        <f t="shared" si="35"/>
        <v>Very_Active</v>
      </c>
    </row>
    <row r="541" spans="1:19" x14ac:dyDescent="0.25">
      <c r="A541">
        <v>4057192912</v>
      </c>
      <c r="B541" s="4">
        <v>42708</v>
      </c>
      <c r="C541">
        <v>5394</v>
      </c>
      <c r="D541" s="1">
        <v>4.0300002098083496</v>
      </c>
      <c r="E541" s="1">
        <v>4.0300002098083496</v>
      </c>
      <c r="F541" s="1">
        <v>0</v>
      </c>
      <c r="G541" s="1">
        <v>0</v>
      </c>
      <c r="H541" s="1">
        <v>0</v>
      </c>
      <c r="I541" s="1">
        <v>3.9400000572204599</v>
      </c>
      <c r="J541" s="1">
        <v>0</v>
      </c>
      <c r="K541">
        <v>0</v>
      </c>
      <c r="L541">
        <v>0</v>
      </c>
      <c r="M541">
        <v>164</v>
      </c>
      <c r="N541">
        <v>1276</v>
      </c>
      <c r="O541">
        <v>2286</v>
      </c>
      <c r="P541" t="str">
        <f t="shared" si="32"/>
        <v>Sunday</v>
      </c>
      <c r="Q541">
        <f t="shared" si="33"/>
        <v>1440</v>
      </c>
      <c r="R541" t="str">
        <f t="shared" si="34"/>
        <v>Weekend</v>
      </c>
      <c r="S541" t="str">
        <f t="shared" si="35"/>
        <v>Lightly Active</v>
      </c>
    </row>
    <row r="542" spans="1:19" x14ac:dyDescent="0.25">
      <c r="A542">
        <v>4445114986</v>
      </c>
      <c r="B542" s="4">
        <v>42486</v>
      </c>
      <c r="C542">
        <v>6326</v>
      </c>
      <c r="D542" s="1">
        <v>4.4099998474121103</v>
      </c>
      <c r="E542" s="1">
        <v>4.4099998474121103</v>
      </c>
      <c r="F542" s="1">
        <v>0</v>
      </c>
      <c r="G542" s="1">
        <v>2.4100000858306898</v>
      </c>
      <c r="H542" s="1">
        <v>3.9999999105930301E-2</v>
      </c>
      <c r="I542" s="1">
        <v>1.96000003814697</v>
      </c>
      <c r="J542" s="1">
        <v>0</v>
      </c>
      <c r="K542">
        <v>29</v>
      </c>
      <c r="L542">
        <v>1</v>
      </c>
      <c r="M542">
        <v>180</v>
      </c>
      <c r="N542">
        <v>839</v>
      </c>
      <c r="O542">
        <v>2291</v>
      </c>
      <c r="P542" t="str">
        <f t="shared" si="32"/>
        <v>Tuesday</v>
      </c>
      <c r="Q542">
        <f t="shared" si="33"/>
        <v>1049</v>
      </c>
      <c r="R542" t="str">
        <f t="shared" si="34"/>
        <v>Weekday</v>
      </c>
      <c r="S542" t="str">
        <f t="shared" si="35"/>
        <v>Lightly Active</v>
      </c>
    </row>
    <row r="543" spans="1:19" x14ac:dyDescent="0.25">
      <c r="A543">
        <v>2022484408</v>
      </c>
      <c r="B543" s="4">
        <v>42488</v>
      </c>
      <c r="C543">
        <v>10140</v>
      </c>
      <c r="D543" s="1">
        <v>7.1199998855590803</v>
      </c>
      <c r="E543" s="1">
        <v>7.1199998855590803</v>
      </c>
      <c r="F543" s="1">
        <v>0</v>
      </c>
      <c r="G543" s="1">
        <v>0.40999999642372098</v>
      </c>
      <c r="H543" s="1">
        <v>1.33000004291534</v>
      </c>
      <c r="I543" s="1">
        <v>5.3899998664856001</v>
      </c>
      <c r="J543" s="1">
        <v>0</v>
      </c>
      <c r="K543">
        <v>6</v>
      </c>
      <c r="L543">
        <v>20</v>
      </c>
      <c r="M543">
        <v>291</v>
      </c>
      <c r="N543">
        <v>1123</v>
      </c>
      <c r="O543">
        <v>2296</v>
      </c>
      <c r="P543" t="str">
        <f t="shared" si="32"/>
        <v>Thursday</v>
      </c>
      <c r="Q543">
        <f t="shared" si="33"/>
        <v>1440</v>
      </c>
      <c r="R543" t="str">
        <f t="shared" si="34"/>
        <v>Weekday</v>
      </c>
      <c r="S543" t="str">
        <f t="shared" si="35"/>
        <v>Very_Active</v>
      </c>
    </row>
    <row r="544" spans="1:19" x14ac:dyDescent="0.25">
      <c r="A544">
        <v>8792009665</v>
      </c>
      <c r="B544" s="4">
        <v>42434</v>
      </c>
      <c r="C544">
        <v>2421</v>
      </c>
      <c r="D544" s="1">
        <v>1.54999995231628</v>
      </c>
      <c r="E544" s="1">
        <v>1.54999995231628</v>
      </c>
      <c r="F544" s="1">
        <v>0</v>
      </c>
      <c r="G544" s="1">
        <v>0</v>
      </c>
      <c r="H544" s="1">
        <v>0</v>
      </c>
      <c r="I544" s="1">
        <v>1.54999995231628</v>
      </c>
      <c r="J544" s="1">
        <v>0</v>
      </c>
      <c r="K544">
        <v>0</v>
      </c>
      <c r="L544">
        <v>0</v>
      </c>
      <c r="M544">
        <v>156</v>
      </c>
      <c r="N544">
        <v>739</v>
      </c>
      <c r="O544">
        <v>2297</v>
      </c>
      <c r="P544" t="str">
        <f t="shared" si="32"/>
        <v>Saturday</v>
      </c>
      <c r="Q544">
        <f t="shared" si="33"/>
        <v>895</v>
      </c>
      <c r="R544" t="str">
        <f t="shared" si="34"/>
        <v>Weekend</v>
      </c>
      <c r="S544" t="str">
        <f t="shared" si="35"/>
        <v>Sedentary</v>
      </c>
    </row>
    <row r="545" spans="1:19" x14ac:dyDescent="0.25">
      <c r="A545">
        <v>4319703577</v>
      </c>
      <c r="B545" s="4">
        <v>42474</v>
      </c>
      <c r="C545">
        <v>10210</v>
      </c>
      <c r="D545" s="1">
        <v>6.8800001144409197</v>
      </c>
      <c r="E545" s="1">
        <v>6.8800001144409197</v>
      </c>
      <c r="F545" s="1">
        <v>0</v>
      </c>
      <c r="G545" s="1">
        <v>0.109999999403954</v>
      </c>
      <c r="H545" s="1">
        <v>0.33000001311302202</v>
      </c>
      <c r="I545" s="1">
        <v>6.4400000572204599</v>
      </c>
      <c r="J545" s="1">
        <v>0</v>
      </c>
      <c r="K545">
        <v>1</v>
      </c>
      <c r="L545">
        <v>9</v>
      </c>
      <c r="M545">
        <v>339</v>
      </c>
      <c r="N545">
        <v>589</v>
      </c>
      <c r="O545">
        <v>2302</v>
      </c>
      <c r="P545" t="str">
        <f t="shared" si="32"/>
        <v>Thursday</v>
      </c>
      <c r="Q545">
        <f t="shared" si="33"/>
        <v>938</v>
      </c>
      <c r="R545" t="str">
        <f t="shared" si="34"/>
        <v>Weekday</v>
      </c>
      <c r="S545" t="str">
        <f t="shared" si="35"/>
        <v>Very_Active</v>
      </c>
    </row>
    <row r="546" spans="1:19" x14ac:dyDescent="0.25">
      <c r="A546">
        <v>6117666160</v>
      </c>
      <c r="B546" s="4">
        <v>42484</v>
      </c>
      <c r="C546">
        <v>7623</v>
      </c>
      <c r="D546" s="1">
        <v>5.7600002288818404</v>
      </c>
      <c r="E546" s="1">
        <v>5.7600002288818404</v>
      </c>
      <c r="F546" s="1">
        <v>0</v>
      </c>
      <c r="G546" s="1">
        <v>0</v>
      </c>
      <c r="H546" s="1">
        <v>0</v>
      </c>
      <c r="I546" s="1">
        <v>5.7600002288818404</v>
      </c>
      <c r="J546" s="1">
        <v>0</v>
      </c>
      <c r="K546">
        <v>0</v>
      </c>
      <c r="L546">
        <v>0</v>
      </c>
      <c r="M546">
        <v>362</v>
      </c>
      <c r="N546">
        <v>711</v>
      </c>
      <c r="O546">
        <v>2305</v>
      </c>
      <c r="P546" t="str">
        <f t="shared" si="32"/>
        <v>Sunday</v>
      </c>
      <c r="Q546">
        <f t="shared" si="33"/>
        <v>1073</v>
      </c>
      <c r="R546" t="str">
        <f t="shared" si="34"/>
        <v>Weekend</v>
      </c>
      <c r="S546" t="str">
        <f t="shared" si="35"/>
        <v>Fairly Active</v>
      </c>
    </row>
    <row r="547" spans="1:19" x14ac:dyDescent="0.25">
      <c r="A547">
        <v>4057192912</v>
      </c>
      <c r="B547" s="4">
        <v>42473</v>
      </c>
      <c r="C547">
        <v>5974</v>
      </c>
      <c r="D547" s="1">
        <v>4.4699997901916504</v>
      </c>
      <c r="E547" s="1">
        <v>4.4699997901916504</v>
      </c>
      <c r="F547" s="1">
        <v>0</v>
      </c>
      <c r="G547" s="1">
        <v>0</v>
      </c>
      <c r="H547" s="1">
        <v>0</v>
      </c>
      <c r="I547" s="1">
        <v>4.3699998855590803</v>
      </c>
      <c r="J547" s="1">
        <v>0</v>
      </c>
      <c r="K547">
        <v>0</v>
      </c>
      <c r="L547">
        <v>0</v>
      </c>
      <c r="M547">
        <v>160</v>
      </c>
      <c r="N547">
        <v>1280</v>
      </c>
      <c r="O547">
        <v>2306</v>
      </c>
      <c r="P547" t="str">
        <f t="shared" si="32"/>
        <v>Wednesday</v>
      </c>
      <c r="Q547">
        <f t="shared" si="33"/>
        <v>1440</v>
      </c>
      <c r="R547" t="str">
        <f t="shared" si="34"/>
        <v>Weekday</v>
      </c>
      <c r="S547" t="str">
        <f t="shared" si="35"/>
        <v>Lightly Active</v>
      </c>
    </row>
    <row r="548" spans="1:19" x14ac:dyDescent="0.25">
      <c r="A548">
        <v>2022484408</v>
      </c>
      <c r="B548" s="4">
        <v>42474</v>
      </c>
      <c r="C548">
        <v>10690</v>
      </c>
      <c r="D548" s="1">
        <v>7.5</v>
      </c>
      <c r="E548" s="1">
        <v>7.5</v>
      </c>
      <c r="F548" s="1">
        <v>0</v>
      </c>
      <c r="G548" s="1">
        <v>2.4800000190734899</v>
      </c>
      <c r="H548" s="1">
        <v>0.20999999344348899</v>
      </c>
      <c r="I548" s="1">
        <v>4.8200001716613796</v>
      </c>
      <c r="J548" s="1">
        <v>0</v>
      </c>
      <c r="K548">
        <v>32</v>
      </c>
      <c r="L548">
        <v>3</v>
      </c>
      <c r="M548">
        <v>257</v>
      </c>
      <c r="N548">
        <v>1148</v>
      </c>
      <c r="O548">
        <v>2312</v>
      </c>
      <c r="P548" t="str">
        <f t="shared" si="32"/>
        <v>Thursday</v>
      </c>
      <c r="Q548">
        <f t="shared" si="33"/>
        <v>1440</v>
      </c>
      <c r="R548" t="str">
        <f t="shared" si="34"/>
        <v>Weekday</v>
      </c>
      <c r="S548" t="str">
        <f t="shared" si="35"/>
        <v>Very_Active</v>
      </c>
    </row>
    <row r="549" spans="1:19" x14ac:dyDescent="0.25">
      <c r="A549">
        <v>4319703577</v>
      </c>
      <c r="B549" s="4">
        <v>42485</v>
      </c>
      <c r="C549">
        <v>9259</v>
      </c>
      <c r="D549" s="1">
        <v>6.21000003814697</v>
      </c>
      <c r="E549" s="1">
        <v>6.21000003814697</v>
      </c>
      <c r="F549" s="1">
        <v>0</v>
      </c>
      <c r="G549" s="1">
        <v>0</v>
      </c>
      <c r="H549" s="1">
        <v>0.28000000119209301</v>
      </c>
      <c r="I549" s="1">
        <v>5.9299998283386204</v>
      </c>
      <c r="J549" s="1">
        <v>0</v>
      </c>
      <c r="K549">
        <v>0</v>
      </c>
      <c r="L549">
        <v>8</v>
      </c>
      <c r="M549">
        <v>390</v>
      </c>
      <c r="N549">
        <v>544</v>
      </c>
      <c r="O549">
        <v>2314</v>
      </c>
      <c r="P549" t="str">
        <f t="shared" si="32"/>
        <v>Monday</v>
      </c>
      <c r="Q549">
        <f t="shared" si="33"/>
        <v>942</v>
      </c>
      <c r="R549" t="str">
        <f t="shared" si="34"/>
        <v>Weekday</v>
      </c>
      <c r="S549" t="str">
        <f t="shared" si="35"/>
        <v>Fairly Active</v>
      </c>
    </row>
    <row r="550" spans="1:19" x14ac:dyDescent="0.25">
      <c r="A550">
        <v>6775888955</v>
      </c>
      <c r="B550" s="4">
        <v>42374</v>
      </c>
      <c r="C550">
        <v>2487</v>
      </c>
      <c r="D550" s="1">
        <v>1.7799999713897701</v>
      </c>
      <c r="E550" s="1">
        <v>1.7799999713897701</v>
      </c>
      <c r="F550" s="1">
        <v>0</v>
      </c>
      <c r="G550" s="1">
        <v>0.479999989271164</v>
      </c>
      <c r="H550" s="1">
        <v>0.62000000476837203</v>
      </c>
      <c r="I550" s="1">
        <v>0.68000000715255704</v>
      </c>
      <c r="J550" s="1">
        <v>0</v>
      </c>
      <c r="K550">
        <v>9</v>
      </c>
      <c r="L550">
        <v>34</v>
      </c>
      <c r="M550">
        <v>50</v>
      </c>
      <c r="N550">
        <v>1347</v>
      </c>
      <c r="O550">
        <v>2319</v>
      </c>
      <c r="P550" t="str">
        <f t="shared" si="32"/>
        <v>Tuesday</v>
      </c>
      <c r="Q550">
        <f t="shared" si="33"/>
        <v>1440</v>
      </c>
      <c r="R550" t="str">
        <f t="shared" si="34"/>
        <v>Weekday</v>
      </c>
      <c r="S550" t="str">
        <f t="shared" si="35"/>
        <v>Sedentary</v>
      </c>
    </row>
    <row r="551" spans="1:19" x14ac:dyDescent="0.25">
      <c r="A551">
        <v>1927972279</v>
      </c>
      <c r="B551" s="4">
        <v>42484</v>
      </c>
      <c r="C551">
        <v>2090</v>
      </c>
      <c r="D551" s="1">
        <v>1.45000004768372</v>
      </c>
      <c r="E551" s="1">
        <v>1.45000004768372</v>
      </c>
      <c r="F551" s="1">
        <v>0</v>
      </c>
      <c r="G551" s="1">
        <v>7.0000000298023196E-2</v>
      </c>
      <c r="H551" s="1">
        <v>0.239999994635582</v>
      </c>
      <c r="I551" s="1">
        <v>1.1399999856948899</v>
      </c>
      <c r="J551" s="1">
        <v>0</v>
      </c>
      <c r="K551">
        <v>1</v>
      </c>
      <c r="L551">
        <v>6</v>
      </c>
      <c r="M551">
        <v>75</v>
      </c>
      <c r="N551">
        <v>1358</v>
      </c>
      <c r="O551">
        <v>2324</v>
      </c>
      <c r="P551" t="str">
        <f t="shared" si="32"/>
        <v>Sunday</v>
      </c>
      <c r="Q551">
        <f t="shared" si="33"/>
        <v>1440</v>
      </c>
      <c r="R551" t="str">
        <f t="shared" si="34"/>
        <v>Weekend</v>
      </c>
      <c r="S551" t="str">
        <f t="shared" si="35"/>
        <v>Sedentary</v>
      </c>
    </row>
    <row r="552" spans="1:19" x14ac:dyDescent="0.25">
      <c r="A552">
        <v>4319703577</v>
      </c>
      <c r="B552" s="4">
        <v>42487</v>
      </c>
      <c r="C552">
        <v>10780</v>
      </c>
      <c r="D552" s="1">
        <v>7.2300000190734899</v>
      </c>
      <c r="E552" s="1">
        <v>7.2300000190734899</v>
      </c>
      <c r="F552" s="1">
        <v>0</v>
      </c>
      <c r="G552" s="1">
        <v>0.40999999642372098</v>
      </c>
      <c r="H552" s="1">
        <v>1.91999995708466</v>
      </c>
      <c r="I552" s="1">
        <v>4.9099998474121103</v>
      </c>
      <c r="J552" s="1">
        <v>0</v>
      </c>
      <c r="K552">
        <v>6</v>
      </c>
      <c r="L552">
        <v>47</v>
      </c>
      <c r="M552">
        <v>300</v>
      </c>
      <c r="N552">
        <v>680</v>
      </c>
      <c r="O552">
        <v>2324</v>
      </c>
      <c r="P552" t="str">
        <f t="shared" si="32"/>
        <v>Wednesday</v>
      </c>
      <c r="Q552">
        <f t="shared" si="33"/>
        <v>1033</v>
      </c>
      <c r="R552" t="str">
        <f t="shared" si="34"/>
        <v>Weekday</v>
      </c>
      <c r="S552" t="str">
        <f t="shared" si="35"/>
        <v>Very_Active</v>
      </c>
    </row>
    <row r="553" spans="1:19" x14ac:dyDescent="0.25">
      <c r="A553">
        <v>5553957443</v>
      </c>
      <c r="B553" s="4">
        <v>42474</v>
      </c>
      <c r="C553">
        <v>17022</v>
      </c>
      <c r="D553" s="1">
        <v>11.1199998855591</v>
      </c>
      <c r="E553" s="1">
        <v>11.1199998855591</v>
      </c>
      <c r="F553" s="1">
        <v>0</v>
      </c>
      <c r="G553" s="1">
        <v>4</v>
      </c>
      <c r="H553" s="1">
        <v>2.4500000476837198</v>
      </c>
      <c r="I553" s="1">
        <v>4.6700000762939498</v>
      </c>
      <c r="J553" s="1">
        <v>0</v>
      </c>
      <c r="K553">
        <v>61</v>
      </c>
      <c r="L553">
        <v>41</v>
      </c>
      <c r="M553">
        <v>256</v>
      </c>
      <c r="N553">
        <v>693</v>
      </c>
      <c r="O553">
        <v>2324</v>
      </c>
      <c r="P553" t="str">
        <f t="shared" si="32"/>
        <v>Thursday</v>
      </c>
      <c r="Q553">
        <f t="shared" si="33"/>
        <v>1051</v>
      </c>
      <c r="R553" t="str">
        <f t="shared" si="34"/>
        <v>Weekday</v>
      </c>
      <c r="S553" t="str">
        <f t="shared" si="35"/>
        <v>Very_Active</v>
      </c>
    </row>
    <row r="554" spans="1:19" x14ac:dyDescent="0.25">
      <c r="A554">
        <v>5553957443</v>
      </c>
      <c r="B554" s="4">
        <v>42648</v>
      </c>
      <c r="C554">
        <v>16358</v>
      </c>
      <c r="D554" s="1">
        <v>10.710000038146999</v>
      </c>
      <c r="E554" s="1">
        <v>10.710000038146999</v>
      </c>
      <c r="F554" s="1">
        <v>0</v>
      </c>
      <c r="G554" s="1">
        <v>3.8699998855590798</v>
      </c>
      <c r="H554" s="1">
        <v>1.6100000143051101</v>
      </c>
      <c r="I554" s="1">
        <v>5.1999998092651403</v>
      </c>
      <c r="J554" s="1">
        <v>0</v>
      </c>
      <c r="K554">
        <v>61</v>
      </c>
      <c r="L554">
        <v>40</v>
      </c>
      <c r="M554">
        <v>265</v>
      </c>
      <c r="N554">
        <v>707</v>
      </c>
      <c r="O554">
        <v>2335</v>
      </c>
      <c r="P554" t="str">
        <f t="shared" si="32"/>
        <v>Wednesday</v>
      </c>
      <c r="Q554">
        <f t="shared" si="33"/>
        <v>1073</v>
      </c>
      <c r="R554" t="str">
        <f t="shared" si="34"/>
        <v>Weekday</v>
      </c>
      <c r="S554" t="str">
        <f t="shared" si="35"/>
        <v>Very_Active</v>
      </c>
    </row>
    <row r="555" spans="1:19" x14ac:dyDescent="0.25">
      <c r="A555">
        <v>4445114986</v>
      </c>
      <c r="B555" s="4">
        <v>42405</v>
      </c>
      <c r="C555">
        <v>6910</v>
      </c>
      <c r="D555" s="1">
        <v>4.75</v>
      </c>
      <c r="E555" s="1">
        <v>4.75</v>
      </c>
      <c r="F555" s="1">
        <v>0</v>
      </c>
      <c r="G555" s="1">
        <v>2.21000003814697</v>
      </c>
      <c r="H555" s="1">
        <v>0.18999999761581399</v>
      </c>
      <c r="I555" s="1">
        <v>2.3499999046325701</v>
      </c>
      <c r="J555" s="1">
        <v>0</v>
      </c>
      <c r="K555">
        <v>27</v>
      </c>
      <c r="L555">
        <v>4</v>
      </c>
      <c r="M555">
        <v>200</v>
      </c>
      <c r="N555">
        <v>667</v>
      </c>
      <c r="O555">
        <v>2336</v>
      </c>
      <c r="P555" t="str">
        <f t="shared" si="32"/>
        <v>Friday</v>
      </c>
      <c r="Q555">
        <f t="shared" si="33"/>
        <v>898</v>
      </c>
      <c r="R555" t="str">
        <f t="shared" si="34"/>
        <v>Weekday</v>
      </c>
      <c r="S555" t="str">
        <f t="shared" si="35"/>
        <v>Lightly Active</v>
      </c>
    </row>
    <row r="556" spans="1:19" x14ac:dyDescent="0.25">
      <c r="A556">
        <v>1927972279</v>
      </c>
      <c r="B556" s="4">
        <v>42465</v>
      </c>
      <c r="C556">
        <v>1786</v>
      </c>
      <c r="D556" s="1">
        <v>1.2400000095367401</v>
      </c>
      <c r="E556" s="1">
        <v>1.2400000095367401</v>
      </c>
      <c r="F556" s="1">
        <v>0</v>
      </c>
      <c r="G556" s="1">
        <v>0</v>
      </c>
      <c r="H556" s="1">
        <v>0</v>
      </c>
      <c r="I556" s="1">
        <v>1.2400000095367401</v>
      </c>
      <c r="J556" s="1">
        <v>0</v>
      </c>
      <c r="K556">
        <v>0</v>
      </c>
      <c r="L556">
        <v>0</v>
      </c>
      <c r="M556">
        <v>87</v>
      </c>
      <c r="N556">
        <v>1353</v>
      </c>
      <c r="O556">
        <v>2338</v>
      </c>
      <c r="P556" t="str">
        <f t="shared" si="32"/>
        <v>Tuesday</v>
      </c>
      <c r="Q556">
        <f t="shared" si="33"/>
        <v>1440</v>
      </c>
      <c r="R556" t="str">
        <f t="shared" si="34"/>
        <v>Weekday</v>
      </c>
      <c r="S556" t="str">
        <f t="shared" si="35"/>
        <v>Sedentary</v>
      </c>
    </row>
    <row r="557" spans="1:19" x14ac:dyDescent="0.25">
      <c r="A557">
        <v>1644430081</v>
      </c>
      <c r="B557" s="4">
        <v>42482</v>
      </c>
      <c r="C557">
        <v>3673</v>
      </c>
      <c r="D557" s="1">
        <v>2.6700000762939502</v>
      </c>
      <c r="E557" s="1">
        <v>2.6700000762939502</v>
      </c>
      <c r="F557" s="1">
        <v>0</v>
      </c>
      <c r="G557" s="1">
        <v>0</v>
      </c>
      <c r="H557" s="1">
        <v>0</v>
      </c>
      <c r="I557" s="1">
        <v>2.6600000858306898</v>
      </c>
      <c r="J557" s="1">
        <v>9.9999997764825804E-3</v>
      </c>
      <c r="K557">
        <v>0</v>
      </c>
      <c r="L557">
        <v>0</v>
      </c>
      <c r="M557">
        <v>86</v>
      </c>
      <c r="N557">
        <v>1354</v>
      </c>
      <c r="O557">
        <v>2344</v>
      </c>
      <c r="P557" t="str">
        <f t="shared" si="32"/>
        <v>Friday</v>
      </c>
      <c r="Q557">
        <f t="shared" si="33"/>
        <v>1440</v>
      </c>
      <c r="R557" t="str">
        <f t="shared" si="34"/>
        <v>Weekday</v>
      </c>
      <c r="S557" t="str">
        <f t="shared" si="35"/>
        <v>Sedentary</v>
      </c>
    </row>
    <row r="558" spans="1:19" x14ac:dyDescent="0.25">
      <c r="A558">
        <v>2347167796</v>
      </c>
      <c r="B558" s="4">
        <v>42708</v>
      </c>
      <c r="C558">
        <v>10113</v>
      </c>
      <c r="D558" s="1">
        <v>6.8299999237060502</v>
      </c>
      <c r="E558" s="1">
        <v>6.8299999237060502</v>
      </c>
      <c r="F558" s="1">
        <v>0</v>
      </c>
      <c r="G558" s="1">
        <v>2</v>
      </c>
      <c r="H558" s="1">
        <v>0.62000000476837203</v>
      </c>
      <c r="I558" s="1">
        <v>4.1999998092651403</v>
      </c>
      <c r="J558" s="1">
        <v>0</v>
      </c>
      <c r="K558">
        <v>28</v>
      </c>
      <c r="L558">
        <v>13</v>
      </c>
      <c r="M558">
        <v>320</v>
      </c>
      <c r="N558">
        <v>964</v>
      </c>
      <c r="O558">
        <v>2344</v>
      </c>
      <c r="P558" t="str">
        <f t="shared" si="32"/>
        <v>Sunday</v>
      </c>
      <c r="Q558">
        <f t="shared" si="33"/>
        <v>1325</v>
      </c>
      <c r="R558" t="str">
        <f t="shared" si="34"/>
        <v>Weekend</v>
      </c>
      <c r="S558" t="str">
        <f t="shared" si="35"/>
        <v>Very_Active</v>
      </c>
    </row>
    <row r="559" spans="1:19" x14ac:dyDescent="0.25">
      <c r="A559">
        <v>4319703577</v>
      </c>
      <c r="B559" s="4">
        <v>42618</v>
      </c>
      <c r="C559">
        <v>10378</v>
      </c>
      <c r="D559" s="1">
        <v>6.96000003814697</v>
      </c>
      <c r="E559" s="1">
        <v>6.96000003814697</v>
      </c>
      <c r="F559" s="1">
        <v>0</v>
      </c>
      <c r="G559" s="1">
        <v>0.140000000596046</v>
      </c>
      <c r="H559" s="1">
        <v>0.56000000238418601</v>
      </c>
      <c r="I559" s="1">
        <v>6.25</v>
      </c>
      <c r="J559" s="1">
        <v>0</v>
      </c>
      <c r="K559">
        <v>2</v>
      </c>
      <c r="L559">
        <v>14</v>
      </c>
      <c r="M559">
        <v>374</v>
      </c>
      <c r="N559">
        <v>490</v>
      </c>
      <c r="O559">
        <v>2345</v>
      </c>
      <c r="P559" t="str">
        <f t="shared" si="32"/>
        <v>Monday</v>
      </c>
      <c r="Q559">
        <f t="shared" si="33"/>
        <v>880</v>
      </c>
      <c r="R559" t="str">
        <f t="shared" si="34"/>
        <v>Weekday</v>
      </c>
      <c r="S559" t="str">
        <f t="shared" si="35"/>
        <v>Very_Active</v>
      </c>
    </row>
    <row r="560" spans="1:19" x14ac:dyDescent="0.25">
      <c r="A560">
        <v>2347167796</v>
      </c>
      <c r="B560" s="4">
        <v>42479</v>
      </c>
      <c r="C560">
        <v>6711</v>
      </c>
      <c r="D560" s="1">
        <v>4.4400000572204599</v>
      </c>
      <c r="E560" s="1">
        <v>4.4400000572204599</v>
      </c>
      <c r="F560" s="1">
        <v>0</v>
      </c>
      <c r="G560" s="1">
        <v>0</v>
      </c>
      <c r="H560" s="1">
        <v>0</v>
      </c>
      <c r="I560" s="1">
        <v>4.4400000572204599</v>
      </c>
      <c r="J560" s="1">
        <v>0</v>
      </c>
      <c r="K560">
        <v>0</v>
      </c>
      <c r="L560">
        <v>7</v>
      </c>
      <c r="M560">
        <v>382</v>
      </c>
      <c r="N560">
        <v>648</v>
      </c>
      <c r="O560">
        <v>2346</v>
      </c>
      <c r="P560" t="str">
        <f t="shared" si="32"/>
        <v>Tuesday</v>
      </c>
      <c r="Q560">
        <f t="shared" si="33"/>
        <v>1037</v>
      </c>
      <c r="R560" t="str">
        <f t="shared" si="34"/>
        <v>Weekday</v>
      </c>
      <c r="S560" t="str">
        <f t="shared" si="35"/>
        <v>Lightly Active</v>
      </c>
    </row>
    <row r="561" spans="1:19" x14ac:dyDescent="0.25">
      <c r="A561">
        <v>1927972279</v>
      </c>
      <c r="B561" s="4">
        <v>42488</v>
      </c>
      <c r="C561">
        <v>1675</v>
      </c>
      <c r="D561" s="1">
        <v>1.1599999666214</v>
      </c>
      <c r="E561" s="1">
        <v>1.1599999666214</v>
      </c>
      <c r="F561" s="1">
        <v>0</v>
      </c>
      <c r="G561" s="1">
        <v>0</v>
      </c>
      <c r="H561" s="1">
        <v>0</v>
      </c>
      <c r="I561" s="1">
        <v>1.1599999666214</v>
      </c>
      <c r="J561" s="1">
        <v>0</v>
      </c>
      <c r="K561">
        <v>0</v>
      </c>
      <c r="L561">
        <v>0</v>
      </c>
      <c r="M561">
        <v>95</v>
      </c>
      <c r="N561">
        <v>1167</v>
      </c>
      <c r="O561">
        <v>2351</v>
      </c>
      <c r="P561" t="str">
        <f t="shared" si="32"/>
        <v>Thursday</v>
      </c>
      <c r="Q561">
        <f t="shared" si="33"/>
        <v>1262</v>
      </c>
      <c r="R561" t="str">
        <f t="shared" si="34"/>
        <v>Weekday</v>
      </c>
      <c r="S561" t="str">
        <f t="shared" si="35"/>
        <v>Sedentary</v>
      </c>
    </row>
    <row r="562" spans="1:19" x14ac:dyDescent="0.25">
      <c r="A562">
        <v>4445114986</v>
      </c>
      <c r="B562" s="4">
        <v>42487</v>
      </c>
      <c r="C562">
        <v>7243</v>
      </c>
      <c r="D562" s="1">
        <v>5.0300002098083496</v>
      </c>
      <c r="E562" s="1">
        <v>5.0300002098083496</v>
      </c>
      <c r="F562" s="1">
        <v>0</v>
      </c>
      <c r="G562" s="1">
        <v>2.6199998855590798</v>
      </c>
      <c r="H562" s="1">
        <v>2.9999999329447701E-2</v>
      </c>
      <c r="I562" s="1">
        <v>2.3800001144409202</v>
      </c>
      <c r="J562" s="1">
        <v>0</v>
      </c>
      <c r="K562">
        <v>32</v>
      </c>
      <c r="L562">
        <v>1</v>
      </c>
      <c r="M562">
        <v>194</v>
      </c>
      <c r="N562">
        <v>839</v>
      </c>
      <c r="O562">
        <v>2361</v>
      </c>
      <c r="P562" t="str">
        <f t="shared" si="32"/>
        <v>Wednesday</v>
      </c>
      <c r="Q562">
        <f t="shared" si="33"/>
        <v>1066</v>
      </c>
      <c r="R562" t="str">
        <f t="shared" si="34"/>
        <v>Weekday</v>
      </c>
      <c r="S562" t="str">
        <f t="shared" si="35"/>
        <v>Lightly Active</v>
      </c>
    </row>
    <row r="563" spans="1:19" x14ac:dyDescent="0.25">
      <c r="A563">
        <v>6117666160</v>
      </c>
      <c r="B563" s="4">
        <v>42374</v>
      </c>
      <c r="C563">
        <v>8915</v>
      </c>
      <c r="D563" s="1">
        <v>6.7300000190734899</v>
      </c>
      <c r="E563" s="1">
        <v>6.7300000190734899</v>
      </c>
      <c r="F563" s="1">
        <v>0</v>
      </c>
      <c r="G563" s="1">
        <v>0</v>
      </c>
      <c r="H563" s="1">
        <v>0</v>
      </c>
      <c r="I563" s="1">
        <v>6.7300000190734899</v>
      </c>
      <c r="J563" s="1">
        <v>0</v>
      </c>
      <c r="K563">
        <v>0</v>
      </c>
      <c r="L563">
        <v>0</v>
      </c>
      <c r="M563">
        <v>397</v>
      </c>
      <c r="N563">
        <v>525</v>
      </c>
      <c r="O563">
        <v>2361</v>
      </c>
      <c r="P563" t="str">
        <f t="shared" si="32"/>
        <v>Tuesday</v>
      </c>
      <c r="Q563">
        <f t="shared" si="33"/>
        <v>922</v>
      </c>
      <c r="R563" t="str">
        <f t="shared" si="34"/>
        <v>Weekday</v>
      </c>
      <c r="S563" t="str">
        <f t="shared" si="35"/>
        <v>Fairly Active</v>
      </c>
    </row>
    <row r="564" spans="1:19" x14ac:dyDescent="0.25">
      <c r="A564">
        <v>6962181067</v>
      </c>
      <c r="B564" s="4">
        <v>42648</v>
      </c>
      <c r="C564">
        <v>15448</v>
      </c>
      <c r="D564" s="1">
        <v>10.210000038146999</v>
      </c>
      <c r="E564" s="1">
        <v>10.210000038146999</v>
      </c>
      <c r="F564" s="1">
        <v>0</v>
      </c>
      <c r="G564" s="1">
        <v>3.4700000286102299</v>
      </c>
      <c r="H564" s="1">
        <v>1.75</v>
      </c>
      <c r="I564" s="1">
        <v>4.9899997711181596</v>
      </c>
      <c r="J564" s="1">
        <v>0</v>
      </c>
      <c r="K564">
        <v>62</v>
      </c>
      <c r="L564">
        <v>34</v>
      </c>
      <c r="M564">
        <v>275</v>
      </c>
      <c r="N564">
        <v>626</v>
      </c>
      <c r="O564">
        <v>2361</v>
      </c>
      <c r="P564" t="str">
        <f t="shared" si="32"/>
        <v>Wednesday</v>
      </c>
      <c r="Q564">
        <f t="shared" si="33"/>
        <v>997</v>
      </c>
      <c r="R564" t="str">
        <f t="shared" si="34"/>
        <v>Weekday</v>
      </c>
      <c r="S564" t="str">
        <f t="shared" si="35"/>
        <v>Very_Active</v>
      </c>
    </row>
    <row r="565" spans="1:19" x14ac:dyDescent="0.25">
      <c r="A565">
        <v>4445114986</v>
      </c>
      <c r="B565" s="4">
        <v>42490</v>
      </c>
      <c r="C565">
        <v>6222</v>
      </c>
      <c r="D565" s="1">
        <v>4.1799998283386204</v>
      </c>
      <c r="E565" s="1">
        <v>4.1799998283386204</v>
      </c>
      <c r="F565" s="1">
        <v>0</v>
      </c>
      <c r="G565" s="1">
        <v>0</v>
      </c>
      <c r="H565" s="1">
        <v>0</v>
      </c>
      <c r="I565" s="1">
        <v>4.1799998283386204</v>
      </c>
      <c r="J565" s="1">
        <v>0</v>
      </c>
      <c r="K565">
        <v>0</v>
      </c>
      <c r="L565">
        <v>0</v>
      </c>
      <c r="M565">
        <v>290</v>
      </c>
      <c r="N565">
        <v>797</v>
      </c>
      <c r="O565">
        <v>2363</v>
      </c>
      <c r="P565" t="str">
        <f t="shared" si="32"/>
        <v>Saturday</v>
      </c>
      <c r="Q565">
        <f t="shared" si="33"/>
        <v>1087</v>
      </c>
      <c r="R565" t="str">
        <f t="shared" si="34"/>
        <v>Weekend</v>
      </c>
      <c r="S565" t="str">
        <f t="shared" si="35"/>
        <v>Lightly Active</v>
      </c>
    </row>
    <row r="566" spans="1:19" x14ac:dyDescent="0.25">
      <c r="A566">
        <v>4319703577</v>
      </c>
      <c r="B566" s="4">
        <v>42488</v>
      </c>
      <c r="C566">
        <v>10817</v>
      </c>
      <c r="D566" s="1">
        <v>7.2800002098083496</v>
      </c>
      <c r="E566" s="1">
        <v>7.2800002098083496</v>
      </c>
      <c r="F566" s="1">
        <v>0</v>
      </c>
      <c r="G566" s="1">
        <v>1.0099999904632599</v>
      </c>
      <c r="H566" s="1">
        <v>0.33000001311302202</v>
      </c>
      <c r="I566" s="1">
        <v>5.9400000572204599</v>
      </c>
      <c r="J566" s="1">
        <v>0</v>
      </c>
      <c r="K566">
        <v>13</v>
      </c>
      <c r="L566">
        <v>8</v>
      </c>
      <c r="M566">
        <v>359</v>
      </c>
      <c r="N566">
        <v>552</v>
      </c>
      <c r="O566">
        <v>2367</v>
      </c>
      <c r="P566" t="str">
        <f t="shared" si="32"/>
        <v>Thursday</v>
      </c>
      <c r="Q566">
        <f t="shared" si="33"/>
        <v>932</v>
      </c>
      <c r="R566" t="str">
        <f t="shared" si="34"/>
        <v>Weekday</v>
      </c>
      <c r="S566" t="str">
        <f t="shared" si="35"/>
        <v>Very_Active</v>
      </c>
    </row>
    <row r="567" spans="1:19" x14ac:dyDescent="0.25">
      <c r="A567">
        <v>2022484408</v>
      </c>
      <c r="B567" s="4">
        <v>42374</v>
      </c>
      <c r="C567">
        <v>10538</v>
      </c>
      <c r="D567" s="1">
        <v>7.4000000953674299</v>
      </c>
      <c r="E567" s="1">
        <v>7.4000000953674299</v>
      </c>
      <c r="F567" s="1">
        <v>0</v>
      </c>
      <c r="G567" s="1">
        <v>1.9400000572204601</v>
      </c>
      <c r="H567" s="1">
        <v>0.95999997854232799</v>
      </c>
      <c r="I567" s="1">
        <v>4.5</v>
      </c>
      <c r="J567" s="1">
        <v>0</v>
      </c>
      <c r="K567">
        <v>25</v>
      </c>
      <c r="L567">
        <v>28</v>
      </c>
      <c r="M567">
        <v>245</v>
      </c>
      <c r="N567">
        <v>1142</v>
      </c>
      <c r="O567">
        <v>2380</v>
      </c>
      <c r="P567" t="str">
        <f t="shared" si="32"/>
        <v>Tuesday</v>
      </c>
      <c r="Q567">
        <f t="shared" si="33"/>
        <v>1440</v>
      </c>
      <c r="R567" t="str">
        <f t="shared" si="34"/>
        <v>Weekday</v>
      </c>
      <c r="S567" t="str">
        <f t="shared" si="35"/>
        <v>Very_Active</v>
      </c>
    </row>
    <row r="568" spans="1:19" x14ac:dyDescent="0.25">
      <c r="A568">
        <v>1927972279</v>
      </c>
      <c r="B568" s="4">
        <v>42526</v>
      </c>
      <c r="C568">
        <v>2091</v>
      </c>
      <c r="D568" s="1">
        <v>1.45000004768372</v>
      </c>
      <c r="E568" s="1">
        <v>1.45000004768372</v>
      </c>
      <c r="F568" s="1">
        <v>0</v>
      </c>
      <c r="G568" s="1">
        <v>0</v>
      </c>
      <c r="H568" s="1">
        <v>0</v>
      </c>
      <c r="I568" s="1">
        <v>1.45000004768372</v>
      </c>
      <c r="J568" s="1">
        <v>0</v>
      </c>
      <c r="K568">
        <v>0</v>
      </c>
      <c r="L568">
        <v>0</v>
      </c>
      <c r="M568">
        <v>108</v>
      </c>
      <c r="N568">
        <v>1332</v>
      </c>
      <c r="O568">
        <v>2383</v>
      </c>
      <c r="P568" t="str">
        <f t="shared" si="32"/>
        <v>Sunday</v>
      </c>
      <c r="Q568">
        <f t="shared" si="33"/>
        <v>1440</v>
      </c>
      <c r="R568" t="str">
        <f t="shared" si="34"/>
        <v>Weekend</v>
      </c>
      <c r="S568" t="str">
        <f t="shared" si="35"/>
        <v>Sedentary</v>
      </c>
    </row>
    <row r="569" spans="1:19" x14ac:dyDescent="0.25">
      <c r="A569">
        <v>1927972279</v>
      </c>
      <c r="B569" s="4">
        <v>42474</v>
      </c>
      <c r="C569">
        <v>2163</v>
      </c>
      <c r="D569" s="1">
        <v>1.5</v>
      </c>
      <c r="E569" s="1">
        <v>1.5</v>
      </c>
      <c r="F569" s="1">
        <v>0</v>
      </c>
      <c r="G569" s="1">
        <v>0</v>
      </c>
      <c r="H569" s="1">
        <v>0.40000000596046398</v>
      </c>
      <c r="I569" s="1">
        <v>1.1000000238418599</v>
      </c>
      <c r="J569" s="1">
        <v>0</v>
      </c>
      <c r="K569">
        <v>0</v>
      </c>
      <c r="L569">
        <v>9</v>
      </c>
      <c r="M569">
        <v>88</v>
      </c>
      <c r="N569">
        <v>1292</v>
      </c>
      <c r="O569">
        <v>2383</v>
      </c>
      <c r="P569" t="str">
        <f t="shared" si="32"/>
        <v>Thursday</v>
      </c>
      <c r="Q569">
        <f t="shared" si="33"/>
        <v>1389</v>
      </c>
      <c r="R569" t="str">
        <f t="shared" si="34"/>
        <v>Weekday</v>
      </c>
      <c r="S569" t="str">
        <f t="shared" si="35"/>
        <v>Sedentary</v>
      </c>
    </row>
    <row r="570" spans="1:19" x14ac:dyDescent="0.25">
      <c r="A570">
        <v>7007744171</v>
      </c>
      <c r="B570" s="4">
        <v>42477</v>
      </c>
      <c r="C570">
        <v>8059</v>
      </c>
      <c r="D570" s="1">
        <v>5.3899998664856001</v>
      </c>
      <c r="E570" s="1">
        <v>5.3899998664856001</v>
      </c>
      <c r="F570" s="1">
        <v>0</v>
      </c>
      <c r="G570" s="1">
        <v>0</v>
      </c>
      <c r="H570" s="1">
        <v>0</v>
      </c>
      <c r="I570" s="1">
        <v>5.3899998664856001</v>
      </c>
      <c r="J570" s="1">
        <v>0</v>
      </c>
      <c r="K570">
        <v>0</v>
      </c>
      <c r="L570">
        <v>0</v>
      </c>
      <c r="M570">
        <v>305</v>
      </c>
      <c r="N570">
        <v>1135</v>
      </c>
      <c r="O570">
        <v>2383</v>
      </c>
      <c r="P570" t="str">
        <f t="shared" si="32"/>
        <v>Sunday</v>
      </c>
      <c r="Q570">
        <f t="shared" si="33"/>
        <v>1440</v>
      </c>
      <c r="R570" t="str">
        <f t="shared" si="34"/>
        <v>Weekend</v>
      </c>
      <c r="S570" t="str">
        <f t="shared" si="35"/>
        <v>Fairly Active</v>
      </c>
    </row>
    <row r="571" spans="1:19" x14ac:dyDescent="0.25">
      <c r="A571">
        <v>7086361926</v>
      </c>
      <c r="B571" s="4">
        <v>42495</v>
      </c>
      <c r="C571">
        <v>8564</v>
      </c>
      <c r="D571" s="1">
        <v>5.5999999046325701</v>
      </c>
      <c r="E571" s="1">
        <v>5.5999999046325701</v>
      </c>
      <c r="F571" s="1">
        <v>0</v>
      </c>
      <c r="G571" s="1">
        <v>1.7799999713897701</v>
      </c>
      <c r="H571" s="1">
        <v>0.82999998331069902</v>
      </c>
      <c r="I571" s="1">
        <v>2.9500000476837198</v>
      </c>
      <c r="J571" s="1">
        <v>0</v>
      </c>
      <c r="K571">
        <v>24</v>
      </c>
      <c r="L571">
        <v>14</v>
      </c>
      <c r="M571">
        <v>149</v>
      </c>
      <c r="N571">
        <v>1253</v>
      </c>
      <c r="O571">
        <v>2386</v>
      </c>
      <c r="P571" t="str">
        <f t="shared" si="32"/>
        <v>Thursday</v>
      </c>
      <c r="Q571">
        <f t="shared" si="33"/>
        <v>1440</v>
      </c>
      <c r="R571" t="str">
        <f t="shared" si="34"/>
        <v>Weekday</v>
      </c>
      <c r="S571" t="str">
        <f t="shared" si="35"/>
        <v>Fairly Active</v>
      </c>
    </row>
    <row r="572" spans="1:19" x14ac:dyDescent="0.25">
      <c r="A572">
        <v>2022484408</v>
      </c>
      <c r="B572" s="4">
        <v>42708</v>
      </c>
      <c r="C572">
        <v>11875</v>
      </c>
      <c r="D572" s="1">
        <v>8.3400001525878906</v>
      </c>
      <c r="E572" s="1">
        <v>8.3400001525878906</v>
      </c>
      <c r="F572" s="1">
        <v>0</v>
      </c>
      <c r="G572" s="1">
        <v>3.3099999427795401</v>
      </c>
      <c r="H572" s="1">
        <v>0.769999980926514</v>
      </c>
      <c r="I572" s="1">
        <v>4.2600002288818404</v>
      </c>
      <c r="J572" s="1">
        <v>0</v>
      </c>
      <c r="K572">
        <v>42</v>
      </c>
      <c r="L572">
        <v>14</v>
      </c>
      <c r="M572">
        <v>227</v>
      </c>
      <c r="N572">
        <v>1157</v>
      </c>
      <c r="O572">
        <v>2390</v>
      </c>
      <c r="P572" t="str">
        <f t="shared" si="32"/>
        <v>Sunday</v>
      </c>
      <c r="Q572">
        <f t="shared" si="33"/>
        <v>1440</v>
      </c>
      <c r="R572" t="str">
        <f t="shared" si="34"/>
        <v>Weekend</v>
      </c>
      <c r="S572" t="str">
        <f t="shared" si="35"/>
        <v>Very_Active</v>
      </c>
    </row>
    <row r="573" spans="1:19" x14ac:dyDescent="0.25">
      <c r="A573">
        <v>7086361926</v>
      </c>
      <c r="B573" s="4">
        <v>42475</v>
      </c>
      <c r="C573">
        <v>8585</v>
      </c>
      <c r="D573" s="1">
        <v>5.6700000762939498</v>
      </c>
      <c r="E573" s="1">
        <v>5.6700000762939498</v>
      </c>
      <c r="F573" s="1">
        <v>0</v>
      </c>
      <c r="G573" s="1">
        <v>2.03999996185303</v>
      </c>
      <c r="H573" s="1">
        <v>1.1100000143051101</v>
      </c>
      <c r="I573" s="1">
        <v>2.5299999713897701</v>
      </c>
      <c r="J573" s="1">
        <v>0</v>
      </c>
      <c r="K573">
        <v>30</v>
      </c>
      <c r="L573">
        <v>21</v>
      </c>
      <c r="M573">
        <v>139</v>
      </c>
      <c r="N573">
        <v>864</v>
      </c>
      <c r="O573">
        <v>2395</v>
      </c>
      <c r="P573" t="str">
        <f t="shared" si="32"/>
        <v>Friday</v>
      </c>
      <c r="Q573">
        <f t="shared" si="33"/>
        <v>1054</v>
      </c>
      <c r="R573" t="str">
        <f t="shared" si="34"/>
        <v>Weekday</v>
      </c>
      <c r="S573" t="str">
        <f t="shared" si="35"/>
        <v>Fairly Active</v>
      </c>
    </row>
    <row r="574" spans="1:19" x14ac:dyDescent="0.25">
      <c r="A574">
        <v>6775888955</v>
      </c>
      <c r="B574" s="4">
        <v>42473</v>
      </c>
      <c r="C574">
        <v>4053</v>
      </c>
      <c r="D574" s="1">
        <v>2.9100000858306898</v>
      </c>
      <c r="E574" s="1">
        <v>2.9100000858306898</v>
      </c>
      <c r="F574" s="1">
        <v>0</v>
      </c>
      <c r="G574" s="1">
        <v>1.1100000143051101</v>
      </c>
      <c r="H574" s="1">
        <v>0.57999998331069902</v>
      </c>
      <c r="I574" s="1">
        <v>1.2200000286102299</v>
      </c>
      <c r="J574" s="1">
        <v>0</v>
      </c>
      <c r="K574">
        <v>17</v>
      </c>
      <c r="L574">
        <v>18</v>
      </c>
      <c r="M574">
        <v>85</v>
      </c>
      <c r="N574">
        <v>1053</v>
      </c>
      <c r="O574">
        <v>2400</v>
      </c>
      <c r="P574" t="str">
        <f t="shared" si="32"/>
        <v>Wednesday</v>
      </c>
      <c r="Q574">
        <f t="shared" si="33"/>
        <v>1173</v>
      </c>
      <c r="R574" t="str">
        <f t="shared" si="34"/>
        <v>Weekday</v>
      </c>
      <c r="S574" t="str">
        <f t="shared" si="35"/>
        <v>Sedentary</v>
      </c>
    </row>
    <row r="575" spans="1:19" x14ac:dyDescent="0.25">
      <c r="A575">
        <v>8053475328</v>
      </c>
      <c r="B575" s="4">
        <v>42490</v>
      </c>
      <c r="C575">
        <v>7135</v>
      </c>
      <c r="D575" s="1">
        <v>5.5900001525878897</v>
      </c>
      <c r="E575" s="1">
        <v>5.5900001525878897</v>
      </c>
      <c r="F575" s="1">
        <v>0</v>
      </c>
      <c r="G575" s="1">
        <v>2.9900000095367401</v>
      </c>
      <c r="H575" s="1">
        <v>5.9999998658895499E-2</v>
      </c>
      <c r="I575" s="1">
        <v>2.53999996185303</v>
      </c>
      <c r="J575" s="1">
        <v>0</v>
      </c>
      <c r="K575">
        <v>27</v>
      </c>
      <c r="L575">
        <v>1</v>
      </c>
      <c r="M575">
        <v>131</v>
      </c>
      <c r="N575">
        <v>1281</v>
      </c>
      <c r="O575">
        <v>2408</v>
      </c>
      <c r="P575" t="str">
        <f t="shared" si="32"/>
        <v>Saturday</v>
      </c>
      <c r="Q575">
        <f t="shared" si="33"/>
        <v>1440</v>
      </c>
      <c r="R575" t="str">
        <f t="shared" si="34"/>
        <v>Weekend</v>
      </c>
      <c r="S575" t="str">
        <f t="shared" si="35"/>
        <v>Lightly Active</v>
      </c>
    </row>
    <row r="576" spans="1:19" x14ac:dyDescent="0.25">
      <c r="A576">
        <v>6117666160</v>
      </c>
      <c r="B576" s="4">
        <v>42482</v>
      </c>
      <c r="C576">
        <v>8206</v>
      </c>
      <c r="D576" s="1">
        <v>6.1999998092651403</v>
      </c>
      <c r="E576" s="1">
        <v>6.1999998092651403</v>
      </c>
      <c r="F576" s="1">
        <v>0</v>
      </c>
      <c r="G576" s="1">
        <v>0</v>
      </c>
      <c r="H576" s="1">
        <v>0</v>
      </c>
      <c r="I576" s="1">
        <v>6.1999998092651403</v>
      </c>
      <c r="J576" s="1">
        <v>0</v>
      </c>
      <c r="K576">
        <v>0</v>
      </c>
      <c r="L576">
        <v>0</v>
      </c>
      <c r="M576">
        <v>402</v>
      </c>
      <c r="N576">
        <v>413</v>
      </c>
      <c r="O576">
        <v>2409</v>
      </c>
      <c r="P576" t="str">
        <f t="shared" si="32"/>
        <v>Friday</v>
      </c>
      <c r="Q576">
        <f t="shared" si="33"/>
        <v>815</v>
      </c>
      <c r="R576" t="str">
        <f t="shared" si="34"/>
        <v>Weekday</v>
      </c>
      <c r="S576" t="str">
        <f t="shared" si="35"/>
        <v>Fairly Active</v>
      </c>
    </row>
    <row r="577" spans="1:19" x14ac:dyDescent="0.25">
      <c r="A577">
        <v>1927972279</v>
      </c>
      <c r="B577" s="4">
        <v>42374</v>
      </c>
      <c r="C577">
        <v>2704</v>
      </c>
      <c r="D577" s="1">
        <v>1.87000000476837</v>
      </c>
      <c r="E577" s="1">
        <v>1.87000000476837</v>
      </c>
      <c r="F577" s="1">
        <v>0</v>
      </c>
      <c r="G577" s="1">
        <v>1.0099999904632599</v>
      </c>
      <c r="H577" s="1">
        <v>2.9999999329447701E-2</v>
      </c>
      <c r="I577" s="1">
        <v>0.82999998331069902</v>
      </c>
      <c r="J577" s="1">
        <v>0</v>
      </c>
      <c r="K577">
        <v>14</v>
      </c>
      <c r="L577">
        <v>1</v>
      </c>
      <c r="M577">
        <v>70</v>
      </c>
      <c r="N577">
        <v>1355</v>
      </c>
      <c r="O577">
        <v>2411</v>
      </c>
      <c r="P577" t="str">
        <f t="shared" si="32"/>
        <v>Tuesday</v>
      </c>
      <c r="Q577">
        <f t="shared" si="33"/>
        <v>1440</v>
      </c>
      <c r="R577" t="str">
        <f t="shared" si="34"/>
        <v>Weekday</v>
      </c>
      <c r="S577" t="str">
        <f t="shared" si="35"/>
        <v>Sedentary</v>
      </c>
    </row>
    <row r="578" spans="1:19" x14ac:dyDescent="0.25">
      <c r="A578">
        <v>1644430081</v>
      </c>
      <c r="B578" s="4">
        <v>42484</v>
      </c>
      <c r="C578">
        <v>3321</v>
      </c>
      <c r="D578" s="1">
        <v>2.4100000858306898</v>
      </c>
      <c r="E578" s="1">
        <v>2.4100000858306898</v>
      </c>
      <c r="F578" s="1">
        <v>0</v>
      </c>
      <c r="G578" s="1">
        <v>0</v>
      </c>
      <c r="H578" s="1">
        <v>0</v>
      </c>
      <c r="I578" s="1">
        <v>2.4100000858306898</v>
      </c>
      <c r="J578" s="1">
        <v>0</v>
      </c>
      <c r="K578">
        <v>0</v>
      </c>
      <c r="L578">
        <v>0</v>
      </c>
      <c r="M578">
        <v>89</v>
      </c>
      <c r="N578">
        <v>1351</v>
      </c>
      <c r="O578">
        <v>2413</v>
      </c>
      <c r="P578" t="str">
        <f t="shared" ref="P578:P641" si="36">TEXT(B578,"dddd")</f>
        <v>Sunday</v>
      </c>
      <c r="Q578">
        <f t="shared" ref="Q578:Q641" si="37">SUM(K578:N578)</f>
        <v>1440</v>
      </c>
      <c r="R578" t="str">
        <f t="shared" ref="R578:R641" si="38">IF(WEEKDAY(B578,2)&lt;=5,"Weekday","Weekend")</f>
        <v>Weekend</v>
      </c>
      <c r="S578" t="str">
        <f t="shared" ref="S578:S641" si="39">IF(C578&lt;5000,"Sedentary",IF(C578&lt;7500,"Lightly Active",IF(C578&lt;10000,"Fairly Active","Very_Active")))</f>
        <v>Sedentary</v>
      </c>
    </row>
    <row r="579" spans="1:19" x14ac:dyDescent="0.25">
      <c r="A579">
        <v>8792009665</v>
      </c>
      <c r="B579" s="4">
        <v>42482</v>
      </c>
      <c r="C579">
        <v>4068</v>
      </c>
      <c r="D579" s="1">
        <v>2.5999999046325701</v>
      </c>
      <c r="E579" s="1">
        <v>2.5999999046325701</v>
      </c>
      <c r="F579" s="1">
        <v>0</v>
      </c>
      <c r="G579" s="1">
        <v>5.0000000745058101E-2</v>
      </c>
      <c r="H579" s="1">
        <v>0.28000000119209301</v>
      </c>
      <c r="I579" s="1">
        <v>2.2699999809265101</v>
      </c>
      <c r="J579" s="1">
        <v>0</v>
      </c>
      <c r="K579">
        <v>1</v>
      </c>
      <c r="L579">
        <v>20</v>
      </c>
      <c r="M579">
        <v>195</v>
      </c>
      <c r="N579">
        <v>817</v>
      </c>
      <c r="O579">
        <v>2419</v>
      </c>
      <c r="P579" t="str">
        <f t="shared" si="36"/>
        <v>Friday</v>
      </c>
      <c r="Q579">
        <f t="shared" si="37"/>
        <v>1033</v>
      </c>
      <c r="R579" t="str">
        <f t="shared" si="38"/>
        <v>Weekday</v>
      </c>
      <c r="S579" t="str">
        <f t="shared" si="39"/>
        <v>Sedentary</v>
      </c>
    </row>
    <row r="580" spans="1:19" x14ac:dyDescent="0.25">
      <c r="A580">
        <v>4445114986</v>
      </c>
      <c r="B580" s="4">
        <v>42434</v>
      </c>
      <c r="C580">
        <v>7502</v>
      </c>
      <c r="D580" s="1">
        <v>5.1799998283386204</v>
      </c>
      <c r="E580" s="1">
        <v>5.1799998283386204</v>
      </c>
      <c r="F580" s="1">
        <v>0</v>
      </c>
      <c r="G580" s="1">
        <v>2.4800000190734899</v>
      </c>
      <c r="H580" s="1">
        <v>0.109999999403954</v>
      </c>
      <c r="I580" s="1">
        <v>2.5799999237060498</v>
      </c>
      <c r="J580" s="1">
        <v>0</v>
      </c>
      <c r="K580">
        <v>30</v>
      </c>
      <c r="L580">
        <v>2</v>
      </c>
      <c r="M580">
        <v>233</v>
      </c>
      <c r="N580">
        <v>725</v>
      </c>
      <c r="O580">
        <v>2421</v>
      </c>
      <c r="P580" t="str">
        <f t="shared" si="36"/>
        <v>Saturday</v>
      </c>
      <c r="Q580">
        <f t="shared" si="37"/>
        <v>990</v>
      </c>
      <c r="R580" t="str">
        <f t="shared" si="38"/>
        <v>Weekend</v>
      </c>
      <c r="S580" t="str">
        <f t="shared" si="39"/>
        <v>Fairly Active</v>
      </c>
    </row>
    <row r="581" spans="1:19" x14ac:dyDescent="0.25">
      <c r="A581">
        <v>4445114986</v>
      </c>
      <c r="B581" s="4">
        <v>42587</v>
      </c>
      <c r="C581">
        <v>7303</v>
      </c>
      <c r="D581" s="1">
        <v>4.9000000953674299</v>
      </c>
      <c r="E581" s="1">
        <v>4.9000000953674299</v>
      </c>
      <c r="F581" s="1">
        <v>0</v>
      </c>
      <c r="G581" s="1">
        <v>0</v>
      </c>
      <c r="H581" s="1">
        <v>0.25</v>
      </c>
      <c r="I581" s="1">
        <v>4.6500000953674299</v>
      </c>
      <c r="J581" s="1">
        <v>0</v>
      </c>
      <c r="K581">
        <v>0</v>
      </c>
      <c r="L581">
        <v>8</v>
      </c>
      <c r="M581">
        <v>308</v>
      </c>
      <c r="N581">
        <v>733</v>
      </c>
      <c r="O581">
        <v>2423</v>
      </c>
      <c r="P581" t="str">
        <f t="shared" si="36"/>
        <v>Friday</v>
      </c>
      <c r="Q581">
        <f t="shared" si="37"/>
        <v>1049</v>
      </c>
      <c r="R581" t="str">
        <f t="shared" si="38"/>
        <v>Weekday</v>
      </c>
      <c r="S581" t="str">
        <f t="shared" si="39"/>
        <v>Lightly Active</v>
      </c>
    </row>
    <row r="582" spans="1:19" x14ac:dyDescent="0.25">
      <c r="A582">
        <v>1644430081</v>
      </c>
      <c r="B582" s="4">
        <v>42480</v>
      </c>
      <c r="C582">
        <v>2436</v>
      </c>
      <c r="D582" s="1">
        <v>1.7699999809265099</v>
      </c>
      <c r="E582" s="1">
        <v>1.7699999809265099</v>
      </c>
      <c r="F582" s="1">
        <v>0</v>
      </c>
      <c r="G582" s="1">
        <v>0</v>
      </c>
      <c r="H582" s="1">
        <v>0</v>
      </c>
      <c r="I582" s="1">
        <v>1.7599999904632599</v>
      </c>
      <c r="J582" s="1">
        <v>9.9999997764825804E-3</v>
      </c>
      <c r="K582">
        <v>0</v>
      </c>
      <c r="L582">
        <v>0</v>
      </c>
      <c r="M582">
        <v>125</v>
      </c>
      <c r="N582">
        <v>1315</v>
      </c>
      <c r="O582">
        <v>2430</v>
      </c>
      <c r="P582" t="str">
        <f t="shared" si="36"/>
        <v>Wednesday</v>
      </c>
      <c r="Q582">
        <f t="shared" si="37"/>
        <v>1440</v>
      </c>
      <c r="R582" t="str">
        <f t="shared" si="38"/>
        <v>Weekday</v>
      </c>
      <c r="S582" t="str">
        <f t="shared" si="39"/>
        <v>Sedentary</v>
      </c>
    </row>
    <row r="583" spans="1:19" x14ac:dyDescent="0.25">
      <c r="A583">
        <v>4445114986</v>
      </c>
      <c r="B583" s="4">
        <v>42482</v>
      </c>
      <c r="C583">
        <v>6831</v>
      </c>
      <c r="D583" s="1">
        <v>4.5799999237060502</v>
      </c>
      <c r="E583" s="1">
        <v>4.5799999237060502</v>
      </c>
      <c r="F583" s="1">
        <v>0</v>
      </c>
      <c r="G583" s="1">
        <v>0</v>
      </c>
      <c r="H583" s="1">
        <v>0</v>
      </c>
      <c r="I583" s="1">
        <v>4.5799999237060502</v>
      </c>
      <c r="J583" s="1">
        <v>0</v>
      </c>
      <c r="K583">
        <v>0</v>
      </c>
      <c r="L583">
        <v>0</v>
      </c>
      <c r="M583">
        <v>317</v>
      </c>
      <c r="N583">
        <v>706</v>
      </c>
      <c r="O583">
        <v>2432</v>
      </c>
      <c r="P583" t="str">
        <f t="shared" si="36"/>
        <v>Friday</v>
      </c>
      <c r="Q583">
        <f t="shared" si="37"/>
        <v>1023</v>
      </c>
      <c r="R583" t="str">
        <f t="shared" si="38"/>
        <v>Weekday</v>
      </c>
      <c r="S583" t="str">
        <f t="shared" si="39"/>
        <v>Lightly Active</v>
      </c>
    </row>
    <row r="584" spans="1:19" x14ac:dyDescent="0.25">
      <c r="A584">
        <v>8583815059</v>
      </c>
      <c r="B584" s="4">
        <v>42477</v>
      </c>
      <c r="C584">
        <v>3008</v>
      </c>
      <c r="D584" s="1">
        <v>2.3499999046325701</v>
      </c>
      <c r="E584" s="1">
        <v>2.3499999046325701</v>
      </c>
      <c r="F584" s="1">
        <v>0</v>
      </c>
      <c r="G584" s="1">
        <v>0</v>
      </c>
      <c r="H584" s="1">
        <v>0</v>
      </c>
      <c r="I584" s="1">
        <v>0</v>
      </c>
      <c r="J584" s="1">
        <v>0</v>
      </c>
      <c r="K584">
        <v>0</v>
      </c>
      <c r="L584">
        <v>0</v>
      </c>
      <c r="M584">
        <v>0</v>
      </c>
      <c r="N584">
        <v>1440</v>
      </c>
      <c r="O584">
        <v>2439</v>
      </c>
      <c r="P584" t="str">
        <f t="shared" si="36"/>
        <v>Sunday</v>
      </c>
      <c r="Q584">
        <f t="shared" si="37"/>
        <v>1440</v>
      </c>
      <c r="R584" t="str">
        <f t="shared" si="38"/>
        <v>Weekend</v>
      </c>
      <c r="S584" t="str">
        <f t="shared" si="39"/>
        <v>Sedentary</v>
      </c>
    </row>
    <row r="585" spans="1:19" x14ac:dyDescent="0.25">
      <c r="A585">
        <v>8583815059</v>
      </c>
      <c r="B585" s="4">
        <v>42474</v>
      </c>
      <c r="C585">
        <v>3135</v>
      </c>
      <c r="D585" s="1">
        <v>2.4500000476837198</v>
      </c>
      <c r="E585" s="1">
        <v>2.4500000476837198</v>
      </c>
      <c r="F585" s="1">
        <v>0</v>
      </c>
      <c r="G585" s="1">
        <v>0</v>
      </c>
      <c r="H585" s="1">
        <v>0</v>
      </c>
      <c r="I585" s="1">
        <v>2.4300000667571999</v>
      </c>
      <c r="J585" s="1">
        <v>0</v>
      </c>
      <c r="K585">
        <v>0</v>
      </c>
      <c r="L585">
        <v>0</v>
      </c>
      <c r="M585">
        <v>134</v>
      </c>
      <c r="N585">
        <v>1306</v>
      </c>
      <c r="O585">
        <v>2443</v>
      </c>
      <c r="P585" t="str">
        <f t="shared" si="36"/>
        <v>Thursday</v>
      </c>
      <c r="Q585">
        <f t="shared" si="37"/>
        <v>1440</v>
      </c>
      <c r="R585" t="str">
        <f t="shared" si="38"/>
        <v>Weekday</v>
      </c>
      <c r="S585" t="str">
        <f t="shared" si="39"/>
        <v>Sedentary</v>
      </c>
    </row>
    <row r="586" spans="1:19" x14ac:dyDescent="0.25">
      <c r="A586">
        <v>6117666160</v>
      </c>
      <c r="B586" s="4">
        <v>42486</v>
      </c>
      <c r="C586">
        <v>9543</v>
      </c>
      <c r="D586" s="1">
        <v>7.21000003814697</v>
      </c>
      <c r="E586" s="1">
        <v>7.21000003814697</v>
      </c>
      <c r="F586" s="1">
        <v>0</v>
      </c>
      <c r="G586" s="1">
        <v>0</v>
      </c>
      <c r="H586" s="1">
        <v>0.34000000357627902</v>
      </c>
      <c r="I586" s="1">
        <v>6.8699998855590803</v>
      </c>
      <c r="J586" s="1">
        <v>0</v>
      </c>
      <c r="K586">
        <v>0</v>
      </c>
      <c r="L586">
        <v>7</v>
      </c>
      <c r="M586">
        <v>352</v>
      </c>
      <c r="N586">
        <v>1077</v>
      </c>
      <c r="O586">
        <v>2450</v>
      </c>
      <c r="P586" t="str">
        <f t="shared" si="36"/>
        <v>Tuesday</v>
      </c>
      <c r="Q586">
        <f t="shared" si="37"/>
        <v>1436</v>
      </c>
      <c r="R586" t="str">
        <f t="shared" si="38"/>
        <v>Weekday</v>
      </c>
      <c r="S586" t="str">
        <f t="shared" si="39"/>
        <v>Fairly Active</v>
      </c>
    </row>
    <row r="587" spans="1:19" x14ac:dyDescent="0.25">
      <c r="A587">
        <v>1644430081</v>
      </c>
      <c r="B587" s="4">
        <v>42495</v>
      </c>
      <c r="C587">
        <v>4363</v>
      </c>
      <c r="D587" s="1">
        <v>3.1900000572204599</v>
      </c>
      <c r="E587" s="1">
        <v>3.1900000572204599</v>
      </c>
      <c r="F587" s="1">
        <v>0</v>
      </c>
      <c r="G587" s="1">
        <v>0.519999980926514</v>
      </c>
      <c r="H587" s="1">
        <v>0.54000002145767201</v>
      </c>
      <c r="I587" s="1">
        <v>2.1300001144409202</v>
      </c>
      <c r="J587" s="1">
        <v>9.9999997764825804E-3</v>
      </c>
      <c r="K587">
        <v>6</v>
      </c>
      <c r="L587">
        <v>12</v>
      </c>
      <c r="M587">
        <v>81</v>
      </c>
      <c r="N587">
        <v>1341</v>
      </c>
      <c r="O587">
        <v>2463</v>
      </c>
      <c r="P587" t="str">
        <f t="shared" si="36"/>
        <v>Thursday</v>
      </c>
      <c r="Q587">
        <f t="shared" si="37"/>
        <v>1440</v>
      </c>
      <c r="R587" t="str">
        <f t="shared" si="38"/>
        <v>Weekday</v>
      </c>
      <c r="S587" t="str">
        <f t="shared" si="39"/>
        <v>Sedentary</v>
      </c>
    </row>
    <row r="588" spans="1:19" x14ac:dyDescent="0.25">
      <c r="A588">
        <v>7086361926</v>
      </c>
      <c r="B588" s="4">
        <v>42481</v>
      </c>
      <c r="C588">
        <v>9469</v>
      </c>
      <c r="D588" s="1">
        <v>6.1799998283386204</v>
      </c>
      <c r="E588" s="1">
        <v>6.1799998283386204</v>
      </c>
      <c r="F588" s="1">
        <v>0</v>
      </c>
      <c r="G588" s="1">
        <v>1.3600000143051101</v>
      </c>
      <c r="H588" s="1">
        <v>0.30000001192092901</v>
      </c>
      <c r="I588" s="1">
        <v>4.5100002288818404</v>
      </c>
      <c r="J588" s="1">
        <v>0</v>
      </c>
      <c r="K588">
        <v>19</v>
      </c>
      <c r="L588">
        <v>6</v>
      </c>
      <c r="M588">
        <v>206</v>
      </c>
      <c r="N588">
        <v>758</v>
      </c>
      <c r="O588">
        <v>2463</v>
      </c>
      <c r="P588" t="str">
        <f t="shared" si="36"/>
        <v>Thursday</v>
      </c>
      <c r="Q588">
        <f t="shared" si="37"/>
        <v>989</v>
      </c>
      <c r="R588" t="str">
        <f t="shared" si="38"/>
        <v>Weekday</v>
      </c>
      <c r="S588" t="str">
        <f t="shared" si="39"/>
        <v>Fairly Active</v>
      </c>
    </row>
    <row r="589" spans="1:19" x14ac:dyDescent="0.25">
      <c r="A589">
        <v>2022484408</v>
      </c>
      <c r="B589" s="4">
        <v>42487</v>
      </c>
      <c r="C589">
        <v>10159</v>
      </c>
      <c r="D589" s="1">
        <v>7.1300001144409197</v>
      </c>
      <c r="E589" s="1">
        <v>7.1300001144409197</v>
      </c>
      <c r="F589" s="1">
        <v>0</v>
      </c>
      <c r="G589" s="1">
        <v>1.03999996185303</v>
      </c>
      <c r="H589" s="1">
        <v>0.97000002861022905</v>
      </c>
      <c r="I589" s="1">
        <v>5.1199998855590803</v>
      </c>
      <c r="J589" s="1">
        <v>0</v>
      </c>
      <c r="K589">
        <v>19</v>
      </c>
      <c r="L589">
        <v>20</v>
      </c>
      <c r="M589">
        <v>282</v>
      </c>
      <c r="N589">
        <v>1119</v>
      </c>
      <c r="O589">
        <v>2463</v>
      </c>
      <c r="P589" t="str">
        <f t="shared" si="36"/>
        <v>Wednesday</v>
      </c>
      <c r="Q589">
        <f t="shared" si="37"/>
        <v>1440</v>
      </c>
      <c r="R589" t="str">
        <f t="shared" si="38"/>
        <v>Weekday</v>
      </c>
      <c r="S589" t="str">
        <f t="shared" si="39"/>
        <v>Very_Active</v>
      </c>
    </row>
    <row r="590" spans="1:19" x14ac:dyDescent="0.25">
      <c r="A590">
        <v>6117666160</v>
      </c>
      <c r="B590" s="4">
        <v>42556</v>
      </c>
      <c r="C590">
        <v>7336</v>
      </c>
      <c r="D590" s="1">
        <v>5.53999996185303</v>
      </c>
      <c r="E590" s="1">
        <v>5.53999996185303</v>
      </c>
      <c r="F590" s="1">
        <v>0</v>
      </c>
      <c r="G590" s="1">
        <v>0</v>
      </c>
      <c r="H590" s="1">
        <v>0</v>
      </c>
      <c r="I590" s="1">
        <v>5.53999996185303</v>
      </c>
      <c r="J590" s="1">
        <v>0</v>
      </c>
      <c r="K590">
        <v>0</v>
      </c>
      <c r="L590">
        <v>0</v>
      </c>
      <c r="M590">
        <v>412</v>
      </c>
      <c r="N590">
        <v>456</v>
      </c>
      <c r="O590">
        <v>2469</v>
      </c>
      <c r="P590" t="str">
        <f t="shared" si="36"/>
        <v>Tuesday</v>
      </c>
      <c r="Q590">
        <f t="shared" si="37"/>
        <v>868</v>
      </c>
      <c r="R590" t="str">
        <f t="shared" si="38"/>
        <v>Weekday</v>
      </c>
      <c r="S590" t="str">
        <f t="shared" si="39"/>
        <v>Lightly Active</v>
      </c>
    </row>
    <row r="591" spans="1:19" x14ac:dyDescent="0.25">
      <c r="A591">
        <v>2022484408</v>
      </c>
      <c r="B591" s="4">
        <v>42485</v>
      </c>
      <c r="C591">
        <v>11369</v>
      </c>
      <c r="D591" s="1">
        <v>8.0100002288818395</v>
      </c>
      <c r="E591" s="1">
        <v>8.0100002288818395</v>
      </c>
      <c r="F591" s="1">
        <v>0</v>
      </c>
      <c r="G591" s="1">
        <v>3.3299999237060498</v>
      </c>
      <c r="H591" s="1">
        <v>0.21999999880790699</v>
      </c>
      <c r="I591" s="1">
        <v>4.46000003814697</v>
      </c>
      <c r="J591" s="1">
        <v>0</v>
      </c>
      <c r="K591">
        <v>44</v>
      </c>
      <c r="L591">
        <v>8</v>
      </c>
      <c r="M591">
        <v>217</v>
      </c>
      <c r="N591">
        <v>1171</v>
      </c>
      <c r="O591">
        <v>2470</v>
      </c>
      <c r="P591" t="str">
        <f t="shared" si="36"/>
        <v>Monday</v>
      </c>
      <c r="Q591">
        <f t="shared" si="37"/>
        <v>1440</v>
      </c>
      <c r="R591" t="str">
        <f t="shared" si="38"/>
        <v>Weekday</v>
      </c>
      <c r="S591" t="str">
        <f t="shared" si="39"/>
        <v>Very_Active</v>
      </c>
    </row>
    <row r="592" spans="1:19" x14ac:dyDescent="0.25">
      <c r="A592">
        <v>2022484408</v>
      </c>
      <c r="B592" s="4">
        <v>42405</v>
      </c>
      <c r="C592">
        <v>10379</v>
      </c>
      <c r="D592" s="1">
        <v>7.28999996185303</v>
      </c>
      <c r="E592" s="1">
        <v>7.28999996185303</v>
      </c>
      <c r="F592" s="1">
        <v>0</v>
      </c>
      <c r="G592" s="1">
        <v>2.6099998950958301</v>
      </c>
      <c r="H592" s="1">
        <v>0.34000000357627902</v>
      </c>
      <c r="I592" s="1">
        <v>4.3299999237060502</v>
      </c>
      <c r="J592" s="1">
        <v>0</v>
      </c>
      <c r="K592">
        <v>36</v>
      </c>
      <c r="L592">
        <v>8</v>
      </c>
      <c r="M592">
        <v>277</v>
      </c>
      <c r="N592">
        <v>1119</v>
      </c>
      <c r="O592">
        <v>2473</v>
      </c>
      <c r="P592" t="str">
        <f t="shared" si="36"/>
        <v>Friday</v>
      </c>
      <c r="Q592">
        <f t="shared" si="37"/>
        <v>1440</v>
      </c>
      <c r="R592" t="str">
        <f t="shared" si="38"/>
        <v>Weekday</v>
      </c>
      <c r="S592" t="str">
        <f t="shared" si="39"/>
        <v>Very_Active</v>
      </c>
    </row>
    <row r="593" spans="1:19" x14ac:dyDescent="0.25">
      <c r="A593">
        <v>6775888955</v>
      </c>
      <c r="B593" s="4">
        <v>42485</v>
      </c>
      <c r="C593">
        <v>6474</v>
      </c>
      <c r="D593" s="1">
        <v>4.6399998664856001</v>
      </c>
      <c r="E593" s="1">
        <v>4.6399998664856001</v>
      </c>
      <c r="F593" s="1">
        <v>0</v>
      </c>
      <c r="G593" s="1">
        <v>2.2699999809265101</v>
      </c>
      <c r="H593" s="1">
        <v>0.46000000834464999</v>
      </c>
      <c r="I593" s="1">
        <v>1.8999999761581401</v>
      </c>
      <c r="J593" s="1">
        <v>0</v>
      </c>
      <c r="K593">
        <v>33</v>
      </c>
      <c r="L593">
        <v>13</v>
      </c>
      <c r="M593">
        <v>92</v>
      </c>
      <c r="N593">
        <v>1302</v>
      </c>
      <c r="O593">
        <v>2484</v>
      </c>
      <c r="P593" t="str">
        <f t="shared" si="36"/>
        <v>Monday</v>
      </c>
      <c r="Q593">
        <f t="shared" si="37"/>
        <v>1440</v>
      </c>
      <c r="R593" t="str">
        <f t="shared" si="38"/>
        <v>Weekday</v>
      </c>
      <c r="S593" t="str">
        <f t="shared" si="39"/>
        <v>Lightly Active</v>
      </c>
    </row>
    <row r="594" spans="1:19" x14ac:dyDescent="0.25">
      <c r="A594">
        <v>4558609924</v>
      </c>
      <c r="B594" s="4">
        <v>42481</v>
      </c>
      <c r="C594">
        <v>13743</v>
      </c>
      <c r="D594" s="1">
        <v>9.0799999237060494</v>
      </c>
      <c r="E594" s="1">
        <v>9.0799999237060494</v>
      </c>
      <c r="F594" s="1">
        <v>0</v>
      </c>
      <c r="G594" s="1">
        <v>0.41999998688697798</v>
      </c>
      <c r="H594" s="1">
        <v>0.97000002861022905</v>
      </c>
      <c r="I594" s="1">
        <v>7.6999998092651403</v>
      </c>
      <c r="J594" s="1">
        <v>0</v>
      </c>
      <c r="K594">
        <v>6</v>
      </c>
      <c r="L594">
        <v>21</v>
      </c>
      <c r="M594">
        <v>432</v>
      </c>
      <c r="N594">
        <v>844</v>
      </c>
      <c r="O594">
        <v>2486</v>
      </c>
      <c r="P594" t="str">
        <f t="shared" si="36"/>
        <v>Thursday</v>
      </c>
      <c r="Q594">
        <f t="shared" si="37"/>
        <v>1303</v>
      </c>
      <c r="R594" t="str">
        <f t="shared" si="38"/>
        <v>Weekday</v>
      </c>
      <c r="S594" t="str">
        <f t="shared" si="39"/>
        <v>Very_Active</v>
      </c>
    </row>
    <row r="595" spans="1:19" x14ac:dyDescent="0.25">
      <c r="A595">
        <v>1644430081</v>
      </c>
      <c r="B595" s="4">
        <v>42487</v>
      </c>
      <c r="C595">
        <v>3032</v>
      </c>
      <c r="D595" s="1">
        <v>2.2000000476837198</v>
      </c>
      <c r="E595" s="1">
        <v>2.2000000476837198</v>
      </c>
      <c r="F595" s="1">
        <v>0</v>
      </c>
      <c r="G595" s="1">
        <v>0</v>
      </c>
      <c r="H595" s="1">
        <v>0</v>
      </c>
      <c r="I595" s="1">
        <v>2.2000000476837198</v>
      </c>
      <c r="J595" s="1">
        <v>0</v>
      </c>
      <c r="K595">
        <v>0</v>
      </c>
      <c r="L595">
        <v>0</v>
      </c>
      <c r="M595">
        <v>118</v>
      </c>
      <c r="N595">
        <v>1322</v>
      </c>
      <c r="O595">
        <v>2489</v>
      </c>
      <c r="P595" t="str">
        <f t="shared" si="36"/>
        <v>Wednesday</v>
      </c>
      <c r="Q595">
        <f t="shared" si="37"/>
        <v>1440</v>
      </c>
      <c r="R595" t="str">
        <f t="shared" si="38"/>
        <v>Weekday</v>
      </c>
      <c r="S595" t="str">
        <f t="shared" si="39"/>
        <v>Sedentary</v>
      </c>
    </row>
    <row r="596" spans="1:19" x14ac:dyDescent="0.25">
      <c r="A596">
        <v>5577150313</v>
      </c>
      <c r="B596" s="4">
        <v>42618</v>
      </c>
      <c r="C596">
        <v>3421</v>
      </c>
      <c r="D596" s="1">
        <v>2.5599999427795401</v>
      </c>
      <c r="E596" s="1">
        <v>2.5599999427795401</v>
      </c>
      <c r="F596" s="1">
        <v>0</v>
      </c>
      <c r="G596" s="1">
        <v>1.4299999475479099</v>
      </c>
      <c r="H596" s="1">
        <v>0.140000000596046</v>
      </c>
      <c r="I596" s="1">
        <v>0.99000000953674305</v>
      </c>
      <c r="J596" s="1">
        <v>0</v>
      </c>
      <c r="K596">
        <v>34</v>
      </c>
      <c r="L596">
        <v>11</v>
      </c>
      <c r="M596">
        <v>70</v>
      </c>
      <c r="N596">
        <v>1099</v>
      </c>
      <c r="O596">
        <v>2489</v>
      </c>
      <c r="P596" t="str">
        <f t="shared" si="36"/>
        <v>Monday</v>
      </c>
      <c r="Q596">
        <f t="shared" si="37"/>
        <v>1214</v>
      </c>
      <c r="R596" t="str">
        <f t="shared" si="38"/>
        <v>Weekday</v>
      </c>
      <c r="S596" t="str">
        <f t="shared" si="39"/>
        <v>Sedentary</v>
      </c>
    </row>
    <row r="597" spans="1:19" x14ac:dyDescent="0.25">
      <c r="A597">
        <v>2022484408</v>
      </c>
      <c r="B597" s="4">
        <v>42479</v>
      </c>
      <c r="C597">
        <v>11548</v>
      </c>
      <c r="D597" s="1">
        <v>8.5299997329711896</v>
      </c>
      <c r="E597" s="1">
        <v>8.5299997329711896</v>
      </c>
      <c r="F597" s="1">
        <v>0</v>
      </c>
      <c r="G597" s="1">
        <v>3.28999996185303</v>
      </c>
      <c r="H597" s="1">
        <v>0.239999994635582</v>
      </c>
      <c r="I597" s="1">
        <v>5</v>
      </c>
      <c r="J597" s="1">
        <v>0</v>
      </c>
      <c r="K597">
        <v>31</v>
      </c>
      <c r="L597">
        <v>7</v>
      </c>
      <c r="M597">
        <v>250</v>
      </c>
      <c r="N597">
        <v>1152</v>
      </c>
      <c r="O597">
        <v>2489</v>
      </c>
      <c r="P597" t="str">
        <f t="shared" si="36"/>
        <v>Tuesday</v>
      </c>
      <c r="Q597">
        <f t="shared" si="37"/>
        <v>1440</v>
      </c>
      <c r="R597" t="str">
        <f t="shared" si="38"/>
        <v>Weekday</v>
      </c>
      <c r="S597" t="str">
        <f t="shared" si="39"/>
        <v>Very_Active</v>
      </c>
    </row>
    <row r="598" spans="1:19" x14ac:dyDescent="0.25">
      <c r="A598">
        <v>6775888955</v>
      </c>
      <c r="B598" s="4">
        <v>42526</v>
      </c>
      <c r="C598">
        <v>4697</v>
      </c>
      <c r="D598" s="1">
        <v>3.3699998855590798</v>
      </c>
      <c r="E598" s="1">
        <v>3.3699998855590798</v>
      </c>
      <c r="F598" s="1">
        <v>0</v>
      </c>
      <c r="G598" s="1">
        <v>0.46999999880790699</v>
      </c>
      <c r="H598" s="1">
        <v>0.93000000715255704</v>
      </c>
      <c r="I598" s="1">
        <v>1.9299999475479099</v>
      </c>
      <c r="J598" s="1">
        <v>0</v>
      </c>
      <c r="K598">
        <v>12</v>
      </c>
      <c r="L598">
        <v>35</v>
      </c>
      <c r="M598">
        <v>75</v>
      </c>
      <c r="N598">
        <v>1318</v>
      </c>
      <c r="O598">
        <v>2496</v>
      </c>
      <c r="P598" t="str">
        <f t="shared" si="36"/>
        <v>Sunday</v>
      </c>
      <c r="Q598">
        <f t="shared" si="37"/>
        <v>1440</v>
      </c>
      <c r="R598" t="str">
        <f t="shared" si="38"/>
        <v>Weekend</v>
      </c>
      <c r="S598" t="str">
        <f t="shared" si="39"/>
        <v>Sedentary</v>
      </c>
    </row>
    <row r="599" spans="1:19" x14ac:dyDescent="0.25">
      <c r="A599">
        <v>4445114986</v>
      </c>
      <c r="B599" s="4">
        <v>42475</v>
      </c>
      <c r="C599">
        <v>7198</v>
      </c>
      <c r="D599" s="1">
        <v>4.8299999237060502</v>
      </c>
      <c r="E599" s="1">
        <v>4.8299999237060502</v>
      </c>
      <c r="F599" s="1">
        <v>0</v>
      </c>
      <c r="G599" s="1">
        <v>0</v>
      </c>
      <c r="H599" s="1">
        <v>0</v>
      </c>
      <c r="I599" s="1">
        <v>4.8299999237060502</v>
      </c>
      <c r="J599" s="1">
        <v>0</v>
      </c>
      <c r="K599">
        <v>0</v>
      </c>
      <c r="L599">
        <v>0</v>
      </c>
      <c r="M599">
        <v>350</v>
      </c>
      <c r="N599">
        <v>711</v>
      </c>
      <c r="O599">
        <v>2496</v>
      </c>
      <c r="P599" t="str">
        <f t="shared" si="36"/>
        <v>Friday</v>
      </c>
      <c r="Q599">
        <f t="shared" si="37"/>
        <v>1061</v>
      </c>
      <c r="R599" t="str">
        <f t="shared" si="38"/>
        <v>Weekday</v>
      </c>
      <c r="S599" t="str">
        <f t="shared" si="39"/>
        <v>Lightly Active</v>
      </c>
    </row>
    <row r="600" spans="1:19" x14ac:dyDescent="0.25">
      <c r="A600">
        <v>1644430081</v>
      </c>
      <c r="B600" s="4">
        <v>42485</v>
      </c>
      <c r="C600">
        <v>3580</v>
      </c>
      <c r="D600" s="1">
        <v>2.5999999046325701</v>
      </c>
      <c r="E600" s="1">
        <v>2.5999999046325701</v>
      </c>
      <c r="F600" s="1">
        <v>0</v>
      </c>
      <c r="G600" s="1">
        <v>0.58999997377395597</v>
      </c>
      <c r="H600" s="1">
        <v>5.9999998658895499E-2</v>
      </c>
      <c r="I600" s="1">
        <v>1.95000004768372</v>
      </c>
      <c r="J600" s="1">
        <v>0</v>
      </c>
      <c r="K600">
        <v>8</v>
      </c>
      <c r="L600">
        <v>1</v>
      </c>
      <c r="M600">
        <v>94</v>
      </c>
      <c r="N600">
        <v>1337</v>
      </c>
      <c r="O600">
        <v>2497</v>
      </c>
      <c r="P600" t="str">
        <f t="shared" si="36"/>
        <v>Monday</v>
      </c>
      <c r="Q600">
        <f t="shared" si="37"/>
        <v>1440</v>
      </c>
      <c r="R600" t="str">
        <f t="shared" si="38"/>
        <v>Weekday</v>
      </c>
      <c r="S600" t="str">
        <f t="shared" si="39"/>
        <v>Sedentary</v>
      </c>
    </row>
    <row r="601" spans="1:19" x14ac:dyDescent="0.25">
      <c r="A601">
        <v>1644430081</v>
      </c>
      <c r="B601" s="4">
        <v>42489</v>
      </c>
      <c r="C601">
        <v>3176</v>
      </c>
      <c r="D601" s="1">
        <v>2.3099999427795401</v>
      </c>
      <c r="E601" s="1">
        <v>2.3099999427795401</v>
      </c>
      <c r="F601" s="1">
        <v>0</v>
      </c>
      <c r="G601" s="1">
        <v>0</v>
      </c>
      <c r="H601" s="1">
        <v>0</v>
      </c>
      <c r="I601" s="1">
        <v>2.3099999427795401</v>
      </c>
      <c r="J601" s="1">
        <v>0</v>
      </c>
      <c r="K601">
        <v>0</v>
      </c>
      <c r="L601">
        <v>0</v>
      </c>
      <c r="M601">
        <v>120</v>
      </c>
      <c r="N601">
        <v>1193</v>
      </c>
      <c r="O601">
        <v>2498</v>
      </c>
      <c r="P601" t="str">
        <f t="shared" si="36"/>
        <v>Friday</v>
      </c>
      <c r="Q601">
        <f t="shared" si="37"/>
        <v>1313</v>
      </c>
      <c r="R601" t="str">
        <f t="shared" si="38"/>
        <v>Weekday</v>
      </c>
      <c r="S601" t="str">
        <f t="shared" si="39"/>
        <v>Sedentary</v>
      </c>
    </row>
    <row r="602" spans="1:19" x14ac:dyDescent="0.25">
      <c r="A602">
        <v>2022484408</v>
      </c>
      <c r="B602" s="4">
        <v>42526</v>
      </c>
      <c r="C602">
        <v>10227</v>
      </c>
      <c r="D602" s="1">
        <v>7.1799998283386204</v>
      </c>
      <c r="E602" s="1">
        <v>7.1799998283386204</v>
      </c>
      <c r="F602" s="1">
        <v>0</v>
      </c>
      <c r="G602" s="1">
        <v>1.87000000476837</v>
      </c>
      <c r="H602" s="1">
        <v>0.67000001668930098</v>
      </c>
      <c r="I602" s="1">
        <v>4.6399998664856001</v>
      </c>
      <c r="J602" s="1">
        <v>0</v>
      </c>
      <c r="K602">
        <v>24</v>
      </c>
      <c r="L602">
        <v>17</v>
      </c>
      <c r="M602">
        <v>295</v>
      </c>
      <c r="N602">
        <v>1104</v>
      </c>
      <c r="O602">
        <v>2498</v>
      </c>
      <c r="P602" t="str">
        <f t="shared" si="36"/>
        <v>Sunday</v>
      </c>
      <c r="Q602">
        <f t="shared" si="37"/>
        <v>1440</v>
      </c>
      <c r="R602" t="str">
        <f t="shared" si="38"/>
        <v>Weekend</v>
      </c>
      <c r="S602" t="str">
        <f t="shared" si="39"/>
        <v>Very_Active</v>
      </c>
    </row>
    <row r="603" spans="1:19" x14ac:dyDescent="0.25">
      <c r="A603">
        <v>1927972279</v>
      </c>
      <c r="B603" s="4">
        <v>42483</v>
      </c>
      <c r="C603">
        <v>2945</v>
      </c>
      <c r="D603" s="1">
        <v>2.03999996185303</v>
      </c>
      <c r="E603" s="1">
        <v>2.03999996185303</v>
      </c>
      <c r="F603" s="1">
        <v>0</v>
      </c>
      <c r="G603" s="1">
        <v>0</v>
      </c>
      <c r="H603" s="1">
        <v>0</v>
      </c>
      <c r="I603" s="1">
        <v>2.03999996185303</v>
      </c>
      <c r="J603" s="1">
        <v>0</v>
      </c>
      <c r="K603">
        <v>0</v>
      </c>
      <c r="L603">
        <v>0</v>
      </c>
      <c r="M603">
        <v>145</v>
      </c>
      <c r="N603">
        <v>1295</v>
      </c>
      <c r="O603">
        <v>2499</v>
      </c>
      <c r="P603" t="str">
        <f t="shared" si="36"/>
        <v>Saturday</v>
      </c>
      <c r="Q603">
        <f t="shared" si="37"/>
        <v>1440</v>
      </c>
      <c r="R603" t="str">
        <f t="shared" si="38"/>
        <v>Weekend</v>
      </c>
      <c r="S603" t="str">
        <f t="shared" si="39"/>
        <v>Sedentary</v>
      </c>
    </row>
    <row r="604" spans="1:19" x14ac:dyDescent="0.25">
      <c r="A604">
        <v>4445114986</v>
      </c>
      <c r="B604" s="4">
        <v>42679</v>
      </c>
      <c r="C604">
        <v>9105</v>
      </c>
      <c r="D604" s="1">
        <v>6.1100001335143999</v>
      </c>
      <c r="E604" s="1">
        <v>6.1100001335143999</v>
      </c>
      <c r="F604" s="1">
        <v>0</v>
      </c>
      <c r="G604" s="1">
        <v>2.25</v>
      </c>
      <c r="H604" s="1">
        <v>1</v>
      </c>
      <c r="I604" s="1">
        <v>2.8599998950958301</v>
      </c>
      <c r="J604" s="1">
        <v>0</v>
      </c>
      <c r="K604">
        <v>34</v>
      </c>
      <c r="L604">
        <v>22</v>
      </c>
      <c r="M604">
        <v>232</v>
      </c>
      <c r="N604">
        <v>622</v>
      </c>
      <c r="O604">
        <v>2499</v>
      </c>
      <c r="P604" t="str">
        <f t="shared" si="36"/>
        <v>Saturday</v>
      </c>
      <c r="Q604">
        <f t="shared" si="37"/>
        <v>910</v>
      </c>
      <c r="R604" t="str">
        <f t="shared" si="38"/>
        <v>Weekend</v>
      </c>
      <c r="S604" t="str">
        <f t="shared" si="39"/>
        <v>Fairly Active</v>
      </c>
    </row>
    <row r="605" spans="1:19" x14ac:dyDescent="0.25">
      <c r="A605">
        <v>8583815059</v>
      </c>
      <c r="B605" s="4">
        <v>42475</v>
      </c>
      <c r="C605">
        <v>3430</v>
      </c>
      <c r="D605" s="1">
        <v>2.6800000667571999</v>
      </c>
      <c r="E605" s="1">
        <v>2.6800000667571999</v>
      </c>
      <c r="F605" s="1">
        <v>0</v>
      </c>
      <c r="G605" s="1">
        <v>0</v>
      </c>
      <c r="H605" s="1">
        <v>0</v>
      </c>
      <c r="I605" s="1">
        <v>0.89999997615814198</v>
      </c>
      <c r="J605" s="1">
        <v>0</v>
      </c>
      <c r="K605">
        <v>0</v>
      </c>
      <c r="L605">
        <v>0</v>
      </c>
      <c r="M605">
        <v>65</v>
      </c>
      <c r="N605">
        <v>1375</v>
      </c>
      <c r="O605">
        <v>2505</v>
      </c>
      <c r="P605" t="str">
        <f t="shared" si="36"/>
        <v>Friday</v>
      </c>
      <c r="Q605">
        <f t="shared" si="37"/>
        <v>1440</v>
      </c>
      <c r="R605" t="str">
        <f t="shared" si="38"/>
        <v>Weekday</v>
      </c>
      <c r="S605" t="str">
        <f t="shared" si="39"/>
        <v>Sedentary</v>
      </c>
    </row>
    <row r="606" spans="1:19" x14ac:dyDescent="0.25">
      <c r="A606">
        <v>1927972279</v>
      </c>
      <c r="B606" s="4">
        <v>42405</v>
      </c>
      <c r="C606">
        <v>3790</v>
      </c>
      <c r="D606" s="1">
        <v>2.6199998855590798</v>
      </c>
      <c r="E606" s="1">
        <v>2.6199998855590798</v>
      </c>
      <c r="F606" s="1">
        <v>0</v>
      </c>
      <c r="G606" s="1">
        <v>1.1599999666214</v>
      </c>
      <c r="H606" s="1">
        <v>0.30000001192092901</v>
      </c>
      <c r="I606" s="1">
        <v>1.1599999666214</v>
      </c>
      <c r="J606" s="1">
        <v>0</v>
      </c>
      <c r="K606">
        <v>16</v>
      </c>
      <c r="L606">
        <v>8</v>
      </c>
      <c r="M606">
        <v>94</v>
      </c>
      <c r="N606">
        <v>1322</v>
      </c>
      <c r="O606">
        <v>2505</v>
      </c>
      <c r="P606" t="str">
        <f t="shared" si="36"/>
        <v>Friday</v>
      </c>
      <c r="Q606">
        <f t="shared" si="37"/>
        <v>1440</v>
      </c>
      <c r="R606" t="str">
        <f t="shared" si="38"/>
        <v>Weekday</v>
      </c>
      <c r="S606" t="str">
        <f t="shared" si="39"/>
        <v>Sedentary</v>
      </c>
    </row>
    <row r="607" spans="1:19" x14ac:dyDescent="0.25">
      <c r="A607">
        <v>6775888955</v>
      </c>
      <c r="B607" s="4">
        <v>42474</v>
      </c>
      <c r="C607">
        <v>5162</v>
      </c>
      <c r="D607" s="1">
        <v>3.7000000476837198</v>
      </c>
      <c r="E607" s="1">
        <v>3.7000000476837198</v>
      </c>
      <c r="F607" s="1">
        <v>0</v>
      </c>
      <c r="G607" s="1">
        <v>0.87000000476837203</v>
      </c>
      <c r="H607" s="1">
        <v>0.86000001430511497</v>
      </c>
      <c r="I607" s="1">
        <v>1.9700000286102299</v>
      </c>
      <c r="J607" s="1">
        <v>0</v>
      </c>
      <c r="K607">
        <v>14</v>
      </c>
      <c r="L607">
        <v>24</v>
      </c>
      <c r="M607">
        <v>105</v>
      </c>
      <c r="N607">
        <v>863</v>
      </c>
      <c r="O607">
        <v>2507</v>
      </c>
      <c r="P607" t="str">
        <f t="shared" si="36"/>
        <v>Thursday</v>
      </c>
      <c r="Q607">
        <f t="shared" si="37"/>
        <v>1006</v>
      </c>
      <c r="R607" t="str">
        <f t="shared" si="38"/>
        <v>Weekday</v>
      </c>
      <c r="S607" t="str">
        <f t="shared" si="39"/>
        <v>Lightly Active</v>
      </c>
    </row>
    <row r="608" spans="1:19" x14ac:dyDescent="0.25">
      <c r="A608">
        <v>8583815059</v>
      </c>
      <c r="B608" s="4">
        <v>42465</v>
      </c>
      <c r="C608">
        <v>3588</v>
      </c>
      <c r="D608" s="1">
        <v>2.7999999523162802</v>
      </c>
      <c r="E608" s="1">
        <v>2.7999999523162802</v>
      </c>
      <c r="F608" s="1">
        <v>0</v>
      </c>
      <c r="G608" s="1">
        <v>0</v>
      </c>
      <c r="H608" s="1">
        <v>0</v>
      </c>
      <c r="I608" s="1">
        <v>0</v>
      </c>
      <c r="J608" s="1">
        <v>0</v>
      </c>
      <c r="K608">
        <v>0</v>
      </c>
      <c r="L608">
        <v>0</v>
      </c>
      <c r="M608">
        <v>0</v>
      </c>
      <c r="N608">
        <v>1440</v>
      </c>
      <c r="O608">
        <v>2516</v>
      </c>
      <c r="P608" t="str">
        <f t="shared" si="36"/>
        <v>Tuesday</v>
      </c>
      <c r="Q608">
        <f t="shared" si="37"/>
        <v>1440</v>
      </c>
      <c r="R608" t="str">
        <f t="shared" si="38"/>
        <v>Weekday</v>
      </c>
      <c r="S608" t="str">
        <f t="shared" si="39"/>
        <v>Sedentary</v>
      </c>
    </row>
    <row r="609" spans="1:19" x14ac:dyDescent="0.25">
      <c r="A609">
        <v>7086361926</v>
      </c>
      <c r="B609" s="4">
        <v>42473</v>
      </c>
      <c r="C609">
        <v>5813</v>
      </c>
      <c r="D609" s="1">
        <v>3.6199998855590798</v>
      </c>
      <c r="E609" s="1">
        <v>3.6199998855590798</v>
      </c>
      <c r="F609" s="1">
        <v>0</v>
      </c>
      <c r="G609" s="1">
        <v>0.56000000238418601</v>
      </c>
      <c r="H609" s="1">
        <v>0.20999999344348899</v>
      </c>
      <c r="I609" s="1">
        <v>2.8399999141693102</v>
      </c>
      <c r="J609" s="1">
        <v>0</v>
      </c>
      <c r="K609">
        <v>31</v>
      </c>
      <c r="L609">
        <v>26</v>
      </c>
      <c r="M609">
        <v>155</v>
      </c>
      <c r="N609">
        <v>744</v>
      </c>
      <c r="O609">
        <v>2516</v>
      </c>
      <c r="P609" t="str">
        <f t="shared" si="36"/>
        <v>Wednesday</v>
      </c>
      <c r="Q609">
        <f t="shared" si="37"/>
        <v>956</v>
      </c>
      <c r="R609" t="str">
        <f t="shared" si="38"/>
        <v>Weekday</v>
      </c>
      <c r="S609" t="str">
        <f t="shared" si="39"/>
        <v>Lightly Active</v>
      </c>
    </row>
    <row r="610" spans="1:19" x14ac:dyDescent="0.25">
      <c r="A610">
        <v>2022484408</v>
      </c>
      <c r="B610" s="4">
        <v>42475</v>
      </c>
      <c r="C610">
        <v>11034</v>
      </c>
      <c r="D610" s="1">
        <v>8.0299997329711896</v>
      </c>
      <c r="E610" s="1">
        <v>8.0299997329711896</v>
      </c>
      <c r="F610" s="1">
        <v>0</v>
      </c>
      <c r="G610" s="1">
        <v>1.9400000572204601</v>
      </c>
      <c r="H610" s="1">
        <v>0.31000000238418601</v>
      </c>
      <c r="I610" s="1">
        <v>5.7800002098083496</v>
      </c>
      <c r="J610" s="1">
        <v>0</v>
      </c>
      <c r="K610">
        <v>27</v>
      </c>
      <c r="L610">
        <v>9</v>
      </c>
      <c r="M610">
        <v>282</v>
      </c>
      <c r="N610">
        <v>1122</v>
      </c>
      <c r="O610">
        <v>2525</v>
      </c>
      <c r="P610" t="str">
        <f t="shared" si="36"/>
        <v>Friday</v>
      </c>
      <c r="Q610">
        <f t="shared" si="37"/>
        <v>1440</v>
      </c>
      <c r="R610" t="str">
        <f t="shared" si="38"/>
        <v>Weekday</v>
      </c>
      <c r="S610" t="str">
        <f t="shared" si="39"/>
        <v>Very_Active</v>
      </c>
    </row>
    <row r="611" spans="1:19" x14ac:dyDescent="0.25">
      <c r="A611">
        <v>2022484408</v>
      </c>
      <c r="B611" s="4">
        <v>42484</v>
      </c>
      <c r="C611">
        <v>13481</v>
      </c>
      <c r="D611" s="1">
        <v>10.2799997329712</v>
      </c>
      <c r="E611" s="1">
        <v>10.2799997329712</v>
      </c>
      <c r="F611" s="1">
        <v>0</v>
      </c>
      <c r="G611" s="1">
        <v>4.5500001907348597</v>
      </c>
      <c r="H611" s="1">
        <v>1.1499999761581401</v>
      </c>
      <c r="I611" s="1">
        <v>4.5799999237060502</v>
      </c>
      <c r="J611" s="1">
        <v>0</v>
      </c>
      <c r="K611">
        <v>37</v>
      </c>
      <c r="L611">
        <v>26</v>
      </c>
      <c r="M611">
        <v>216</v>
      </c>
      <c r="N611">
        <v>1161</v>
      </c>
      <c r="O611">
        <v>2529</v>
      </c>
      <c r="P611" t="str">
        <f t="shared" si="36"/>
        <v>Sunday</v>
      </c>
      <c r="Q611">
        <f t="shared" si="37"/>
        <v>1440</v>
      </c>
      <c r="R611" t="str">
        <f t="shared" si="38"/>
        <v>Weekend</v>
      </c>
      <c r="S611" t="str">
        <f t="shared" si="39"/>
        <v>Very_Active</v>
      </c>
    </row>
    <row r="612" spans="1:19" x14ac:dyDescent="0.25">
      <c r="A612">
        <v>4319703577</v>
      </c>
      <c r="B612" s="4">
        <v>42495</v>
      </c>
      <c r="C612">
        <v>13658</v>
      </c>
      <c r="D612" s="1">
        <v>9.4899997711181605</v>
      </c>
      <c r="E612" s="1">
        <v>9.4899997711181605</v>
      </c>
      <c r="F612" s="1">
        <v>0</v>
      </c>
      <c r="G612" s="1">
        <v>2.6300001144409202</v>
      </c>
      <c r="H612" s="1">
        <v>1.4099999666214</v>
      </c>
      <c r="I612" s="1">
        <v>5.4499998092651403</v>
      </c>
      <c r="J612" s="1">
        <v>0</v>
      </c>
      <c r="K612">
        <v>27</v>
      </c>
      <c r="L612">
        <v>34</v>
      </c>
      <c r="M612">
        <v>328</v>
      </c>
      <c r="N612">
        <v>957</v>
      </c>
      <c r="O612">
        <v>2530</v>
      </c>
      <c r="P612" t="str">
        <f t="shared" si="36"/>
        <v>Thursday</v>
      </c>
      <c r="Q612">
        <f t="shared" si="37"/>
        <v>1346</v>
      </c>
      <c r="R612" t="str">
        <f t="shared" si="38"/>
        <v>Weekday</v>
      </c>
      <c r="S612" t="str">
        <f t="shared" si="39"/>
        <v>Very_Active</v>
      </c>
    </row>
    <row r="613" spans="1:19" x14ac:dyDescent="0.25">
      <c r="A613">
        <v>7086361926</v>
      </c>
      <c r="B613" s="4">
        <v>42587</v>
      </c>
      <c r="C613">
        <v>10677</v>
      </c>
      <c r="D613" s="1">
        <v>7.0999999046325701</v>
      </c>
      <c r="E613" s="1">
        <v>7.0999999046325701</v>
      </c>
      <c r="F613" s="1">
        <v>0</v>
      </c>
      <c r="G613" s="1">
        <v>2.3099999427795401</v>
      </c>
      <c r="H613" s="1">
        <v>1.5299999713897701</v>
      </c>
      <c r="I613" s="1">
        <v>3.25</v>
      </c>
      <c r="J613" s="1">
        <v>0</v>
      </c>
      <c r="K613">
        <v>32</v>
      </c>
      <c r="L613">
        <v>27</v>
      </c>
      <c r="M613">
        <v>147</v>
      </c>
      <c r="N613">
        <v>695</v>
      </c>
      <c r="O613">
        <v>2534</v>
      </c>
      <c r="P613" t="str">
        <f t="shared" si="36"/>
        <v>Friday</v>
      </c>
      <c r="Q613">
        <f t="shared" si="37"/>
        <v>901</v>
      </c>
      <c r="R613" t="str">
        <f t="shared" si="38"/>
        <v>Weekday</v>
      </c>
      <c r="S613" t="str">
        <f t="shared" si="39"/>
        <v>Very_Active</v>
      </c>
    </row>
    <row r="614" spans="1:19" x14ac:dyDescent="0.25">
      <c r="A614">
        <v>8583815059</v>
      </c>
      <c r="B614" s="4">
        <v>42478</v>
      </c>
      <c r="C614">
        <v>3864</v>
      </c>
      <c r="D614" s="1">
        <v>3.0099999904632599</v>
      </c>
      <c r="E614" s="1">
        <v>3.0099999904632599</v>
      </c>
      <c r="F614" s="1">
        <v>0</v>
      </c>
      <c r="G614" s="1">
        <v>0.31000000238418601</v>
      </c>
      <c r="H614" s="1">
        <v>1.0599999427795399</v>
      </c>
      <c r="I614" s="1">
        <v>1.3500000238418599</v>
      </c>
      <c r="J614" s="1">
        <v>0</v>
      </c>
      <c r="K614">
        <v>4</v>
      </c>
      <c r="L614">
        <v>22</v>
      </c>
      <c r="M614">
        <v>105</v>
      </c>
      <c r="N614">
        <v>1309</v>
      </c>
      <c r="O614">
        <v>2536</v>
      </c>
      <c r="P614" t="str">
        <f t="shared" si="36"/>
        <v>Monday</v>
      </c>
      <c r="Q614">
        <f t="shared" si="37"/>
        <v>1440</v>
      </c>
      <c r="R614" t="str">
        <f t="shared" si="38"/>
        <v>Weekday</v>
      </c>
      <c r="S614" t="str">
        <f t="shared" si="39"/>
        <v>Sedentary</v>
      </c>
    </row>
    <row r="615" spans="1:19" x14ac:dyDescent="0.25">
      <c r="A615">
        <v>6117666160</v>
      </c>
      <c r="B615" s="4">
        <v>42480</v>
      </c>
      <c r="C615">
        <v>10449</v>
      </c>
      <c r="D615" s="1">
        <v>8.0200004577636701</v>
      </c>
      <c r="E615" s="1">
        <v>8.0200004577636701</v>
      </c>
      <c r="F615" s="1">
        <v>0</v>
      </c>
      <c r="G615" s="1">
        <v>2.0299999713897701</v>
      </c>
      <c r="H615" s="1">
        <v>0.479999989271164</v>
      </c>
      <c r="I615" s="1">
        <v>5.5199999809265101</v>
      </c>
      <c r="J615" s="1">
        <v>0</v>
      </c>
      <c r="K615">
        <v>26</v>
      </c>
      <c r="L615">
        <v>10</v>
      </c>
      <c r="M615">
        <v>349</v>
      </c>
      <c r="N615">
        <v>587</v>
      </c>
      <c r="O615">
        <v>2536</v>
      </c>
      <c r="P615" t="str">
        <f t="shared" si="36"/>
        <v>Wednesday</v>
      </c>
      <c r="Q615">
        <f t="shared" si="37"/>
        <v>972</v>
      </c>
      <c r="R615" t="str">
        <f t="shared" si="38"/>
        <v>Weekday</v>
      </c>
      <c r="S615" t="str">
        <f t="shared" si="39"/>
        <v>Very_Active</v>
      </c>
    </row>
    <row r="616" spans="1:19" x14ac:dyDescent="0.25">
      <c r="A616">
        <v>2022484408</v>
      </c>
      <c r="B616" s="4">
        <v>42679</v>
      </c>
      <c r="C616">
        <v>13272</v>
      </c>
      <c r="D616" s="1">
        <v>9.3199996948242205</v>
      </c>
      <c r="E616" s="1">
        <v>9.3199996948242205</v>
      </c>
      <c r="F616" s="1">
        <v>0</v>
      </c>
      <c r="G616" s="1">
        <v>4.1799998283386204</v>
      </c>
      <c r="H616" s="1">
        <v>1.1499999761581401</v>
      </c>
      <c r="I616" s="1">
        <v>3.9900000095367401</v>
      </c>
      <c r="J616" s="1">
        <v>0</v>
      </c>
      <c r="K616">
        <v>58</v>
      </c>
      <c r="L616">
        <v>25</v>
      </c>
      <c r="M616">
        <v>224</v>
      </c>
      <c r="N616">
        <v>1133</v>
      </c>
      <c r="O616">
        <v>2544</v>
      </c>
      <c r="P616" t="str">
        <f t="shared" si="36"/>
        <v>Saturday</v>
      </c>
      <c r="Q616">
        <f t="shared" si="37"/>
        <v>1440</v>
      </c>
      <c r="R616" t="str">
        <f t="shared" si="38"/>
        <v>Weekend</v>
      </c>
      <c r="S616" t="str">
        <f t="shared" si="39"/>
        <v>Very_Active</v>
      </c>
    </row>
    <row r="617" spans="1:19" x14ac:dyDescent="0.25">
      <c r="A617">
        <v>8583815059</v>
      </c>
      <c r="B617" s="4">
        <v>42485</v>
      </c>
      <c r="C617">
        <v>4503</v>
      </c>
      <c r="D617" s="1">
        <v>3.5099999904632599</v>
      </c>
      <c r="E617" s="1">
        <v>3.5099999904632599</v>
      </c>
      <c r="F617" s="1">
        <v>0</v>
      </c>
      <c r="G617" s="1">
        <v>1.4700000286102299</v>
      </c>
      <c r="H617" s="1">
        <v>0.239999994635582</v>
      </c>
      <c r="I617" s="1">
        <v>1.8099999427795399</v>
      </c>
      <c r="J617" s="1">
        <v>0</v>
      </c>
      <c r="K617">
        <v>18</v>
      </c>
      <c r="L617">
        <v>6</v>
      </c>
      <c r="M617">
        <v>122</v>
      </c>
      <c r="N617">
        <v>1294</v>
      </c>
      <c r="O617">
        <v>2547</v>
      </c>
      <c r="P617" t="str">
        <f t="shared" si="36"/>
        <v>Monday</v>
      </c>
      <c r="Q617">
        <f t="shared" si="37"/>
        <v>1440</v>
      </c>
      <c r="R617" t="str">
        <f t="shared" si="38"/>
        <v>Weekday</v>
      </c>
      <c r="S617" t="str">
        <f t="shared" si="39"/>
        <v>Sedentary</v>
      </c>
    </row>
    <row r="618" spans="1:19" x14ac:dyDescent="0.25">
      <c r="A618">
        <v>5577150313</v>
      </c>
      <c r="B618" s="4">
        <v>42473</v>
      </c>
      <c r="C618">
        <v>5077</v>
      </c>
      <c r="D618" s="1">
        <v>3.78999996185303</v>
      </c>
      <c r="E618" s="1">
        <v>3.78999996185303</v>
      </c>
      <c r="F618" s="1">
        <v>0</v>
      </c>
      <c r="G618" s="1">
        <v>0.31999999284744302</v>
      </c>
      <c r="H618" s="1">
        <v>0.21999999880790699</v>
      </c>
      <c r="I618" s="1">
        <v>3.25</v>
      </c>
      <c r="J618" s="1">
        <v>0</v>
      </c>
      <c r="K618">
        <v>15</v>
      </c>
      <c r="L618">
        <v>11</v>
      </c>
      <c r="M618">
        <v>144</v>
      </c>
      <c r="N618">
        <v>776</v>
      </c>
      <c r="O618">
        <v>2551</v>
      </c>
      <c r="P618" t="str">
        <f t="shared" si="36"/>
        <v>Wednesday</v>
      </c>
      <c r="Q618">
        <f t="shared" si="37"/>
        <v>946</v>
      </c>
      <c r="R618" t="str">
        <f t="shared" si="38"/>
        <v>Weekday</v>
      </c>
      <c r="S618" t="str">
        <f t="shared" si="39"/>
        <v>Lightly Active</v>
      </c>
    </row>
    <row r="619" spans="1:19" x14ac:dyDescent="0.25">
      <c r="A619">
        <v>7007744171</v>
      </c>
      <c r="B619" s="4">
        <v>42526</v>
      </c>
      <c r="C619">
        <v>11459</v>
      </c>
      <c r="D619" s="1">
        <v>7.6700000762939498</v>
      </c>
      <c r="E619" s="1">
        <v>7.6700000762939498</v>
      </c>
      <c r="F619" s="1">
        <v>0</v>
      </c>
      <c r="G619" s="1">
        <v>3</v>
      </c>
      <c r="H619" s="1">
        <v>0.81000000238418601</v>
      </c>
      <c r="I619" s="1">
        <v>3.8599998950958301</v>
      </c>
      <c r="J619" s="1">
        <v>0</v>
      </c>
      <c r="K619">
        <v>44</v>
      </c>
      <c r="L619">
        <v>13</v>
      </c>
      <c r="M619">
        <v>247</v>
      </c>
      <c r="N619">
        <v>1136</v>
      </c>
      <c r="O619">
        <v>2553</v>
      </c>
      <c r="P619" t="str">
        <f t="shared" si="36"/>
        <v>Sunday</v>
      </c>
      <c r="Q619">
        <f t="shared" si="37"/>
        <v>1440</v>
      </c>
      <c r="R619" t="str">
        <f t="shared" si="38"/>
        <v>Weekend</v>
      </c>
      <c r="S619" t="str">
        <f t="shared" si="39"/>
        <v>Very_Active</v>
      </c>
    </row>
    <row r="620" spans="1:19" x14ac:dyDescent="0.25">
      <c r="A620">
        <v>6290855005</v>
      </c>
      <c r="B620" s="4">
        <v>42708</v>
      </c>
      <c r="C620">
        <v>4562</v>
      </c>
      <c r="D620" s="1">
        <v>3.4500000476837198</v>
      </c>
      <c r="E620" s="1">
        <v>3.4500000476837198</v>
      </c>
      <c r="F620" s="1">
        <v>0</v>
      </c>
      <c r="G620" s="1">
        <v>0</v>
      </c>
      <c r="H620" s="1">
        <v>0</v>
      </c>
      <c r="I620" s="1">
        <v>3.4500000476837198</v>
      </c>
      <c r="J620" s="1">
        <v>0</v>
      </c>
      <c r="K620">
        <v>0</v>
      </c>
      <c r="L620">
        <v>0</v>
      </c>
      <c r="M620">
        <v>199</v>
      </c>
      <c r="N620">
        <v>1241</v>
      </c>
      <c r="O620">
        <v>2560</v>
      </c>
      <c r="P620" t="str">
        <f t="shared" si="36"/>
        <v>Sunday</v>
      </c>
      <c r="Q620">
        <f t="shared" si="37"/>
        <v>1440</v>
      </c>
      <c r="R620" t="str">
        <f t="shared" si="38"/>
        <v>Weekend</v>
      </c>
      <c r="S620" t="str">
        <f t="shared" si="39"/>
        <v>Sedentary</v>
      </c>
    </row>
    <row r="621" spans="1:19" x14ac:dyDescent="0.25">
      <c r="A621">
        <v>6117666160</v>
      </c>
      <c r="B621" s="4">
        <v>42489</v>
      </c>
      <c r="C621">
        <v>9592</v>
      </c>
      <c r="D621" s="1">
        <v>7.2399997711181596</v>
      </c>
      <c r="E621" s="1">
        <v>7.2399997711181596</v>
      </c>
      <c r="F621" s="1">
        <v>0</v>
      </c>
      <c r="G621" s="1">
        <v>0</v>
      </c>
      <c r="H621" s="1">
        <v>0</v>
      </c>
      <c r="I621" s="1">
        <v>7.2399997711181596</v>
      </c>
      <c r="J621" s="1">
        <v>0</v>
      </c>
      <c r="K621">
        <v>0</v>
      </c>
      <c r="L621">
        <v>0</v>
      </c>
      <c r="M621">
        <v>461</v>
      </c>
      <c r="N621">
        <v>479</v>
      </c>
      <c r="O621">
        <v>2560</v>
      </c>
      <c r="P621" t="str">
        <f t="shared" si="36"/>
        <v>Friday</v>
      </c>
      <c r="Q621">
        <f t="shared" si="37"/>
        <v>940</v>
      </c>
      <c r="R621" t="str">
        <f t="shared" si="38"/>
        <v>Weekday</v>
      </c>
      <c r="S621" t="str">
        <f t="shared" si="39"/>
        <v>Fairly Active</v>
      </c>
    </row>
    <row r="622" spans="1:19" x14ac:dyDescent="0.25">
      <c r="A622">
        <v>6962181067</v>
      </c>
      <c r="B622" s="4">
        <v>42483</v>
      </c>
      <c r="C622">
        <v>20031</v>
      </c>
      <c r="D622" s="1">
        <v>13.2399997711182</v>
      </c>
      <c r="E622" s="1">
        <v>13.2399997711182</v>
      </c>
      <c r="F622" s="1">
        <v>0</v>
      </c>
      <c r="G622" s="1">
        <v>4.1999998092651403</v>
      </c>
      <c r="H622" s="1">
        <v>2</v>
      </c>
      <c r="I622" s="1">
        <v>7.03999996185303</v>
      </c>
      <c r="J622" s="1">
        <v>0</v>
      </c>
      <c r="K622">
        <v>58</v>
      </c>
      <c r="L622">
        <v>41</v>
      </c>
      <c r="M622">
        <v>347</v>
      </c>
      <c r="N622">
        <v>484</v>
      </c>
      <c r="O622">
        <v>2571</v>
      </c>
      <c r="P622" t="str">
        <f t="shared" si="36"/>
        <v>Saturday</v>
      </c>
      <c r="Q622">
        <f t="shared" si="37"/>
        <v>930</v>
      </c>
      <c r="R622" t="str">
        <f t="shared" si="38"/>
        <v>Weekend</v>
      </c>
      <c r="S622" t="str">
        <f t="shared" si="39"/>
        <v>Very_Active</v>
      </c>
    </row>
    <row r="623" spans="1:19" x14ac:dyDescent="0.25">
      <c r="A623">
        <v>8378563200</v>
      </c>
      <c r="B623" s="4">
        <v>42477</v>
      </c>
      <c r="C623">
        <v>2132</v>
      </c>
      <c r="D623" s="1">
        <v>1.6900000572204601</v>
      </c>
      <c r="E623" s="1">
        <v>1.6900000572204601</v>
      </c>
      <c r="F623" s="1">
        <v>0</v>
      </c>
      <c r="G623" s="1">
        <v>0</v>
      </c>
      <c r="H623" s="1">
        <v>0</v>
      </c>
      <c r="I623" s="1">
        <v>1.6900000572204601</v>
      </c>
      <c r="J623" s="1">
        <v>0</v>
      </c>
      <c r="K623">
        <v>0</v>
      </c>
      <c r="L623">
        <v>0</v>
      </c>
      <c r="M623">
        <v>93</v>
      </c>
      <c r="N623">
        <v>599</v>
      </c>
      <c r="O623">
        <v>2572</v>
      </c>
      <c r="P623" t="str">
        <f t="shared" si="36"/>
        <v>Sunday</v>
      </c>
      <c r="Q623">
        <f t="shared" si="37"/>
        <v>692</v>
      </c>
      <c r="R623" t="str">
        <f t="shared" si="38"/>
        <v>Weekend</v>
      </c>
      <c r="S623" t="str">
        <f t="shared" si="39"/>
        <v>Sedentary</v>
      </c>
    </row>
    <row r="624" spans="1:19" x14ac:dyDescent="0.25">
      <c r="A624">
        <v>4388161847</v>
      </c>
      <c r="B624" s="4">
        <v>42477</v>
      </c>
      <c r="C624">
        <v>4660</v>
      </c>
      <c r="D624" s="1">
        <v>3.5799999237060498</v>
      </c>
      <c r="E624" s="1">
        <v>3.5799999237060498</v>
      </c>
      <c r="F624" s="1">
        <v>0</v>
      </c>
      <c r="G624" s="1">
        <v>0</v>
      </c>
      <c r="H624" s="1">
        <v>0</v>
      </c>
      <c r="I624" s="1">
        <v>3.5799999237060498</v>
      </c>
      <c r="J624" s="1">
        <v>0</v>
      </c>
      <c r="K624">
        <v>0</v>
      </c>
      <c r="L624">
        <v>0</v>
      </c>
      <c r="M624">
        <v>201</v>
      </c>
      <c r="N624">
        <v>721</v>
      </c>
      <c r="O624">
        <v>2572</v>
      </c>
      <c r="P624" t="str">
        <f t="shared" si="36"/>
        <v>Sunday</v>
      </c>
      <c r="Q624">
        <f t="shared" si="37"/>
        <v>922</v>
      </c>
      <c r="R624" t="str">
        <f t="shared" si="38"/>
        <v>Weekend</v>
      </c>
      <c r="S624" t="str">
        <f t="shared" si="39"/>
        <v>Sedentary</v>
      </c>
    </row>
    <row r="625" spans="1:19" x14ac:dyDescent="0.25">
      <c r="A625">
        <v>6117666160</v>
      </c>
      <c r="B625" s="4">
        <v>42487</v>
      </c>
      <c r="C625">
        <v>9411</v>
      </c>
      <c r="D625" s="1">
        <v>7.1100001335143999</v>
      </c>
      <c r="E625" s="1">
        <v>7.1100001335143999</v>
      </c>
      <c r="F625" s="1">
        <v>0</v>
      </c>
      <c r="G625" s="1">
        <v>0</v>
      </c>
      <c r="H625" s="1">
        <v>0</v>
      </c>
      <c r="I625" s="1">
        <v>7.1100001335143999</v>
      </c>
      <c r="J625" s="1">
        <v>0</v>
      </c>
      <c r="K625">
        <v>0</v>
      </c>
      <c r="L625">
        <v>0</v>
      </c>
      <c r="M625">
        <v>458</v>
      </c>
      <c r="N625">
        <v>417</v>
      </c>
      <c r="O625">
        <v>2576</v>
      </c>
      <c r="P625" t="str">
        <f t="shared" si="36"/>
        <v>Wednesday</v>
      </c>
      <c r="Q625">
        <f t="shared" si="37"/>
        <v>875</v>
      </c>
      <c r="R625" t="str">
        <f t="shared" si="38"/>
        <v>Weekday</v>
      </c>
      <c r="S625" t="str">
        <f t="shared" si="39"/>
        <v>Fairly Active</v>
      </c>
    </row>
    <row r="626" spans="1:19" x14ac:dyDescent="0.25">
      <c r="A626">
        <v>1644430081</v>
      </c>
      <c r="B626" s="4">
        <v>42405</v>
      </c>
      <c r="C626">
        <v>3758</v>
      </c>
      <c r="D626" s="1">
        <v>2.7300000190734899</v>
      </c>
      <c r="E626" s="1">
        <v>2.7300000190734899</v>
      </c>
      <c r="F626" s="1">
        <v>0</v>
      </c>
      <c r="G626" s="1">
        <v>7.0000000298023196E-2</v>
      </c>
      <c r="H626" s="1">
        <v>0.31000000238418601</v>
      </c>
      <c r="I626" s="1">
        <v>2.3499999046325701</v>
      </c>
      <c r="J626" s="1">
        <v>0</v>
      </c>
      <c r="K626">
        <v>1</v>
      </c>
      <c r="L626">
        <v>7</v>
      </c>
      <c r="M626">
        <v>148</v>
      </c>
      <c r="N626">
        <v>682</v>
      </c>
      <c r="O626">
        <v>2580</v>
      </c>
      <c r="P626" t="str">
        <f t="shared" si="36"/>
        <v>Friday</v>
      </c>
      <c r="Q626">
        <f t="shared" si="37"/>
        <v>838</v>
      </c>
      <c r="R626" t="str">
        <f t="shared" si="38"/>
        <v>Weekday</v>
      </c>
      <c r="S626" t="str">
        <f t="shared" si="39"/>
        <v>Sedentary</v>
      </c>
    </row>
    <row r="627" spans="1:19" x14ac:dyDescent="0.25">
      <c r="A627">
        <v>6775888955</v>
      </c>
      <c r="B627" s="4">
        <v>42486</v>
      </c>
      <c r="C627">
        <v>7091</v>
      </c>
      <c r="D627" s="1">
        <v>5.2699999809265101</v>
      </c>
      <c r="E627" s="1">
        <v>5.2699999809265101</v>
      </c>
      <c r="F627" s="1">
        <v>1.9595960378646899</v>
      </c>
      <c r="G627" s="1">
        <v>3.4800000190734899</v>
      </c>
      <c r="H627" s="1">
        <v>0.87000000476837203</v>
      </c>
      <c r="I627" s="1">
        <v>0.730000019073486</v>
      </c>
      <c r="J627" s="1">
        <v>0</v>
      </c>
      <c r="K627">
        <v>42</v>
      </c>
      <c r="L627">
        <v>30</v>
      </c>
      <c r="M627">
        <v>47</v>
      </c>
      <c r="N627">
        <v>1321</v>
      </c>
      <c r="O627">
        <v>2584</v>
      </c>
      <c r="P627" t="str">
        <f t="shared" si="36"/>
        <v>Tuesday</v>
      </c>
      <c r="Q627">
        <f t="shared" si="37"/>
        <v>1440</v>
      </c>
      <c r="R627" t="str">
        <f t="shared" si="38"/>
        <v>Weekday</v>
      </c>
      <c r="S627" t="str">
        <f t="shared" si="39"/>
        <v>Lightly Active</v>
      </c>
    </row>
    <row r="628" spans="1:19" x14ac:dyDescent="0.25">
      <c r="A628">
        <v>8583815059</v>
      </c>
      <c r="B628" s="4">
        <v>42374</v>
      </c>
      <c r="C628">
        <v>4512</v>
      </c>
      <c r="D628" s="1">
        <v>3.5199999809265101</v>
      </c>
      <c r="E628" s="1">
        <v>3.5199999809265101</v>
      </c>
      <c r="F628" s="1">
        <v>0</v>
      </c>
      <c r="G628" s="1">
        <v>0.77999997138977095</v>
      </c>
      <c r="H628" s="1">
        <v>0.119999997317791</v>
      </c>
      <c r="I628" s="1">
        <v>2.03999996185303</v>
      </c>
      <c r="J628" s="1">
        <v>0</v>
      </c>
      <c r="K628">
        <v>10</v>
      </c>
      <c r="L628">
        <v>2</v>
      </c>
      <c r="M628">
        <v>117</v>
      </c>
      <c r="N628">
        <v>1311</v>
      </c>
      <c r="O628">
        <v>2596</v>
      </c>
      <c r="P628" t="str">
        <f t="shared" si="36"/>
        <v>Tuesday</v>
      </c>
      <c r="Q628">
        <f t="shared" si="37"/>
        <v>1440</v>
      </c>
      <c r="R628" t="str">
        <f t="shared" si="38"/>
        <v>Weekday</v>
      </c>
      <c r="S628" t="str">
        <f t="shared" si="39"/>
        <v>Sedentary</v>
      </c>
    </row>
    <row r="629" spans="1:19" x14ac:dyDescent="0.25">
      <c r="A629">
        <v>2022484408</v>
      </c>
      <c r="B629" s="4">
        <v>42473</v>
      </c>
      <c r="C629">
        <v>12024</v>
      </c>
      <c r="D629" s="1">
        <v>8.5</v>
      </c>
      <c r="E629" s="1">
        <v>8.5</v>
      </c>
      <c r="F629" s="1">
        <v>0</v>
      </c>
      <c r="G629" s="1">
        <v>2.9900000095367401</v>
      </c>
      <c r="H629" s="1">
        <v>0.10000000149011599</v>
      </c>
      <c r="I629" s="1">
        <v>5.4099998474121103</v>
      </c>
      <c r="J629" s="1">
        <v>0</v>
      </c>
      <c r="K629">
        <v>43</v>
      </c>
      <c r="L629">
        <v>5</v>
      </c>
      <c r="M629">
        <v>292</v>
      </c>
      <c r="N629">
        <v>1100</v>
      </c>
      <c r="O629">
        <v>2601</v>
      </c>
      <c r="P629" t="str">
        <f t="shared" si="36"/>
        <v>Wednesday</v>
      </c>
      <c r="Q629">
        <f t="shared" si="37"/>
        <v>1440</v>
      </c>
      <c r="R629" t="str">
        <f t="shared" si="38"/>
        <v>Weekday</v>
      </c>
      <c r="S629" t="str">
        <f t="shared" si="39"/>
        <v>Very_Active</v>
      </c>
    </row>
    <row r="630" spans="1:19" x14ac:dyDescent="0.25">
      <c r="A630">
        <v>6117666160</v>
      </c>
      <c r="B630" s="4">
        <v>42479</v>
      </c>
      <c r="C630">
        <v>11135</v>
      </c>
      <c r="D630" s="1">
        <v>8.4099998474121094</v>
      </c>
      <c r="E630" s="1">
        <v>8.4099998474121094</v>
      </c>
      <c r="F630" s="1">
        <v>0</v>
      </c>
      <c r="G630" s="1">
        <v>0</v>
      </c>
      <c r="H630" s="1">
        <v>0</v>
      </c>
      <c r="I630" s="1">
        <v>8.4099998474121094</v>
      </c>
      <c r="J630" s="1">
        <v>0</v>
      </c>
      <c r="K630">
        <v>0</v>
      </c>
      <c r="L630">
        <v>0</v>
      </c>
      <c r="M630">
        <v>480</v>
      </c>
      <c r="N630">
        <v>425</v>
      </c>
      <c r="O630">
        <v>2606</v>
      </c>
      <c r="P630" t="str">
        <f t="shared" si="36"/>
        <v>Tuesday</v>
      </c>
      <c r="Q630">
        <f t="shared" si="37"/>
        <v>905</v>
      </c>
      <c r="R630" t="str">
        <f t="shared" si="38"/>
        <v>Weekday</v>
      </c>
      <c r="S630" t="str">
        <f t="shared" si="39"/>
        <v>Very_Active</v>
      </c>
    </row>
    <row r="631" spans="1:19" x14ac:dyDescent="0.25">
      <c r="A631">
        <v>2022484408</v>
      </c>
      <c r="B631" s="4">
        <v>42495</v>
      </c>
      <c r="C631">
        <v>11895</v>
      </c>
      <c r="D631" s="1">
        <v>8.3500003814697301</v>
      </c>
      <c r="E631" s="1">
        <v>8.3500003814697301</v>
      </c>
      <c r="F631" s="1">
        <v>0</v>
      </c>
      <c r="G631" s="1">
        <v>2.78999996185303</v>
      </c>
      <c r="H631" s="1">
        <v>0.86000001430511497</v>
      </c>
      <c r="I631" s="1">
        <v>4.6999998092651403</v>
      </c>
      <c r="J631" s="1">
        <v>0</v>
      </c>
      <c r="K631">
        <v>55</v>
      </c>
      <c r="L631">
        <v>20</v>
      </c>
      <c r="M631">
        <v>253</v>
      </c>
      <c r="N631">
        <v>1112</v>
      </c>
      <c r="O631">
        <v>2609</v>
      </c>
      <c r="P631" t="str">
        <f t="shared" si="36"/>
        <v>Thursday</v>
      </c>
      <c r="Q631">
        <f t="shared" si="37"/>
        <v>1440</v>
      </c>
      <c r="R631" t="str">
        <f t="shared" si="38"/>
        <v>Weekday</v>
      </c>
      <c r="S631" t="str">
        <f t="shared" si="39"/>
        <v>Very_Active</v>
      </c>
    </row>
    <row r="632" spans="1:19" x14ac:dyDescent="0.25">
      <c r="A632">
        <v>2022484408</v>
      </c>
      <c r="B632" s="4">
        <v>42489</v>
      </c>
      <c r="C632">
        <v>10245</v>
      </c>
      <c r="D632" s="1">
        <v>7.1900000572204599</v>
      </c>
      <c r="E632" s="1">
        <v>7.1900000572204599</v>
      </c>
      <c r="F632" s="1">
        <v>0</v>
      </c>
      <c r="G632" s="1">
        <v>0.479999989271164</v>
      </c>
      <c r="H632" s="1">
        <v>1.21000003814697</v>
      </c>
      <c r="I632" s="1">
        <v>5.5</v>
      </c>
      <c r="J632" s="1">
        <v>0</v>
      </c>
      <c r="K632">
        <v>21</v>
      </c>
      <c r="L632">
        <v>40</v>
      </c>
      <c r="M632">
        <v>281</v>
      </c>
      <c r="N632">
        <v>1098</v>
      </c>
      <c r="O632">
        <v>2611</v>
      </c>
      <c r="P632" t="str">
        <f t="shared" si="36"/>
        <v>Friday</v>
      </c>
      <c r="Q632">
        <f t="shared" si="37"/>
        <v>1440</v>
      </c>
      <c r="R632" t="str">
        <f t="shared" si="38"/>
        <v>Weekday</v>
      </c>
      <c r="S632" t="str">
        <f t="shared" si="39"/>
        <v>Very_Active</v>
      </c>
    </row>
    <row r="633" spans="1:19" x14ac:dyDescent="0.25">
      <c r="A633">
        <v>6290855005</v>
      </c>
      <c r="B633" s="4">
        <v>42556</v>
      </c>
      <c r="C633">
        <v>5510</v>
      </c>
      <c r="D633" s="1">
        <v>4.1700000762939498</v>
      </c>
      <c r="E633" s="1">
        <v>4.1700000762939498</v>
      </c>
      <c r="F633" s="1">
        <v>0</v>
      </c>
      <c r="G633" s="1">
        <v>0</v>
      </c>
      <c r="H633" s="1">
        <v>0</v>
      </c>
      <c r="I633" s="1">
        <v>4.1599998474121103</v>
      </c>
      <c r="J633" s="1">
        <v>0</v>
      </c>
      <c r="K633">
        <v>0</v>
      </c>
      <c r="L633">
        <v>0</v>
      </c>
      <c r="M633">
        <v>227</v>
      </c>
      <c r="N633">
        <v>1213</v>
      </c>
      <c r="O633">
        <v>2613</v>
      </c>
      <c r="P633" t="str">
        <f t="shared" si="36"/>
        <v>Tuesday</v>
      </c>
      <c r="Q633">
        <f t="shared" si="37"/>
        <v>1440</v>
      </c>
      <c r="R633" t="str">
        <f t="shared" si="38"/>
        <v>Weekday</v>
      </c>
      <c r="S633" t="str">
        <f t="shared" si="39"/>
        <v>Lightly Active</v>
      </c>
    </row>
    <row r="634" spans="1:19" x14ac:dyDescent="0.25">
      <c r="A634">
        <v>7086361926</v>
      </c>
      <c r="B634" s="4">
        <v>42489</v>
      </c>
      <c r="C634">
        <v>7881</v>
      </c>
      <c r="D634" s="1">
        <v>4.9499998092651403</v>
      </c>
      <c r="E634" s="1">
        <v>4.9499998092651403</v>
      </c>
      <c r="F634" s="1">
        <v>0</v>
      </c>
      <c r="G634" s="1">
        <v>0.490000009536743</v>
      </c>
      <c r="H634" s="1">
        <v>0.44999998807907099</v>
      </c>
      <c r="I634" s="1">
        <v>4</v>
      </c>
      <c r="J634" s="1">
        <v>0</v>
      </c>
      <c r="K634">
        <v>24</v>
      </c>
      <c r="L634">
        <v>36</v>
      </c>
      <c r="M634">
        <v>182</v>
      </c>
      <c r="N634">
        <v>1198</v>
      </c>
      <c r="O634">
        <v>2616</v>
      </c>
      <c r="P634" t="str">
        <f t="shared" si="36"/>
        <v>Friday</v>
      </c>
      <c r="Q634">
        <f t="shared" si="37"/>
        <v>1440</v>
      </c>
      <c r="R634" t="str">
        <f t="shared" si="38"/>
        <v>Weekday</v>
      </c>
      <c r="S634" t="str">
        <f t="shared" si="39"/>
        <v>Fairly Active</v>
      </c>
    </row>
    <row r="635" spans="1:19" x14ac:dyDescent="0.25">
      <c r="A635">
        <v>2347167796</v>
      </c>
      <c r="B635" s="4">
        <v>42483</v>
      </c>
      <c r="C635">
        <v>16901</v>
      </c>
      <c r="D635" s="1">
        <v>11.3699998855591</v>
      </c>
      <c r="E635" s="1">
        <v>11.3699998855591</v>
      </c>
      <c r="F635" s="1">
        <v>0</v>
      </c>
      <c r="G635" s="1">
        <v>2.7799999713897701</v>
      </c>
      <c r="H635" s="1">
        <v>1.45000004768372</v>
      </c>
      <c r="I635" s="1">
        <v>7.1500000953674299</v>
      </c>
      <c r="J635" s="1">
        <v>0</v>
      </c>
      <c r="K635">
        <v>32</v>
      </c>
      <c r="L635">
        <v>35</v>
      </c>
      <c r="M635">
        <v>360</v>
      </c>
      <c r="N635">
        <v>591</v>
      </c>
      <c r="O635">
        <v>2629</v>
      </c>
      <c r="P635" t="str">
        <f t="shared" si="36"/>
        <v>Saturday</v>
      </c>
      <c r="Q635">
        <f t="shared" si="37"/>
        <v>1018</v>
      </c>
      <c r="R635" t="str">
        <f t="shared" si="38"/>
        <v>Weekend</v>
      </c>
      <c r="S635" t="str">
        <f t="shared" si="39"/>
        <v>Very_Active</v>
      </c>
    </row>
    <row r="636" spans="1:19" x14ac:dyDescent="0.25">
      <c r="A636">
        <v>6117666160</v>
      </c>
      <c r="B636" s="4">
        <v>42495</v>
      </c>
      <c r="C636">
        <v>9799</v>
      </c>
      <c r="D636" s="1">
        <v>7.4000000953674299</v>
      </c>
      <c r="E636" s="1">
        <v>7.4000000953674299</v>
      </c>
      <c r="F636" s="1">
        <v>0</v>
      </c>
      <c r="G636" s="1">
        <v>0</v>
      </c>
      <c r="H636" s="1">
        <v>0</v>
      </c>
      <c r="I636" s="1">
        <v>7.4000000953674299</v>
      </c>
      <c r="J636" s="1">
        <v>0</v>
      </c>
      <c r="K636">
        <v>0</v>
      </c>
      <c r="L636">
        <v>0</v>
      </c>
      <c r="M636">
        <v>487</v>
      </c>
      <c r="N636">
        <v>479</v>
      </c>
      <c r="O636">
        <v>2636</v>
      </c>
      <c r="P636" t="str">
        <f t="shared" si="36"/>
        <v>Thursday</v>
      </c>
      <c r="Q636">
        <f t="shared" si="37"/>
        <v>966</v>
      </c>
      <c r="R636" t="str">
        <f t="shared" si="38"/>
        <v>Weekday</v>
      </c>
      <c r="S636" t="str">
        <f t="shared" si="39"/>
        <v>Fairly Active</v>
      </c>
    </row>
    <row r="637" spans="1:19" x14ac:dyDescent="0.25">
      <c r="A637">
        <v>1927972279</v>
      </c>
      <c r="B637" s="4">
        <v>42486</v>
      </c>
      <c r="C637">
        <v>3761</v>
      </c>
      <c r="D637" s="1">
        <v>2.5999999046325701</v>
      </c>
      <c r="E637" s="1">
        <v>2.5999999046325701</v>
      </c>
      <c r="F637" s="1">
        <v>0</v>
      </c>
      <c r="G637" s="1">
        <v>0</v>
      </c>
      <c r="H637" s="1">
        <v>0</v>
      </c>
      <c r="I637" s="1">
        <v>2.5999999046325701</v>
      </c>
      <c r="J637" s="1">
        <v>0</v>
      </c>
      <c r="K637">
        <v>0</v>
      </c>
      <c r="L637">
        <v>0</v>
      </c>
      <c r="M637">
        <v>192</v>
      </c>
      <c r="N637">
        <v>1058</v>
      </c>
      <c r="O637">
        <v>2638</v>
      </c>
      <c r="P637" t="str">
        <f t="shared" si="36"/>
        <v>Tuesday</v>
      </c>
      <c r="Q637">
        <f t="shared" si="37"/>
        <v>1250</v>
      </c>
      <c r="R637" t="str">
        <f t="shared" si="38"/>
        <v>Weekday</v>
      </c>
      <c r="S637" t="str">
        <f t="shared" si="39"/>
        <v>Sedentary</v>
      </c>
    </row>
    <row r="638" spans="1:19" x14ac:dyDescent="0.25">
      <c r="A638">
        <v>2022484408</v>
      </c>
      <c r="B638" s="4">
        <v>42482</v>
      </c>
      <c r="C638">
        <v>12954</v>
      </c>
      <c r="D638" s="1">
        <v>9.3299999237060494</v>
      </c>
      <c r="E638" s="1">
        <v>9.3299999237060494</v>
      </c>
      <c r="F638" s="1">
        <v>0</v>
      </c>
      <c r="G638" s="1">
        <v>4.4299998283386204</v>
      </c>
      <c r="H638" s="1">
        <v>0.41999998688697798</v>
      </c>
      <c r="I638" s="1">
        <v>4.4699997901916504</v>
      </c>
      <c r="J638" s="1">
        <v>0</v>
      </c>
      <c r="K638">
        <v>52</v>
      </c>
      <c r="L638">
        <v>10</v>
      </c>
      <c r="M638">
        <v>273</v>
      </c>
      <c r="N638">
        <v>1105</v>
      </c>
      <c r="O638">
        <v>2638</v>
      </c>
      <c r="P638" t="str">
        <f t="shared" si="36"/>
        <v>Friday</v>
      </c>
      <c r="Q638">
        <f t="shared" si="37"/>
        <v>1440</v>
      </c>
      <c r="R638" t="str">
        <f t="shared" si="38"/>
        <v>Weekday</v>
      </c>
      <c r="S638" t="str">
        <f t="shared" si="39"/>
        <v>Very_Active</v>
      </c>
    </row>
    <row r="639" spans="1:19" x14ac:dyDescent="0.25">
      <c r="A639">
        <v>7007744171</v>
      </c>
      <c r="B639" s="4">
        <v>42405</v>
      </c>
      <c r="C639">
        <v>13041</v>
      </c>
      <c r="D639" s="1">
        <v>9.1800003051757795</v>
      </c>
      <c r="E639" s="1">
        <v>8.7200002670288104</v>
      </c>
      <c r="F639" s="1">
        <v>2.83232593536377</v>
      </c>
      <c r="G639" s="1">
        <v>4.6399998664856001</v>
      </c>
      <c r="H639" s="1">
        <v>0.69999998807907104</v>
      </c>
      <c r="I639" s="1">
        <v>3.8299999237060498</v>
      </c>
      <c r="J639" s="1">
        <v>0</v>
      </c>
      <c r="K639">
        <v>64</v>
      </c>
      <c r="L639">
        <v>14</v>
      </c>
      <c r="M639">
        <v>250</v>
      </c>
      <c r="N639">
        <v>1112</v>
      </c>
      <c r="O639">
        <v>2642</v>
      </c>
      <c r="P639" t="str">
        <f t="shared" si="36"/>
        <v>Friday</v>
      </c>
      <c r="Q639">
        <f t="shared" si="37"/>
        <v>1440</v>
      </c>
      <c r="R639" t="str">
        <f t="shared" si="38"/>
        <v>Weekday</v>
      </c>
      <c r="S639" t="str">
        <f t="shared" si="39"/>
        <v>Very_Active</v>
      </c>
    </row>
    <row r="640" spans="1:19" x14ac:dyDescent="0.25">
      <c r="A640">
        <v>5577150313</v>
      </c>
      <c r="B640" s="4">
        <v>42526</v>
      </c>
      <c r="C640">
        <v>4950</v>
      </c>
      <c r="D640" s="1">
        <v>3.7000000476837198</v>
      </c>
      <c r="E640" s="1">
        <v>3.7000000476837198</v>
      </c>
      <c r="F640" s="1">
        <v>0</v>
      </c>
      <c r="G640" s="1">
        <v>1.9299999475479099</v>
      </c>
      <c r="H640" s="1">
        <v>0.31999999284744302</v>
      </c>
      <c r="I640" s="1">
        <v>1.45000004768372</v>
      </c>
      <c r="J640" s="1">
        <v>0</v>
      </c>
      <c r="K640">
        <v>41</v>
      </c>
      <c r="L640">
        <v>16</v>
      </c>
      <c r="M640">
        <v>79</v>
      </c>
      <c r="N640">
        <v>1304</v>
      </c>
      <c r="O640">
        <v>2643</v>
      </c>
      <c r="P640" t="str">
        <f t="shared" si="36"/>
        <v>Sunday</v>
      </c>
      <c r="Q640">
        <f t="shared" si="37"/>
        <v>1440</v>
      </c>
      <c r="R640" t="str">
        <f t="shared" si="38"/>
        <v>Weekend</v>
      </c>
      <c r="S640" t="str">
        <f t="shared" si="39"/>
        <v>Sedentary</v>
      </c>
    </row>
    <row r="641" spans="1:19" x14ac:dyDescent="0.25">
      <c r="A641">
        <v>4020332650</v>
      </c>
      <c r="B641" s="4">
        <v>42679</v>
      </c>
      <c r="C641">
        <v>3689</v>
      </c>
      <c r="D641" s="1">
        <v>2.6500000953674299</v>
      </c>
      <c r="E641" s="1">
        <v>2.6500000953674299</v>
      </c>
      <c r="F641" s="1">
        <v>0</v>
      </c>
      <c r="G641" s="1">
        <v>0.109999999403954</v>
      </c>
      <c r="H641" s="1">
        <v>0.17000000178813901</v>
      </c>
      <c r="I641" s="1">
        <v>2.3299999237060498</v>
      </c>
      <c r="J641" s="1">
        <v>0</v>
      </c>
      <c r="K641">
        <v>2</v>
      </c>
      <c r="L641">
        <v>8</v>
      </c>
      <c r="M641">
        <v>134</v>
      </c>
      <c r="N641">
        <v>1296</v>
      </c>
      <c r="O641">
        <v>2645</v>
      </c>
      <c r="P641" t="str">
        <f t="shared" si="36"/>
        <v>Saturday</v>
      </c>
      <c r="Q641">
        <f t="shared" si="37"/>
        <v>1440</v>
      </c>
      <c r="R641" t="str">
        <f t="shared" si="38"/>
        <v>Weekend</v>
      </c>
      <c r="S641" t="str">
        <f t="shared" si="39"/>
        <v>Sedentary</v>
      </c>
    </row>
    <row r="642" spans="1:19" x14ac:dyDescent="0.25">
      <c r="A642">
        <v>8583815059</v>
      </c>
      <c r="B642" s="4">
        <v>42480</v>
      </c>
      <c r="C642">
        <v>5273</v>
      </c>
      <c r="D642" s="1">
        <v>4.1100001335143999</v>
      </c>
      <c r="E642" s="1">
        <v>4.1100001335143999</v>
      </c>
      <c r="F642" s="1">
        <v>0</v>
      </c>
      <c r="G642" s="1">
        <v>0</v>
      </c>
      <c r="H642" s="1">
        <v>1.03999996185303</v>
      </c>
      <c r="I642" s="1">
        <v>3.0699999332428001</v>
      </c>
      <c r="J642" s="1">
        <v>0</v>
      </c>
      <c r="K642">
        <v>0</v>
      </c>
      <c r="L642">
        <v>27</v>
      </c>
      <c r="M642">
        <v>167</v>
      </c>
      <c r="N642">
        <v>1246</v>
      </c>
      <c r="O642">
        <v>2647</v>
      </c>
      <c r="P642" t="str">
        <f t="shared" ref="P642:P705" si="40">TEXT(B642,"dddd")</f>
        <v>Wednesday</v>
      </c>
      <c r="Q642">
        <f t="shared" ref="Q642:Q705" si="41">SUM(K642:N642)</f>
        <v>1440</v>
      </c>
      <c r="R642" t="str">
        <f t="shared" ref="R642:R705" si="42">IF(WEEKDAY(B642,2)&lt;=5,"Weekday","Weekend")</f>
        <v>Weekday</v>
      </c>
      <c r="S642" t="str">
        <f t="shared" ref="S642:S705" si="43">IF(C642&lt;5000,"Sedentary",IF(C642&lt;7500,"Lightly Active",IF(C642&lt;10000,"Fairly Active","Very_Active")))</f>
        <v>Lightly Active</v>
      </c>
    </row>
    <row r="643" spans="1:19" x14ac:dyDescent="0.25">
      <c r="A643">
        <v>2022484408</v>
      </c>
      <c r="B643" s="4">
        <v>42465</v>
      </c>
      <c r="C643">
        <v>11768</v>
      </c>
      <c r="D643" s="1">
        <v>8.2899999618530291</v>
      </c>
      <c r="E643" s="1">
        <v>8.2899999618530291</v>
      </c>
      <c r="F643" s="1">
        <v>0</v>
      </c>
      <c r="G643" s="1">
        <v>2.5099999904632599</v>
      </c>
      <c r="H643" s="1">
        <v>0.93000000715255704</v>
      </c>
      <c r="I643" s="1">
        <v>4.8499999046325701</v>
      </c>
      <c r="J643" s="1">
        <v>0</v>
      </c>
      <c r="K643">
        <v>36</v>
      </c>
      <c r="L643">
        <v>27</v>
      </c>
      <c r="M643">
        <v>272</v>
      </c>
      <c r="N643">
        <v>1105</v>
      </c>
      <c r="O643">
        <v>2649</v>
      </c>
      <c r="P643" t="str">
        <f t="shared" si="40"/>
        <v>Tuesday</v>
      </c>
      <c r="Q643">
        <f t="shared" si="41"/>
        <v>1440</v>
      </c>
      <c r="R643" t="str">
        <f t="shared" si="42"/>
        <v>Weekday</v>
      </c>
      <c r="S643" t="str">
        <f t="shared" si="43"/>
        <v>Very_Active</v>
      </c>
    </row>
    <row r="644" spans="1:19" x14ac:dyDescent="0.25">
      <c r="A644">
        <v>8583815059</v>
      </c>
      <c r="B644" s="4">
        <v>42708</v>
      </c>
      <c r="C644">
        <v>5014</v>
      </c>
      <c r="D644" s="1">
        <v>3.9100000858306898</v>
      </c>
      <c r="E644" s="1">
        <v>3.9100000858306898</v>
      </c>
      <c r="F644" s="1">
        <v>0</v>
      </c>
      <c r="G644" s="1">
        <v>0</v>
      </c>
      <c r="H644" s="1">
        <v>0.33000001311302202</v>
      </c>
      <c r="I644" s="1">
        <v>3.5799999237060498</v>
      </c>
      <c r="J644" s="1">
        <v>0</v>
      </c>
      <c r="K644">
        <v>0</v>
      </c>
      <c r="L644">
        <v>7</v>
      </c>
      <c r="M644">
        <v>196</v>
      </c>
      <c r="N644">
        <v>1237</v>
      </c>
      <c r="O644">
        <v>2650</v>
      </c>
      <c r="P644" t="str">
        <f t="shared" si="40"/>
        <v>Sunday</v>
      </c>
      <c r="Q644">
        <f t="shared" si="41"/>
        <v>1440</v>
      </c>
      <c r="R644" t="str">
        <f t="shared" si="42"/>
        <v>Weekend</v>
      </c>
      <c r="S644" t="str">
        <f t="shared" si="43"/>
        <v>Lightly Active</v>
      </c>
    </row>
    <row r="645" spans="1:19" x14ac:dyDescent="0.25">
      <c r="A645">
        <v>6117666160</v>
      </c>
      <c r="B645" s="4">
        <v>42483</v>
      </c>
      <c r="C645">
        <v>11495</v>
      </c>
      <c r="D645" s="1">
        <v>8.6800003051757795</v>
      </c>
      <c r="E645" s="1">
        <v>8.6800003051757795</v>
      </c>
      <c r="F645" s="1">
        <v>0</v>
      </c>
      <c r="G645" s="1">
        <v>0</v>
      </c>
      <c r="H645" s="1">
        <v>0</v>
      </c>
      <c r="I645" s="1">
        <v>8.6800003051757795</v>
      </c>
      <c r="J645" s="1">
        <v>0</v>
      </c>
      <c r="K645">
        <v>0</v>
      </c>
      <c r="L645">
        <v>0</v>
      </c>
      <c r="M645">
        <v>512</v>
      </c>
      <c r="N645">
        <v>468</v>
      </c>
      <c r="O645">
        <v>2651</v>
      </c>
      <c r="P645" t="str">
        <f t="shared" si="40"/>
        <v>Saturday</v>
      </c>
      <c r="Q645">
        <f t="shared" si="41"/>
        <v>980</v>
      </c>
      <c r="R645" t="str">
        <f t="shared" si="42"/>
        <v>Weekend</v>
      </c>
      <c r="S645" t="str">
        <f t="shared" si="43"/>
        <v>Very_Active</v>
      </c>
    </row>
    <row r="646" spans="1:19" x14ac:dyDescent="0.25">
      <c r="A646">
        <v>8583815059</v>
      </c>
      <c r="B646" s="4">
        <v>42473</v>
      </c>
      <c r="C646">
        <v>5571</v>
      </c>
      <c r="D646" s="1">
        <v>4.3499999046325701</v>
      </c>
      <c r="E646" s="1">
        <v>4.3499999046325701</v>
      </c>
      <c r="F646" s="1">
        <v>0</v>
      </c>
      <c r="G646" s="1">
        <v>0.15000000596046401</v>
      </c>
      <c r="H646" s="1">
        <v>0.97000002861022905</v>
      </c>
      <c r="I646" s="1">
        <v>3.2300000190734899</v>
      </c>
      <c r="J646" s="1">
        <v>0</v>
      </c>
      <c r="K646">
        <v>2</v>
      </c>
      <c r="L646">
        <v>23</v>
      </c>
      <c r="M646">
        <v>163</v>
      </c>
      <c r="N646">
        <v>1252</v>
      </c>
      <c r="O646">
        <v>2654</v>
      </c>
      <c r="P646" t="str">
        <f t="shared" si="40"/>
        <v>Wednesday</v>
      </c>
      <c r="Q646">
        <f t="shared" si="41"/>
        <v>1440</v>
      </c>
      <c r="R646" t="str">
        <f t="shared" si="42"/>
        <v>Weekday</v>
      </c>
      <c r="S646" t="str">
        <f t="shared" si="43"/>
        <v>Lightly Active</v>
      </c>
    </row>
    <row r="647" spans="1:19" x14ac:dyDescent="0.25">
      <c r="A647">
        <v>8053475328</v>
      </c>
      <c r="B647" s="4">
        <v>42482</v>
      </c>
      <c r="C647">
        <v>10520</v>
      </c>
      <c r="D647" s="1">
        <v>8.2899999618530291</v>
      </c>
      <c r="E647" s="1">
        <v>8.2899999618530291</v>
      </c>
      <c r="F647" s="1">
        <v>0</v>
      </c>
      <c r="G647" s="1">
        <v>6.2600002288818404</v>
      </c>
      <c r="H647" s="1">
        <v>0.15000000596046401</v>
      </c>
      <c r="I647" s="1">
        <v>1.87999999523163</v>
      </c>
      <c r="J647" s="1">
        <v>0</v>
      </c>
      <c r="K647">
        <v>60</v>
      </c>
      <c r="L647">
        <v>3</v>
      </c>
      <c r="M647">
        <v>117</v>
      </c>
      <c r="N647">
        <v>1260</v>
      </c>
      <c r="O647">
        <v>2655</v>
      </c>
      <c r="P647" t="str">
        <f t="shared" si="40"/>
        <v>Friday</v>
      </c>
      <c r="Q647">
        <f t="shared" si="41"/>
        <v>1440</v>
      </c>
      <c r="R647" t="str">
        <f t="shared" si="42"/>
        <v>Weekday</v>
      </c>
      <c r="S647" t="str">
        <f t="shared" si="43"/>
        <v>Very_Active</v>
      </c>
    </row>
    <row r="648" spans="1:19" x14ac:dyDescent="0.25">
      <c r="A648">
        <v>7086361926</v>
      </c>
      <c r="B648" s="4">
        <v>42465</v>
      </c>
      <c r="C648">
        <v>10988</v>
      </c>
      <c r="D648" s="1">
        <v>8.3100004196166992</v>
      </c>
      <c r="E648" s="1">
        <v>8.3100004196166992</v>
      </c>
      <c r="F648" s="1">
        <v>0</v>
      </c>
      <c r="G648" s="1">
        <v>5.2800002098083496</v>
      </c>
      <c r="H648" s="1">
        <v>0.119999997317791</v>
      </c>
      <c r="I648" s="1">
        <v>2.9000000953674299</v>
      </c>
      <c r="J648" s="1">
        <v>0</v>
      </c>
      <c r="K648">
        <v>45</v>
      </c>
      <c r="L648">
        <v>12</v>
      </c>
      <c r="M648">
        <v>135</v>
      </c>
      <c r="N648">
        <v>843</v>
      </c>
      <c r="O648">
        <v>2655</v>
      </c>
      <c r="P648" t="str">
        <f t="shared" si="40"/>
        <v>Tuesday</v>
      </c>
      <c r="Q648">
        <f t="shared" si="41"/>
        <v>1035</v>
      </c>
      <c r="R648" t="str">
        <f t="shared" si="42"/>
        <v>Weekday</v>
      </c>
      <c r="S648" t="str">
        <f t="shared" si="43"/>
        <v>Very_Active</v>
      </c>
    </row>
    <row r="649" spans="1:19" x14ac:dyDescent="0.25">
      <c r="A649">
        <v>8378563200</v>
      </c>
      <c r="B649" s="4">
        <v>42490</v>
      </c>
      <c r="C649">
        <v>2946</v>
      </c>
      <c r="D649" s="1">
        <v>2.3399999141693102</v>
      </c>
      <c r="E649" s="1">
        <v>2.3399999141693102</v>
      </c>
      <c r="F649" s="1">
        <v>0</v>
      </c>
      <c r="G649" s="1">
        <v>0</v>
      </c>
      <c r="H649" s="1">
        <v>0</v>
      </c>
      <c r="I649" s="1">
        <v>2.3399999141693102</v>
      </c>
      <c r="J649" s="1">
        <v>0</v>
      </c>
      <c r="K649">
        <v>0</v>
      </c>
      <c r="L649">
        <v>0</v>
      </c>
      <c r="M649">
        <v>121</v>
      </c>
      <c r="N649">
        <v>780</v>
      </c>
      <c r="O649">
        <v>2660</v>
      </c>
      <c r="P649" t="str">
        <f t="shared" si="40"/>
        <v>Saturday</v>
      </c>
      <c r="Q649">
        <f t="shared" si="41"/>
        <v>901</v>
      </c>
      <c r="R649" t="str">
        <f t="shared" si="42"/>
        <v>Weekend</v>
      </c>
      <c r="S649" t="str">
        <f t="shared" si="43"/>
        <v>Sedentary</v>
      </c>
    </row>
    <row r="650" spans="1:19" x14ac:dyDescent="0.25">
      <c r="A650">
        <v>6290855005</v>
      </c>
      <c r="B650" s="4">
        <v>42483</v>
      </c>
      <c r="C650">
        <v>0</v>
      </c>
      <c r="D650" s="1">
        <v>0</v>
      </c>
      <c r="E650" s="1">
        <v>0</v>
      </c>
      <c r="F650" s="1">
        <v>0</v>
      </c>
      <c r="G650" s="1">
        <v>0</v>
      </c>
      <c r="H650" s="1">
        <v>0</v>
      </c>
      <c r="I650" s="1">
        <v>0</v>
      </c>
      <c r="J650" s="1">
        <v>0</v>
      </c>
      <c r="K650">
        <v>33</v>
      </c>
      <c r="L650">
        <v>0</v>
      </c>
      <c r="M650">
        <v>0</v>
      </c>
      <c r="N650">
        <v>1407</v>
      </c>
      <c r="O650">
        <v>2664</v>
      </c>
      <c r="P650" t="str">
        <f t="shared" si="40"/>
        <v>Saturday</v>
      </c>
      <c r="Q650">
        <f t="shared" si="41"/>
        <v>1440</v>
      </c>
      <c r="R650" t="str">
        <f t="shared" si="42"/>
        <v>Weekend</v>
      </c>
      <c r="S650" t="str">
        <f t="shared" si="43"/>
        <v>Sedentary</v>
      </c>
    </row>
    <row r="651" spans="1:19" x14ac:dyDescent="0.25">
      <c r="A651">
        <v>4558609924</v>
      </c>
      <c r="B651" s="4">
        <v>42587</v>
      </c>
      <c r="C651">
        <v>6543</v>
      </c>
      <c r="D651" s="1">
        <v>4.3299999237060502</v>
      </c>
      <c r="E651" s="1">
        <v>4.3299999237060502</v>
      </c>
      <c r="F651" s="1">
        <v>0</v>
      </c>
      <c r="G651" s="1">
        <v>1.79999995231628</v>
      </c>
      <c r="H651" s="1">
        <v>0.5</v>
      </c>
      <c r="I651" s="1">
        <v>2.0199999809265101</v>
      </c>
      <c r="J651" s="1">
        <v>0</v>
      </c>
      <c r="K651">
        <v>66</v>
      </c>
      <c r="L651">
        <v>35</v>
      </c>
      <c r="M651">
        <v>238</v>
      </c>
      <c r="N651">
        <v>1019</v>
      </c>
      <c r="O651">
        <v>2666</v>
      </c>
      <c r="P651" t="str">
        <f t="shared" si="40"/>
        <v>Friday</v>
      </c>
      <c r="Q651">
        <f t="shared" si="41"/>
        <v>1358</v>
      </c>
      <c r="R651" t="str">
        <f t="shared" si="42"/>
        <v>Weekday</v>
      </c>
      <c r="S651" t="str">
        <f t="shared" si="43"/>
        <v>Lightly Active</v>
      </c>
    </row>
    <row r="652" spans="1:19" x14ac:dyDescent="0.25">
      <c r="A652">
        <v>7007744171</v>
      </c>
      <c r="B652" s="4">
        <v>42484</v>
      </c>
      <c r="C652">
        <v>11085</v>
      </c>
      <c r="D652" s="1">
        <v>7.4200000762939498</v>
      </c>
      <c r="E652" s="1">
        <v>7.4200000762939498</v>
      </c>
      <c r="F652" s="1">
        <v>0</v>
      </c>
      <c r="G652" s="1">
        <v>0</v>
      </c>
      <c r="H652" s="1">
        <v>0</v>
      </c>
      <c r="I652" s="1">
        <v>7.4200000762939498</v>
      </c>
      <c r="J652" s="1">
        <v>0</v>
      </c>
      <c r="K652">
        <v>0</v>
      </c>
      <c r="L652">
        <v>0</v>
      </c>
      <c r="M652">
        <v>419</v>
      </c>
      <c r="N652">
        <v>1021</v>
      </c>
      <c r="O652">
        <v>2667</v>
      </c>
      <c r="P652" t="str">
        <f t="shared" si="40"/>
        <v>Sunday</v>
      </c>
      <c r="Q652">
        <f t="shared" si="41"/>
        <v>1440</v>
      </c>
      <c r="R652" t="str">
        <f t="shared" si="42"/>
        <v>Weekend</v>
      </c>
      <c r="S652" t="str">
        <f t="shared" si="43"/>
        <v>Very_Active</v>
      </c>
    </row>
    <row r="653" spans="1:19" x14ac:dyDescent="0.25">
      <c r="A653">
        <v>8583815059</v>
      </c>
      <c r="B653" s="4">
        <v>42479</v>
      </c>
      <c r="C653">
        <v>5697</v>
      </c>
      <c r="D653" s="1">
        <v>4.4400000572204599</v>
      </c>
      <c r="E653" s="1">
        <v>4.4400000572204599</v>
      </c>
      <c r="F653" s="1">
        <v>0</v>
      </c>
      <c r="G653" s="1">
        <v>0.52999997138977095</v>
      </c>
      <c r="H653" s="1">
        <v>0.479999989271164</v>
      </c>
      <c r="I653" s="1">
        <v>3.4400000572204599</v>
      </c>
      <c r="J653" s="1">
        <v>0</v>
      </c>
      <c r="K653">
        <v>7</v>
      </c>
      <c r="L653">
        <v>10</v>
      </c>
      <c r="M653">
        <v>166</v>
      </c>
      <c r="N653">
        <v>1257</v>
      </c>
      <c r="O653">
        <v>2668</v>
      </c>
      <c r="P653" t="str">
        <f t="shared" si="40"/>
        <v>Tuesday</v>
      </c>
      <c r="Q653">
        <f t="shared" si="41"/>
        <v>1440</v>
      </c>
      <c r="R653" t="str">
        <f t="shared" si="42"/>
        <v>Weekday</v>
      </c>
      <c r="S653" t="str">
        <f t="shared" si="43"/>
        <v>Lightly Active</v>
      </c>
    </row>
    <row r="654" spans="1:19" x14ac:dyDescent="0.25">
      <c r="A654">
        <v>7007744171</v>
      </c>
      <c r="B654" s="4">
        <v>42474</v>
      </c>
      <c r="C654">
        <v>11179</v>
      </c>
      <c r="D654" s="1">
        <v>8.2399997711181605</v>
      </c>
      <c r="E654" s="1">
        <v>7.4800000190734899</v>
      </c>
      <c r="F654" s="1">
        <v>3.2854149341583301</v>
      </c>
      <c r="G654" s="1">
        <v>2.9500000476837198</v>
      </c>
      <c r="H654" s="1">
        <v>0.34000000357627902</v>
      </c>
      <c r="I654" s="1">
        <v>4.96000003814697</v>
      </c>
      <c r="J654" s="1">
        <v>0</v>
      </c>
      <c r="K654">
        <v>34</v>
      </c>
      <c r="L654">
        <v>6</v>
      </c>
      <c r="M654">
        <v>304</v>
      </c>
      <c r="N654">
        <v>1096</v>
      </c>
      <c r="O654">
        <v>2668</v>
      </c>
      <c r="P654" t="str">
        <f t="shared" si="40"/>
        <v>Thursday</v>
      </c>
      <c r="Q654">
        <f t="shared" si="41"/>
        <v>1440</v>
      </c>
      <c r="R654" t="str">
        <f t="shared" si="42"/>
        <v>Weekday</v>
      </c>
      <c r="S654" t="str">
        <f t="shared" si="43"/>
        <v>Very_Active</v>
      </c>
    </row>
    <row r="655" spans="1:19" x14ac:dyDescent="0.25">
      <c r="A655">
        <v>2347167796</v>
      </c>
      <c r="B655" s="4">
        <v>42476</v>
      </c>
      <c r="C655">
        <v>22244</v>
      </c>
      <c r="D655" s="1">
        <v>15.079999923706101</v>
      </c>
      <c r="E655" s="1">
        <v>15.079999923706101</v>
      </c>
      <c r="F655" s="1">
        <v>0</v>
      </c>
      <c r="G655" s="1">
        <v>5.4499998092651403</v>
      </c>
      <c r="H655" s="1">
        <v>4.0999999046325701</v>
      </c>
      <c r="I655" s="1">
        <v>5.5300002098083496</v>
      </c>
      <c r="J655" s="1">
        <v>0</v>
      </c>
      <c r="K655">
        <v>66</v>
      </c>
      <c r="L655">
        <v>72</v>
      </c>
      <c r="M655">
        <v>268</v>
      </c>
      <c r="N655">
        <v>968</v>
      </c>
      <c r="O655">
        <v>2670</v>
      </c>
      <c r="P655" t="str">
        <f t="shared" si="40"/>
        <v>Saturday</v>
      </c>
      <c r="Q655">
        <f t="shared" si="41"/>
        <v>1374</v>
      </c>
      <c r="R655" t="str">
        <f t="shared" si="42"/>
        <v>Weekend</v>
      </c>
      <c r="S655" t="str">
        <f t="shared" si="43"/>
        <v>Very_Active</v>
      </c>
    </row>
    <row r="656" spans="1:19" x14ac:dyDescent="0.25">
      <c r="A656">
        <v>6290855005</v>
      </c>
      <c r="B656" s="4">
        <v>42434</v>
      </c>
      <c r="C656">
        <v>6047</v>
      </c>
      <c r="D656" s="1">
        <v>4.5700001716613796</v>
      </c>
      <c r="E656" s="1">
        <v>4.5700001716613796</v>
      </c>
      <c r="F656" s="1">
        <v>0</v>
      </c>
      <c r="G656" s="1">
        <v>0</v>
      </c>
      <c r="H656" s="1">
        <v>0</v>
      </c>
      <c r="I656" s="1">
        <v>4.5700001716613796</v>
      </c>
      <c r="J656" s="1">
        <v>0</v>
      </c>
      <c r="K656">
        <v>0</v>
      </c>
      <c r="L656">
        <v>0</v>
      </c>
      <c r="M656">
        <v>240</v>
      </c>
      <c r="N656">
        <v>1200</v>
      </c>
      <c r="O656">
        <v>2671</v>
      </c>
      <c r="P656" t="str">
        <f t="shared" si="40"/>
        <v>Saturday</v>
      </c>
      <c r="Q656">
        <f t="shared" si="41"/>
        <v>1440</v>
      </c>
      <c r="R656" t="str">
        <f t="shared" si="42"/>
        <v>Weekend</v>
      </c>
      <c r="S656" t="str">
        <f t="shared" si="43"/>
        <v>Lightly Active</v>
      </c>
    </row>
    <row r="657" spans="1:19" x14ac:dyDescent="0.25">
      <c r="A657">
        <v>1644430081</v>
      </c>
      <c r="B657" s="4">
        <v>42483</v>
      </c>
      <c r="C657">
        <v>6637</v>
      </c>
      <c r="D657" s="1">
        <v>4.8299999237060502</v>
      </c>
      <c r="E657" s="1">
        <v>4.8299999237060502</v>
      </c>
      <c r="F657" s="1">
        <v>0</v>
      </c>
      <c r="G657" s="1">
        <v>0</v>
      </c>
      <c r="H657" s="1">
        <v>0.57999998331069902</v>
      </c>
      <c r="I657" s="1">
        <v>4.25</v>
      </c>
      <c r="J657" s="1">
        <v>0</v>
      </c>
      <c r="K657">
        <v>0</v>
      </c>
      <c r="L657">
        <v>15</v>
      </c>
      <c r="M657">
        <v>160</v>
      </c>
      <c r="N657">
        <v>1265</v>
      </c>
      <c r="O657">
        <v>2677</v>
      </c>
      <c r="P657" t="str">
        <f t="shared" si="40"/>
        <v>Saturday</v>
      </c>
      <c r="Q657">
        <f t="shared" si="41"/>
        <v>1440</v>
      </c>
      <c r="R657" t="str">
        <f t="shared" si="42"/>
        <v>Weekend</v>
      </c>
      <c r="S657" t="str">
        <f t="shared" si="43"/>
        <v>Lightly Active</v>
      </c>
    </row>
    <row r="658" spans="1:19" x14ac:dyDescent="0.25">
      <c r="A658">
        <v>6290855005</v>
      </c>
      <c r="B658" s="4">
        <v>42495</v>
      </c>
      <c r="C658">
        <v>6339</v>
      </c>
      <c r="D658" s="1">
        <v>4.78999996185303</v>
      </c>
      <c r="E658" s="1">
        <v>4.78999996185303</v>
      </c>
      <c r="F658" s="1">
        <v>0</v>
      </c>
      <c r="G658" s="1">
        <v>0</v>
      </c>
      <c r="H658" s="1">
        <v>0</v>
      </c>
      <c r="I658" s="1">
        <v>4.78999996185303</v>
      </c>
      <c r="J658" s="1">
        <v>0</v>
      </c>
      <c r="K658">
        <v>0</v>
      </c>
      <c r="L658">
        <v>0</v>
      </c>
      <c r="M658">
        <v>239</v>
      </c>
      <c r="N658">
        <v>1201</v>
      </c>
      <c r="O658">
        <v>2682</v>
      </c>
      <c r="P658" t="str">
        <f t="shared" si="40"/>
        <v>Thursday</v>
      </c>
      <c r="Q658">
        <f t="shared" si="41"/>
        <v>1440</v>
      </c>
      <c r="R658" t="str">
        <f t="shared" si="42"/>
        <v>Weekday</v>
      </c>
      <c r="S658" t="str">
        <f t="shared" si="43"/>
        <v>Lightly Active</v>
      </c>
    </row>
    <row r="659" spans="1:19" x14ac:dyDescent="0.25">
      <c r="A659">
        <v>8583815059</v>
      </c>
      <c r="B659" s="4">
        <v>42526</v>
      </c>
      <c r="C659">
        <v>5843</v>
      </c>
      <c r="D659" s="1">
        <v>4.5599999427795401</v>
      </c>
      <c r="E659" s="1">
        <v>4.5599999427795401</v>
      </c>
      <c r="F659" s="1">
        <v>0</v>
      </c>
      <c r="G659" s="1">
        <v>0.140000000596046</v>
      </c>
      <c r="H659" s="1">
        <v>1.1900000572204601</v>
      </c>
      <c r="I659" s="1">
        <v>3.2300000190734899</v>
      </c>
      <c r="J659" s="1">
        <v>0</v>
      </c>
      <c r="K659">
        <v>2</v>
      </c>
      <c r="L659">
        <v>22</v>
      </c>
      <c r="M659">
        <v>166</v>
      </c>
      <c r="N659">
        <v>1250</v>
      </c>
      <c r="O659">
        <v>2683</v>
      </c>
      <c r="P659" t="str">
        <f t="shared" si="40"/>
        <v>Sunday</v>
      </c>
      <c r="Q659">
        <f t="shared" si="41"/>
        <v>1440</v>
      </c>
      <c r="R659" t="str">
        <f t="shared" si="42"/>
        <v>Weekend</v>
      </c>
      <c r="S659" t="str">
        <f t="shared" si="43"/>
        <v>Lightly Active</v>
      </c>
    </row>
    <row r="660" spans="1:19" x14ac:dyDescent="0.25">
      <c r="A660">
        <v>8378563200</v>
      </c>
      <c r="B660" s="4">
        <v>42587</v>
      </c>
      <c r="C660">
        <v>2943</v>
      </c>
      <c r="D660" s="1">
        <v>2.3299999237060498</v>
      </c>
      <c r="E660" s="1">
        <v>2.3299999237060498</v>
      </c>
      <c r="F660" s="1">
        <v>0</v>
      </c>
      <c r="G660" s="1">
        <v>0</v>
      </c>
      <c r="H660" s="1">
        <v>0</v>
      </c>
      <c r="I660" s="1">
        <v>2.3299999237060498</v>
      </c>
      <c r="J660" s="1">
        <v>0</v>
      </c>
      <c r="K660">
        <v>0</v>
      </c>
      <c r="L660">
        <v>0</v>
      </c>
      <c r="M660">
        <v>139</v>
      </c>
      <c r="N660">
        <v>621</v>
      </c>
      <c r="O660">
        <v>2685</v>
      </c>
      <c r="P660" t="str">
        <f t="shared" si="40"/>
        <v>Friday</v>
      </c>
      <c r="Q660">
        <f t="shared" si="41"/>
        <v>760</v>
      </c>
      <c r="R660" t="str">
        <f t="shared" si="42"/>
        <v>Weekday</v>
      </c>
      <c r="S660" t="str">
        <f t="shared" si="43"/>
        <v>Sedentary</v>
      </c>
    </row>
    <row r="661" spans="1:19" x14ac:dyDescent="0.25">
      <c r="A661">
        <v>6290855005</v>
      </c>
      <c r="B661" s="4">
        <v>42488</v>
      </c>
      <c r="C661">
        <v>5731</v>
      </c>
      <c r="D661" s="1">
        <v>4.3299999237060502</v>
      </c>
      <c r="E661" s="1">
        <v>4.3299999237060502</v>
      </c>
      <c r="F661" s="1">
        <v>0</v>
      </c>
      <c r="G661" s="1">
        <v>0</v>
      </c>
      <c r="H661" s="1">
        <v>0</v>
      </c>
      <c r="I661" s="1">
        <v>4.3299999237060502</v>
      </c>
      <c r="J661" s="1">
        <v>0</v>
      </c>
      <c r="K661">
        <v>0</v>
      </c>
      <c r="L661">
        <v>0</v>
      </c>
      <c r="M661">
        <v>255</v>
      </c>
      <c r="N661">
        <v>1185</v>
      </c>
      <c r="O661">
        <v>2687</v>
      </c>
      <c r="P661" t="str">
        <f t="shared" si="40"/>
        <v>Thursday</v>
      </c>
      <c r="Q661">
        <f t="shared" si="41"/>
        <v>1440</v>
      </c>
      <c r="R661" t="str">
        <f t="shared" si="42"/>
        <v>Weekday</v>
      </c>
      <c r="S661" t="str">
        <f t="shared" si="43"/>
        <v>Lightly Active</v>
      </c>
    </row>
    <row r="662" spans="1:19" x14ac:dyDescent="0.25">
      <c r="A662">
        <v>1624580081</v>
      </c>
      <c r="B662" s="4">
        <v>42374</v>
      </c>
      <c r="C662">
        <v>36019</v>
      </c>
      <c r="D662" s="1">
        <v>28.030000686645501</v>
      </c>
      <c r="E662" s="1">
        <v>28.030000686645501</v>
      </c>
      <c r="F662" s="1">
        <v>0</v>
      </c>
      <c r="G662" s="1">
        <v>21.920000076293899</v>
      </c>
      <c r="H662" s="1">
        <v>4.1900000572204599</v>
      </c>
      <c r="I662" s="1">
        <v>1.9099999666214</v>
      </c>
      <c r="J662" s="1">
        <v>1.9999999552965199E-2</v>
      </c>
      <c r="K662">
        <v>186</v>
      </c>
      <c r="L662">
        <v>63</v>
      </c>
      <c r="M662">
        <v>171</v>
      </c>
      <c r="N662">
        <v>1020</v>
      </c>
      <c r="O662">
        <v>2690</v>
      </c>
      <c r="P662" t="str">
        <f t="shared" si="40"/>
        <v>Tuesday</v>
      </c>
      <c r="Q662">
        <f t="shared" si="41"/>
        <v>1440</v>
      </c>
      <c r="R662" t="str">
        <f t="shared" si="42"/>
        <v>Weekday</v>
      </c>
      <c r="S662" t="str">
        <f t="shared" si="43"/>
        <v>Very_Active</v>
      </c>
    </row>
    <row r="663" spans="1:19" x14ac:dyDescent="0.25">
      <c r="A663">
        <v>8583815059</v>
      </c>
      <c r="B663" s="4">
        <v>42476</v>
      </c>
      <c r="C663">
        <v>5319</v>
      </c>
      <c r="D663" s="1">
        <v>4.1500000953674299</v>
      </c>
      <c r="E663" s="1">
        <v>4.1500000953674299</v>
      </c>
      <c r="F663" s="1">
        <v>0</v>
      </c>
      <c r="G663" s="1">
        <v>0</v>
      </c>
      <c r="H663" s="1">
        <v>0</v>
      </c>
      <c r="I663" s="1">
        <v>0</v>
      </c>
      <c r="J663" s="1">
        <v>0</v>
      </c>
      <c r="K663">
        <v>0</v>
      </c>
      <c r="L663">
        <v>0</v>
      </c>
      <c r="M663">
        <v>0</v>
      </c>
      <c r="N663">
        <v>1440</v>
      </c>
      <c r="O663">
        <v>2693</v>
      </c>
      <c r="P663" t="str">
        <f t="shared" si="40"/>
        <v>Saturday</v>
      </c>
      <c r="Q663">
        <f t="shared" si="41"/>
        <v>1440</v>
      </c>
      <c r="R663" t="str">
        <f t="shared" si="42"/>
        <v>Weekend</v>
      </c>
      <c r="S663" t="str">
        <f t="shared" si="43"/>
        <v>Lightly Active</v>
      </c>
    </row>
    <row r="664" spans="1:19" x14ac:dyDescent="0.25">
      <c r="A664">
        <v>7086361926</v>
      </c>
      <c r="B664" s="4">
        <v>42487</v>
      </c>
      <c r="C664">
        <v>11107</v>
      </c>
      <c r="D664" s="1">
        <v>8.3400001525878906</v>
      </c>
      <c r="E664" s="1">
        <v>8.3400001525878906</v>
      </c>
      <c r="F664" s="1">
        <v>0</v>
      </c>
      <c r="G664" s="1">
        <v>5.6300001144409197</v>
      </c>
      <c r="H664" s="1">
        <v>0.18000000715255701</v>
      </c>
      <c r="I664" s="1">
        <v>2.5299999713897701</v>
      </c>
      <c r="J664" s="1">
        <v>0</v>
      </c>
      <c r="K664">
        <v>55</v>
      </c>
      <c r="L664">
        <v>6</v>
      </c>
      <c r="M664">
        <v>145</v>
      </c>
      <c r="N664">
        <v>829</v>
      </c>
      <c r="O664">
        <v>2693</v>
      </c>
      <c r="P664" t="str">
        <f t="shared" si="40"/>
        <v>Wednesday</v>
      </c>
      <c r="Q664">
        <f t="shared" si="41"/>
        <v>1035</v>
      </c>
      <c r="R664" t="str">
        <f t="shared" si="42"/>
        <v>Weekday</v>
      </c>
      <c r="S664" t="str">
        <f t="shared" si="43"/>
        <v>Very_Active</v>
      </c>
    </row>
    <row r="665" spans="1:19" x14ac:dyDescent="0.25">
      <c r="A665">
        <v>1644430081</v>
      </c>
      <c r="B665" s="4">
        <v>42374</v>
      </c>
      <c r="C665">
        <v>6132</v>
      </c>
      <c r="D665" s="1">
        <v>4.46000003814697</v>
      </c>
      <c r="E665" s="1">
        <v>4.46000003814697</v>
      </c>
      <c r="F665" s="1">
        <v>0</v>
      </c>
      <c r="G665" s="1">
        <v>0.239999994635582</v>
      </c>
      <c r="H665" s="1">
        <v>0.99000000953674305</v>
      </c>
      <c r="I665" s="1">
        <v>3.2300000190734899</v>
      </c>
      <c r="J665" s="1">
        <v>0</v>
      </c>
      <c r="K665">
        <v>3</v>
      </c>
      <c r="L665">
        <v>24</v>
      </c>
      <c r="M665">
        <v>146</v>
      </c>
      <c r="N665">
        <v>908</v>
      </c>
      <c r="O665">
        <v>2696</v>
      </c>
      <c r="P665" t="str">
        <f t="shared" si="40"/>
        <v>Tuesday</v>
      </c>
      <c r="Q665">
        <f t="shared" si="41"/>
        <v>1081</v>
      </c>
      <c r="R665" t="str">
        <f t="shared" si="42"/>
        <v>Weekday</v>
      </c>
      <c r="S665" t="str">
        <f t="shared" si="43"/>
        <v>Lightly Active</v>
      </c>
    </row>
    <row r="666" spans="1:19" x14ac:dyDescent="0.25">
      <c r="A666">
        <v>8877689391</v>
      </c>
      <c r="B666" s="4">
        <v>42489</v>
      </c>
      <c r="C666">
        <v>9733</v>
      </c>
      <c r="D666" s="1">
        <v>7.3899998664856001</v>
      </c>
      <c r="E666" s="1">
        <v>7.3899998664856001</v>
      </c>
      <c r="F666" s="1">
        <v>0</v>
      </c>
      <c r="G666" s="1">
        <v>1.37999999523163</v>
      </c>
      <c r="H666" s="1">
        <v>0.17000000178813901</v>
      </c>
      <c r="I666" s="1">
        <v>5.78999996185303</v>
      </c>
      <c r="J666" s="1">
        <v>0</v>
      </c>
      <c r="K666">
        <v>18</v>
      </c>
      <c r="L666">
        <v>5</v>
      </c>
      <c r="M666">
        <v>210</v>
      </c>
      <c r="N666">
        <v>1207</v>
      </c>
      <c r="O666">
        <v>2698</v>
      </c>
      <c r="P666" t="str">
        <f t="shared" si="40"/>
        <v>Friday</v>
      </c>
      <c r="Q666">
        <f t="shared" si="41"/>
        <v>1440</v>
      </c>
      <c r="R666" t="str">
        <f t="shared" si="42"/>
        <v>Weekday</v>
      </c>
      <c r="S666" t="str">
        <f t="shared" si="43"/>
        <v>Fairly Active</v>
      </c>
    </row>
    <row r="667" spans="1:19" x14ac:dyDescent="0.25">
      <c r="A667">
        <v>6290855005</v>
      </c>
      <c r="B667" s="4">
        <v>42480</v>
      </c>
      <c r="C667">
        <v>6361</v>
      </c>
      <c r="D667" s="1">
        <v>4.8099999427795401</v>
      </c>
      <c r="E667" s="1">
        <v>4.8099999427795401</v>
      </c>
      <c r="F667" s="1">
        <v>0</v>
      </c>
      <c r="G667" s="1">
        <v>0</v>
      </c>
      <c r="H667" s="1">
        <v>0</v>
      </c>
      <c r="I667" s="1">
        <v>4.8000001907348597</v>
      </c>
      <c r="J667" s="1">
        <v>9.9999997764825804E-3</v>
      </c>
      <c r="K667">
        <v>0</v>
      </c>
      <c r="L667">
        <v>0</v>
      </c>
      <c r="M667">
        <v>258</v>
      </c>
      <c r="N667">
        <v>1182</v>
      </c>
      <c r="O667">
        <v>2701</v>
      </c>
      <c r="P667" t="str">
        <f t="shared" si="40"/>
        <v>Wednesday</v>
      </c>
      <c r="Q667">
        <f t="shared" si="41"/>
        <v>1440</v>
      </c>
      <c r="R667" t="str">
        <f t="shared" si="42"/>
        <v>Weekday</v>
      </c>
      <c r="S667" t="str">
        <f t="shared" si="43"/>
        <v>Lightly Active</v>
      </c>
    </row>
    <row r="668" spans="1:19" x14ac:dyDescent="0.25">
      <c r="A668">
        <v>6290855005</v>
      </c>
      <c r="B668" s="4">
        <v>42484</v>
      </c>
      <c r="C668">
        <v>5896</v>
      </c>
      <c r="D668" s="1">
        <v>4.46000003814697</v>
      </c>
      <c r="E668" s="1">
        <v>4.46000003814697</v>
      </c>
      <c r="F668" s="1">
        <v>0</v>
      </c>
      <c r="G668" s="1">
        <v>0</v>
      </c>
      <c r="H668" s="1">
        <v>0</v>
      </c>
      <c r="I668" s="1">
        <v>4.46000003814697</v>
      </c>
      <c r="J668" s="1">
        <v>0</v>
      </c>
      <c r="K668">
        <v>0</v>
      </c>
      <c r="L668">
        <v>0</v>
      </c>
      <c r="M668">
        <v>258</v>
      </c>
      <c r="N668">
        <v>1182</v>
      </c>
      <c r="O668">
        <v>2703</v>
      </c>
      <c r="P668" t="str">
        <f t="shared" si="40"/>
        <v>Sunday</v>
      </c>
      <c r="Q668">
        <f t="shared" si="41"/>
        <v>1440</v>
      </c>
      <c r="R668" t="str">
        <f t="shared" si="42"/>
        <v>Weekend</v>
      </c>
      <c r="S668" t="str">
        <f t="shared" si="43"/>
        <v>Lightly Active</v>
      </c>
    </row>
    <row r="669" spans="1:19" x14ac:dyDescent="0.25">
      <c r="A669">
        <v>4020332650</v>
      </c>
      <c r="B669" s="4">
        <v>42526</v>
      </c>
      <c r="C669">
        <v>4369</v>
      </c>
      <c r="D669" s="1">
        <v>3.1300001144409202</v>
      </c>
      <c r="E669" s="1">
        <v>3.1300001144409202</v>
      </c>
      <c r="F669" s="1">
        <v>0</v>
      </c>
      <c r="G669" s="1">
        <v>0</v>
      </c>
      <c r="H669" s="1">
        <v>0</v>
      </c>
      <c r="I669" s="1">
        <v>3.0999999046325701</v>
      </c>
      <c r="J669" s="1">
        <v>9.9999997764825804E-3</v>
      </c>
      <c r="K669">
        <v>0</v>
      </c>
      <c r="L669">
        <v>0</v>
      </c>
      <c r="M669">
        <v>177</v>
      </c>
      <c r="N669">
        <v>855</v>
      </c>
      <c r="O669">
        <v>2704</v>
      </c>
      <c r="P669" t="str">
        <f t="shared" si="40"/>
        <v>Sunday</v>
      </c>
      <c r="Q669">
        <f t="shared" si="41"/>
        <v>1032</v>
      </c>
      <c r="R669" t="str">
        <f t="shared" si="42"/>
        <v>Weekend</v>
      </c>
      <c r="S669" t="str">
        <f t="shared" si="43"/>
        <v>Sedentary</v>
      </c>
    </row>
    <row r="670" spans="1:19" x14ac:dyDescent="0.25">
      <c r="A670">
        <v>2022484408</v>
      </c>
      <c r="B670" s="4">
        <v>42618</v>
      </c>
      <c r="C670">
        <v>13379</v>
      </c>
      <c r="D670" s="1">
        <v>9.3900003433227504</v>
      </c>
      <c r="E670" s="1">
        <v>9.3900003433227504</v>
      </c>
      <c r="F670" s="1">
        <v>0</v>
      </c>
      <c r="G670" s="1">
        <v>2.1199998855590798</v>
      </c>
      <c r="H670" s="1">
        <v>1.62999999523163</v>
      </c>
      <c r="I670" s="1">
        <v>5.6399998664856001</v>
      </c>
      <c r="J670" s="1">
        <v>0</v>
      </c>
      <c r="K670">
        <v>35</v>
      </c>
      <c r="L670">
        <v>47</v>
      </c>
      <c r="M670">
        <v>297</v>
      </c>
      <c r="N670">
        <v>1061</v>
      </c>
      <c r="O670">
        <v>2709</v>
      </c>
      <c r="P670" t="str">
        <f t="shared" si="40"/>
        <v>Monday</v>
      </c>
      <c r="Q670">
        <f t="shared" si="41"/>
        <v>1440</v>
      </c>
      <c r="R670" t="str">
        <f t="shared" si="42"/>
        <v>Weekday</v>
      </c>
      <c r="S670" t="str">
        <f t="shared" si="43"/>
        <v>Very_Active</v>
      </c>
    </row>
    <row r="671" spans="1:19" x14ac:dyDescent="0.25">
      <c r="A671">
        <v>6290855005</v>
      </c>
      <c r="B671" s="4">
        <v>42587</v>
      </c>
      <c r="C671">
        <v>7706</v>
      </c>
      <c r="D671" s="1">
        <v>5.8299999237060502</v>
      </c>
      <c r="E671" s="1">
        <v>5.8299999237060502</v>
      </c>
      <c r="F671" s="1">
        <v>0</v>
      </c>
      <c r="G671" s="1">
        <v>0</v>
      </c>
      <c r="H671" s="1">
        <v>0</v>
      </c>
      <c r="I671" s="1">
        <v>5.8200001716613796</v>
      </c>
      <c r="J671" s="1">
        <v>0</v>
      </c>
      <c r="K671">
        <v>0</v>
      </c>
      <c r="L671">
        <v>0</v>
      </c>
      <c r="M671">
        <v>251</v>
      </c>
      <c r="N671">
        <v>1189</v>
      </c>
      <c r="O671">
        <v>2712</v>
      </c>
      <c r="P671" t="str">
        <f t="shared" si="40"/>
        <v>Friday</v>
      </c>
      <c r="Q671">
        <f t="shared" si="41"/>
        <v>1440</v>
      </c>
      <c r="R671" t="str">
        <f t="shared" si="42"/>
        <v>Weekday</v>
      </c>
      <c r="S671" t="str">
        <f t="shared" si="43"/>
        <v>Fairly Active</v>
      </c>
    </row>
    <row r="672" spans="1:19" x14ac:dyDescent="0.25">
      <c r="A672">
        <v>6290855005</v>
      </c>
      <c r="B672" s="4">
        <v>42465</v>
      </c>
      <c r="C672">
        <v>5832</v>
      </c>
      <c r="D672" s="1">
        <v>4.4099998474121103</v>
      </c>
      <c r="E672" s="1">
        <v>4.4099998474121103</v>
      </c>
      <c r="F672" s="1">
        <v>0</v>
      </c>
      <c r="G672" s="1">
        <v>0</v>
      </c>
      <c r="H672" s="1">
        <v>0</v>
      </c>
      <c r="I672" s="1">
        <v>4.4000000953674299</v>
      </c>
      <c r="J672" s="1">
        <v>9.9999997764825804E-3</v>
      </c>
      <c r="K672">
        <v>0</v>
      </c>
      <c r="L672">
        <v>0</v>
      </c>
      <c r="M672">
        <v>272</v>
      </c>
      <c r="N672">
        <v>1168</v>
      </c>
      <c r="O672">
        <v>2718</v>
      </c>
      <c r="P672" t="str">
        <f t="shared" si="40"/>
        <v>Tuesday</v>
      </c>
      <c r="Q672">
        <f t="shared" si="41"/>
        <v>1440</v>
      </c>
      <c r="R672" t="str">
        <f t="shared" si="42"/>
        <v>Weekday</v>
      </c>
      <c r="S672" t="str">
        <f t="shared" si="43"/>
        <v>Lightly Active</v>
      </c>
    </row>
    <row r="673" spans="1:19" x14ac:dyDescent="0.25">
      <c r="A673">
        <v>6290855005</v>
      </c>
      <c r="B673" s="4">
        <v>42405</v>
      </c>
      <c r="C673">
        <v>6781</v>
      </c>
      <c r="D673" s="1">
        <v>5.1300001144409197</v>
      </c>
      <c r="E673" s="1">
        <v>5.1300001144409197</v>
      </c>
      <c r="F673" s="1">
        <v>0</v>
      </c>
      <c r="G673" s="1">
        <v>0</v>
      </c>
      <c r="H673" s="1">
        <v>0</v>
      </c>
      <c r="I673" s="1">
        <v>5.1100001335143999</v>
      </c>
      <c r="J673" s="1">
        <v>1.9999999552965199E-2</v>
      </c>
      <c r="K673">
        <v>0</v>
      </c>
      <c r="L673">
        <v>0</v>
      </c>
      <c r="M673">
        <v>268</v>
      </c>
      <c r="N673">
        <v>1172</v>
      </c>
      <c r="O673">
        <v>2725</v>
      </c>
      <c r="P673" t="str">
        <f t="shared" si="40"/>
        <v>Friday</v>
      </c>
      <c r="Q673">
        <f t="shared" si="41"/>
        <v>1440</v>
      </c>
      <c r="R673" t="str">
        <f t="shared" si="42"/>
        <v>Weekday</v>
      </c>
      <c r="S673" t="str">
        <f t="shared" si="43"/>
        <v>Lightly Active</v>
      </c>
    </row>
    <row r="674" spans="1:19" x14ac:dyDescent="0.25">
      <c r="A674">
        <v>4702921684</v>
      </c>
      <c r="B674" s="4">
        <v>42481</v>
      </c>
      <c r="C674">
        <v>6530</v>
      </c>
      <c r="D674" s="1">
        <v>5.3000001907348597</v>
      </c>
      <c r="E674" s="1">
        <v>5.3000001907348597</v>
      </c>
      <c r="F674" s="1">
        <v>0</v>
      </c>
      <c r="G674" s="1">
        <v>0.31000000238418601</v>
      </c>
      <c r="H674" s="1">
        <v>2.0499999523162802</v>
      </c>
      <c r="I674" s="1">
        <v>2.9400000572204599</v>
      </c>
      <c r="J674" s="1">
        <v>0</v>
      </c>
      <c r="K674">
        <v>4</v>
      </c>
      <c r="L674">
        <v>41</v>
      </c>
      <c r="M674">
        <v>144</v>
      </c>
      <c r="N674">
        <v>901</v>
      </c>
      <c r="O674">
        <v>2729</v>
      </c>
      <c r="P674" t="str">
        <f t="shared" si="40"/>
        <v>Thursday</v>
      </c>
      <c r="Q674">
        <f t="shared" si="41"/>
        <v>1090</v>
      </c>
      <c r="R674" t="str">
        <f t="shared" si="42"/>
        <v>Weekday</v>
      </c>
      <c r="S674" t="str">
        <f t="shared" si="43"/>
        <v>Lightly Active</v>
      </c>
    </row>
    <row r="675" spans="1:19" x14ac:dyDescent="0.25">
      <c r="A675">
        <v>7086361926</v>
      </c>
      <c r="B675" s="4">
        <v>42374</v>
      </c>
      <c r="C675">
        <v>12390</v>
      </c>
      <c r="D675" s="1">
        <v>8.0699996948242205</v>
      </c>
      <c r="E675" s="1">
        <v>8.0699996948242205</v>
      </c>
      <c r="F675" s="1">
        <v>0</v>
      </c>
      <c r="G675" s="1">
        <v>2.2999999523162802</v>
      </c>
      <c r="H675" s="1">
        <v>0.89999997615814198</v>
      </c>
      <c r="I675" s="1">
        <v>4.8499999046325701</v>
      </c>
      <c r="J675" s="1">
        <v>0</v>
      </c>
      <c r="K675">
        <v>30</v>
      </c>
      <c r="L675">
        <v>15</v>
      </c>
      <c r="M675">
        <v>258</v>
      </c>
      <c r="N675">
        <v>685</v>
      </c>
      <c r="O675">
        <v>2730</v>
      </c>
      <c r="P675" t="str">
        <f t="shared" si="40"/>
        <v>Tuesday</v>
      </c>
      <c r="Q675">
        <f t="shared" si="41"/>
        <v>988</v>
      </c>
      <c r="R675" t="str">
        <f t="shared" si="42"/>
        <v>Weekday</v>
      </c>
      <c r="S675" t="str">
        <f t="shared" si="43"/>
        <v>Very_Active</v>
      </c>
    </row>
    <row r="676" spans="1:19" x14ac:dyDescent="0.25">
      <c r="A676">
        <v>2022484408</v>
      </c>
      <c r="B676" s="4">
        <v>42490</v>
      </c>
      <c r="C676">
        <v>18387</v>
      </c>
      <c r="D676" s="1">
        <v>12.9099998474121</v>
      </c>
      <c r="E676" s="1">
        <v>12.9099998474121</v>
      </c>
      <c r="F676" s="1">
        <v>0</v>
      </c>
      <c r="G676" s="1">
        <v>0.93999999761581399</v>
      </c>
      <c r="H676" s="1">
        <v>1.3999999761581401</v>
      </c>
      <c r="I676" s="1">
        <v>10.569999694824199</v>
      </c>
      <c r="J676" s="1">
        <v>0</v>
      </c>
      <c r="K676">
        <v>13</v>
      </c>
      <c r="L676">
        <v>23</v>
      </c>
      <c r="M676">
        <v>361</v>
      </c>
      <c r="N676">
        <v>1043</v>
      </c>
      <c r="O676">
        <v>2732</v>
      </c>
      <c r="P676" t="str">
        <f t="shared" si="40"/>
        <v>Saturday</v>
      </c>
      <c r="Q676">
        <f t="shared" si="41"/>
        <v>1440</v>
      </c>
      <c r="R676" t="str">
        <f t="shared" si="42"/>
        <v>Weekend</v>
      </c>
      <c r="S676" t="str">
        <f t="shared" si="43"/>
        <v>Very_Active</v>
      </c>
    </row>
    <row r="677" spans="1:19" x14ac:dyDescent="0.25">
      <c r="A677">
        <v>7086361926</v>
      </c>
      <c r="B677" s="4">
        <v>42474</v>
      </c>
      <c r="C677">
        <v>9123</v>
      </c>
      <c r="D677" s="1">
        <v>6.1199998855590803</v>
      </c>
      <c r="E677" s="1">
        <v>6.1199998855590803</v>
      </c>
      <c r="F677" s="1">
        <v>0</v>
      </c>
      <c r="G677" s="1">
        <v>2.0299999713897701</v>
      </c>
      <c r="H677" s="1">
        <v>0.33000001311302202</v>
      </c>
      <c r="I677" s="1">
        <v>3.6600000858306898</v>
      </c>
      <c r="J677" s="1">
        <v>0</v>
      </c>
      <c r="K677">
        <v>35</v>
      </c>
      <c r="L677">
        <v>32</v>
      </c>
      <c r="M677">
        <v>189</v>
      </c>
      <c r="N677">
        <v>787</v>
      </c>
      <c r="O677">
        <v>2734</v>
      </c>
      <c r="P677" t="str">
        <f t="shared" si="40"/>
        <v>Thursday</v>
      </c>
      <c r="Q677">
        <f t="shared" si="41"/>
        <v>1043</v>
      </c>
      <c r="R677" t="str">
        <f t="shared" si="42"/>
        <v>Weekday</v>
      </c>
      <c r="S677" t="str">
        <f t="shared" si="43"/>
        <v>Fairly Active</v>
      </c>
    </row>
    <row r="678" spans="1:19" x14ac:dyDescent="0.25">
      <c r="A678">
        <v>7086361926</v>
      </c>
      <c r="B678" s="4">
        <v>42679</v>
      </c>
      <c r="C678">
        <v>9572</v>
      </c>
      <c r="D678" s="1">
        <v>6.5199999809265101</v>
      </c>
      <c r="E678" s="1">
        <v>6.5199999809265101</v>
      </c>
      <c r="F678" s="1">
        <v>0</v>
      </c>
      <c r="G678" s="1">
        <v>2.8900001049041699</v>
      </c>
      <c r="H678" s="1">
        <v>1.3899999856948899</v>
      </c>
      <c r="I678" s="1">
        <v>2.2300000190734899</v>
      </c>
      <c r="J678" s="1">
        <v>0</v>
      </c>
      <c r="K678">
        <v>57</v>
      </c>
      <c r="L678">
        <v>40</v>
      </c>
      <c r="M678">
        <v>128</v>
      </c>
      <c r="N678">
        <v>757</v>
      </c>
      <c r="O678">
        <v>2735</v>
      </c>
      <c r="P678" t="str">
        <f t="shared" si="40"/>
        <v>Saturday</v>
      </c>
      <c r="Q678">
        <f t="shared" si="41"/>
        <v>982</v>
      </c>
      <c r="R678" t="str">
        <f t="shared" si="42"/>
        <v>Weekend</v>
      </c>
      <c r="S678" t="str">
        <f t="shared" si="43"/>
        <v>Fairly Active</v>
      </c>
    </row>
    <row r="679" spans="1:19" x14ac:dyDescent="0.25">
      <c r="A679">
        <v>7086361926</v>
      </c>
      <c r="B679" s="4">
        <v>42556</v>
      </c>
      <c r="C679">
        <v>12827</v>
      </c>
      <c r="D679" s="1">
        <v>8.4799995422363299</v>
      </c>
      <c r="E679" s="1">
        <v>8.4799995422363299</v>
      </c>
      <c r="F679" s="1">
        <v>0</v>
      </c>
      <c r="G679" s="1">
        <v>1.46000003814697</v>
      </c>
      <c r="H679" s="1">
        <v>2.3299999237060498</v>
      </c>
      <c r="I679" s="1">
        <v>4.6799998283386204</v>
      </c>
      <c r="J679" s="1">
        <v>0</v>
      </c>
      <c r="K679">
        <v>20</v>
      </c>
      <c r="L679">
        <v>42</v>
      </c>
      <c r="M679">
        <v>209</v>
      </c>
      <c r="N679">
        <v>621</v>
      </c>
      <c r="O679">
        <v>2739</v>
      </c>
      <c r="P679" t="str">
        <f t="shared" si="40"/>
        <v>Tuesday</v>
      </c>
      <c r="Q679">
        <f t="shared" si="41"/>
        <v>892</v>
      </c>
      <c r="R679" t="str">
        <f t="shared" si="42"/>
        <v>Weekday</v>
      </c>
      <c r="S679" t="str">
        <f t="shared" si="43"/>
        <v>Very_Active</v>
      </c>
    </row>
    <row r="680" spans="1:19" x14ac:dyDescent="0.25">
      <c r="A680">
        <v>8378563200</v>
      </c>
      <c r="B680" s="4">
        <v>42484</v>
      </c>
      <c r="C680">
        <v>3703</v>
      </c>
      <c r="D680" s="1">
        <v>2.9400000572204599</v>
      </c>
      <c r="E680" s="1">
        <v>2.9400000572204599</v>
      </c>
      <c r="F680" s="1">
        <v>0</v>
      </c>
      <c r="G680" s="1">
        <v>0</v>
      </c>
      <c r="H680" s="1">
        <v>0</v>
      </c>
      <c r="I680" s="1">
        <v>2.9400000572204599</v>
      </c>
      <c r="J680" s="1">
        <v>0</v>
      </c>
      <c r="K680">
        <v>0</v>
      </c>
      <c r="L680">
        <v>0</v>
      </c>
      <c r="M680">
        <v>135</v>
      </c>
      <c r="N680">
        <v>734</v>
      </c>
      <c r="O680">
        <v>2741</v>
      </c>
      <c r="P680" t="str">
        <f t="shared" si="40"/>
        <v>Sunday</v>
      </c>
      <c r="Q680">
        <f t="shared" si="41"/>
        <v>869</v>
      </c>
      <c r="R680" t="str">
        <f t="shared" si="42"/>
        <v>Weekend</v>
      </c>
      <c r="S680" t="str">
        <f t="shared" si="43"/>
        <v>Sedentary</v>
      </c>
    </row>
    <row r="681" spans="1:19" x14ac:dyDescent="0.25">
      <c r="A681">
        <v>7007744171</v>
      </c>
      <c r="B681" s="4">
        <v>42473</v>
      </c>
      <c r="C681">
        <v>12862</v>
      </c>
      <c r="D681" s="1">
        <v>9.6499996185302699</v>
      </c>
      <c r="E681" s="1">
        <v>8.6000003814697301</v>
      </c>
      <c r="F681" s="1">
        <v>4.8513069152831996</v>
      </c>
      <c r="G681" s="1">
        <v>4.6100001335143999</v>
      </c>
      <c r="H681" s="1">
        <v>0.56000000238418601</v>
      </c>
      <c r="I681" s="1">
        <v>4.4800000190734899</v>
      </c>
      <c r="J681" s="1">
        <v>0</v>
      </c>
      <c r="K681">
        <v>56</v>
      </c>
      <c r="L681">
        <v>22</v>
      </c>
      <c r="M681">
        <v>261</v>
      </c>
      <c r="N681">
        <v>1101</v>
      </c>
      <c r="O681">
        <v>2742</v>
      </c>
      <c r="P681" t="str">
        <f t="shared" si="40"/>
        <v>Wednesday</v>
      </c>
      <c r="Q681">
        <f t="shared" si="41"/>
        <v>1440</v>
      </c>
      <c r="R681" t="str">
        <f t="shared" si="42"/>
        <v>Weekday</v>
      </c>
      <c r="S681" t="str">
        <f t="shared" si="43"/>
        <v>Very_Active</v>
      </c>
    </row>
    <row r="682" spans="1:19" x14ac:dyDescent="0.25">
      <c r="A682">
        <v>6290855005</v>
      </c>
      <c r="B682" s="4">
        <v>42487</v>
      </c>
      <c r="C682">
        <v>5565</v>
      </c>
      <c r="D682" s="1">
        <v>4.21000003814697</v>
      </c>
      <c r="E682" s="1">
        <v>4.21000003814697</v>
      </c>
      <c r="F682" s="1">
        <v>0</v>
      </c>
      <c r="G682" s="1">
        <v>0</v>
      </c>
      <c r="H682" s="1">
        <v>0</v>
      </c>
      <c r="I682" s="1">
        <v>4.1799998283386204</v>
      </c>
      <c r="J682" s="1">
        <v>2.9999999329447701E-2</v>
      </c>
      <c r="K682">
        <v>0</v>
      </c>
      <c r="L682">
        <v>0</v>
      </c>
      <c r="M682">
        <v>287</v>
      </c>
      <c r="N682">
        <v>1153</v>
      </c>
      <c r="O682">
        <v>2743</v>
      </c>
      <c r="P682" t="str">
        <f t="shared" si="40"/>
        <v>Wednesday</v>
      </c>
      <c r="Q682">
        <f t="shared" si="41"/>
        <v>1440</v>
      </c>
      <c r="R682" t="str">
        <f t="shared" si="42"/>
        <v>Weekday</v>
      </c>
      <c r="S682" t="str">
        <f t="shared" si="43"/>
        <v>Lightly Active</v>
      </c>
    </row>
    <row r="683" spans="1:19" x14ac:dyDescent="0.25">
      <c r="A683">
        <v>7086361926</v>
      </c>
      <c r="B683" s="4">
        <v>42478</v>
      </c>
      <c r="C683">
        <v>9827</v>
      </c>
      <c r="D683" s="1">
        <v>6.71000003814697</v>
      </c>
      <c r="E683" s="1">
        <v>6.71000003814697</v>
      </c>
      <c r="F683" s="1">
        <v>0</v>
      </c>
      <c r="G683" s="1">
        <v>3.1700000762939502</v>
      </c>
      <c r="H683" s="1">
        <v>1.2200000286102299</v>
      </c>
      <c r="I683" s="1">
        <v>2.3099999427795401</v>
      </c>
      <c r="J683" s="1">
        <v>0</v>
      </c>
      <c r="K683">
        <v>61</v>
      </c>
      <c r="L683">
        <v>51</v>
      </c>
      <c r="M683">
        <v>114</v>
      </c>
      <c r="N683">
        <v>1136</v>
      </c>
      <c r="O683">
        <v>2743</v>
      </c>
      <c r="P683" t="str">
        <f t="shared" si="40"/>
        <v>Monday</v>
      </c>
      <c r="Q683">
        <f t="shared" si="41"/>
        <v>1362</v>
      </c>
      <c r="R683" t="str">
        <f t="shared" si="42"/>
        <v>Weekday</v>
      </c>
      <c r="S683" t="str">
        <f t="shared" si="43"/>
        <v>Fairly Active</v>
      </c>
    </row>
    <row r="684" spans="1:19" x14ac:dyDescent="0.25">
      <c r="A684">
        <v>8792009665</v>
      </c>
      <c r="B684" s="4">
        <v>42483</v>
      </c>
      <c r="C684">
        <v>5245</v>
      </c>
      <c r="D684" s="1">
        <v>3.3599998950958301</v>
      </c>
      <c r="E684" s="1">
        <v>3.3599998950958301</v>
      </c>
      <c r="F684" s="1">
        <v>0</v>
      </c>
      <c r="G684" s="1">
        <v>0.15999999642372101</v>
      </c>
      <c r="H684" s="1">
        <v>0.43999999761581399</v>
      </c>
      <c r="I684" s="1">
        <v>2.75</v>
      </c>
      <c r="J684" s="1">
        <v>0</v>
      </c>
      <c r="K684">
        <v>8</v>
      </c>
      <c r="L684">
        <v>45</v>
      </c>
      <c r="M684">
        <v>232</v>
      </c>
      <c r="N684">
        <v>795</v>
      </c>
      <c r="O684">
        <v>2748</v>
      </c>
      <c r="P684" t="str">
        <f t="shared" si="40"/>
        <v>Saturday</v>
      </c>
      <c r="Q684">
        <f t="shared" si="41"/>
        <v>1080</v>
      </c>
      <c r="R684" t="str">
        <f t="shared" si="42"/>
        <v>Weekend</v>
      </c>
      <c r="S684" t="str">
        <f t="shared" si="43"/>
        <v>Lightly Active</v>
      </c>
    </row>
    <row r="685" spans="1:19" x14ac:dyDescent="0.25">
      <c r="A685">
        <v>1644430081</v>
      </c>
      <c r="B685" s="4">
        <v>42475</v>
      </c>
      <c r="C685">
        <v>5263</v>
      </c>
      <c r="D685" s="1">
        <v>3.8299999237060498</v>
      </c>
      <c r="E685" s="1">
        <v>3.8299999237060498</v>
      </c>
      <c r="F685" s="1">
        <v>0</v>
      </c>
      <c r="G685" s="1">
        <v>0.21999999880790699</v>
      </c>
      <c r="H685" s="1">
        <v>0.15000000596046401</v>
      </c>
      <c r="I685" s="1">
        <v>3.4500000476837198</v>
      </c>
      <c r="J685" s="1">
        <v>0</v>
      </c>
      <c r="K685">
        <v>3</v>
      </c>
      <c r="L685">
        <v>4</v>
      </c>
      <c r="M685">
        <v>170</v>
      </c>
      <c r="N685">
        <v>1263</v>
      </c>
      <c r="O685">
        <v>2750</v>
      </c>
      <c r="P685" t="str">
        <f t="shared" si="40"/>
        <v>Friday</v>
      </c>
      <c r="Q685">
        <f t="shared" si="41"/>
        <v>1440</v>
      </c>
      <c r="R685" t="str">
        <f t="shared" si="42"/>
        <v>Weekday</v>
      </c>
      <c r="S685" t="str">
        <f t="shared" si="43"/>
        <v>Lightly Active</v>
      </c>
    </row>
    <row r="686" spans="1:19" x14ac:dyDescent="0.25">
      <c r="A686">
        <v>7086361926</v>
      </c>
      <c r="B686" s="4">
        <v>42485</v>
      </c>
      <c r="C686">
        <v>10091</v>
      </c>
      <c r="D686" s="1">
        <v>6.8200001716613796</v>
      </c>
      <c r="E686" s="1">
        <v>6.8200001716613796</v>
      </c>
      <c r="F686" s="1">
        <v>0</v>
      </c>
      <c r="G686" s="1">
        <v>3.75</v>
      </c>
      <c r="H686" s="1">
        <v>0.69999998807907104</v>
      </c>
      <c r="I686" s="1">
        <v>2.3699998855590798</v>
      </c>
      <c r="J686" s="1">
        <v>0</v>
      </c>
      <c r="K686">
        <v>69</v>
      </c>
      <c r="L686">
        <v>39</v>
      </c>
      <c r="M686">
        <v>129</v>
      </c>
      <c r="N686">
        <v>706</v>
      </c>
      <c r="O686">
        <v>2752</v>
      </c>
      <c r="P686" t="str">
        <f t="shared" si="40"/>
        <v>Monday</v>
      </c>
      <c r="Q686">
        <f t="shared" si="41"/>
        <v>943</v>
      </c>
      <c r="R686" t="str">
        <f t="shared" si="42"/>
        <v>Weekday</v>
      </c>
      <c r="S686" t="str">
        <f t="shared" si="43"/>
        <v>Very_Active</v>
      </c>
    </row>
    <row r="687" spans="1:19" x14ac:dyDescent="0.25">
      <c r="A687">
        <v>2022484408</v>
      </c>
      <c r="B687" s="4">
        <v>42434</v>
      </c>
      <c r="C687">
        <v>12183</v>
      </c>
      <c r="D687" s="1">
        <v>8.7399997711181605</v>
      </c>
      <c r="E687" s="1">
        <v>8.7399997711181605</v>
      </c>
      <c r="F687" s="1">
        <v>0</v>
      </c>
      <c r="G687" s="1">
        <v>3.9900000095367401</v>
      </c>
      <c r="H687" s="1">
        <v>0.46000000834464999</v>
      </c>
      <c r="I687" s="1">
        <v>4.2800002098083496</v>
      </c>
      <c r="J687" s="1">
        <v>0</v>
      </c>
      <c r="K687">
        <v>72</v>
      </c>
      <c r="L687">
        <v>14</v>
      </c>
      <c r="M687">
        <v>250</v>
      </c>
      <c r="N687">
        <v>1104</v>
      </c>
      <c r="O687">
        <v>2752</v>
      </c>
      <c r="P687" t="str">
        <f t="shared" si="40"/>
        <v>Saturday</v>
      </c>
      <c r="Q687">
        <f t="shared" si="41"/>
        <v>1440</v>
      </c>
      <c r="R687" t="str">
        <f t="shared" si="42"/>
        <v>Weekend</v>
      </c>
      <c r="S687" t="str">
        <f t="shared" si="43"/>
        <v>Very_Active</v>
      </c>
    </row>
    <row r="688" spans="1:19" x14ac:dyDescent="0.25">
      <c r="A688">
        <v>7086361926</v>
      </c>
      <c r="B688" s="4">
        <v>42405</v>
      </c>
      <c r="C688">
        <v>10052</v>
      </c>
      <c r="D688" s="1">
        <v>6.8099999427795401</v>
      </c>
      <c r="E688" s="1">
        <v>6.8099999427795401</v>
      </c>
      <c r="F688" s="1">
        <v>0</v>
      </c>
      <c r="G688" s="1">
        <v>3.4800000190734899</v>
      </c>
      <c r="H688" s="1">
        <v>0.66000002622604403</v>
      </c>
      <c r="I688" s="1">
        <v>2.6600000858306898</v>
      </c>
      <c r="J688" s="1">
        <v>0</v>
      </c>
      <c r="K688">
        <v>66</v>
      </c>
      <c r="L688">
        <v>26</v>
      </c>
      <c r="M688">
        <v>139</v>
      </c>
      <c r="N688">
        <v>737</v>
      </c>
      <c r="O688">
        <v>2754</v>
      </c>
      <c r="P688" t="str">
        <f t="shared" si="40"/>
        <v>Friday</v>
      </c>
      <c r="Q688">
        <f t="shared" si="41"/>
        <v>968</v>
      </c>
      <c r="R688" t="str">
        <f t="shared" si="42"/>
        <v>Weekday</v>
      </c>
      <c r="S688" t="str">
        <f t="shared" si="43"/>
        <v>Very_Active</v>
      </c>
    </row>
    <row r="689" spans="1:19" x14ac:dyDescent="0.25">
      <c r="A689">
        <v>7086361926</v>
      </c>
      <c r="B689" s="4">
        <v>42434</v>
      </c>
      <c r="C689">
        <v>10288</v>
      </c>
      <c r="D689" s="1">
        <v>6.7600002288818404</v>
      </c>
      <c r="E689" s="1">
        <v>6.7600002288818404</v>
      </c>
      <c r="F689" s="1">
        <v>0</v>
      </c>
      <c r="G689" s="1">
        <v>2.7400000095367401</v>
      </c>
      <c r="H689" s="1">
        <v>0.85000002384185802</v>
      </c>
      <c r="I689" s="1">
        <v>3.1600000858306898</v>
      </c>
      <c r="J689" s="1">
        <v>0</v>
      </c>
      <c r="K689">
        <v>57</v>
      </c>
      <c r="L689">
        <v>36</v>
      </c>
      <c r="M689">
        <v>152</v>
      </c>
      <c r="N689">
        <v>761</v>
      </c>
      <c r="O689">
        <v>2754</v>
      </c>
      <c r="P689" t="str">
        <f t="shared" si="40"/>
        <v>Saturday</v>
      </c>
      <c r="Q689">
        <f t="shared" si="41"/>
        <v>1006</v>
      </c>
      <c r="R689" t="str">
        <f t="shared" si="42"/>
        <v>Weekend</v>
      </c>
      <c r="S689" t="str">
        <f t="shared" si="43"/>
        <v>Very_Active</v>
      </c>
    </row>
    <row r="690" spans="1:19" x14ac:dyDescent="0.25">
      <c r="A690">
        <v>5577150313</v>
      </c>
      <c r="B690" s="4">
        <v>42465</v>
      </c>
      <c r="C690">
        <v>5206</v>
      </c>
      <c r="D690" s="1">
        <v>3.8900001049041699</v>
      </c>
      <c r="E690" s="1">
        <v>3.8900001049041699</v>
      </c>
      <c r="F690" s="1">
        <v>0</v>
      </c>
      <c r="G690" s="1">
        <v>1.5599999427795399</v>
      </c>
      <c r="H690" s="1">
        <v>0.25</v>
      </c>
      <c r="I690" s="1">
        <v>2.0799999237060498</v>
      </c>
      <c r="J690" s="1">
        <v>0</v>
      </c>
      <c r="K690">
        <v>25</v>
      </c>
      <c r="L690">
        <v>9</v>
      </c>
      <c r="M690">
        <v>141</v>
      </c>
      <c r="N690">
        <v>631</v>
      </c>
      <c r="O690">
        <v>2755</v>
      </c>
      <c r="P690" t="str">
        <f t="shared" si="40"/>
        <v>Tuesday</v>
      </c>
      <c r="Q690">
        <f t="shared" si="41"/>
        <v>806</v>
      </c>
      <c r="R690" t="str">
        <f t="shared" si="42"/>
        <v>Weekday</v>
      </c>
      <c r="S690" t="str">
        <f t="shared" si="43"/>
        <v>Lightly Active</v>
      </c>
    </row>
    <row r="691" spans="1:19" x14ac:dyDescent="0.25">
      <c r="A691">
        <v>8583815059</v>
      </c>
      <c r="B691" s="4">
        <v>42488</v>
      </c>
      <c r="C691">
        <v>6174</v>
      </c>
      <c r="D691" s="1">
        <v>4.8200001716613796</v>
      </c>
      <c r="E691" s="1">
        <v>4.8200001716613796</v>
      </c>
      <c r="F691" s="1">
        <v>0</v>
      </c>
      <c r="G691" s="1">
        <v>0</v>
      </c>
      <c r="H691" s="1">
        <v>1.20000004768372</v>
      </c>
      <c r="I691" s="1">
        <v>3.6099998950958301</v>
      </c>
      <c r="J691" s="1">
        <v>0</v>
      </c>
      <c r="K691">
        <v>0</v>
      </c>
      <c r="L691">
        <v>28</v>
      </c>
      <c r="M691">
        <v>203</v>
      </c>
      <c r="N691">
        <v>1209</v>
      </c>
      <c r="O691">
        <v>2757</v>
      </c>
      <c r="P691" t="str">
        <f t="shared" si="40"/>
        <v>Thursday</v>
      </c>
      <c r="Q691">
        <f t="shared" si="41"/>
        <v>1440</v>
      </c>
      <c r="R691" t="str">
        <f t="shared" si="42"/>
        <v>Weekday</v>
      </c>
      <c r="S691" t="str">
        <f t="shared" si="43"/>
        <v>Lightly Active</v>
      </c>
    </row>
    <row r="692" spans="1:19" x14ac:dyDescent="0.25">
      <c r="A692">
        <v>8877689391</v>
      </c>
      <c r="B692" s="4">
        <v>42478</v>
      </c>
      <c r="C692">
        <v>11423</v>
      </c>
      <c r="D692" s="1">
        <v>8.6700000762939506</v>
      </c>
      <c r="E692" s="1">
        <v>8.6700000762939506</v>
      </c>
      <c r="F692" s="1">
        <v>0</v>
      </c>
      <c r="G692" s="1">
        <v>2.4400000572204599</v>
      </c>
      <c r="H692" s="1">
        <v>0.270000010728836</v>
      </c>
      <c r="I692" s="1">
        <v>5.9400000572204599</v>
      </c>
      <c r="J692" s="1">
        <v>0</v>
      </c>
      <c r="K692">
        <v>29</v>
      </c>
      <c r="L692">
        <v>5</v>
      </c>
      <c r="M692">
        <v>191</v>
      </c>
      <c r="N692">
        <v>1215</v>
      </c>
      <c r="O692">
        <v>2761</v>
      </c>
      <c r="P692" t="str">
        <f t="shared" si="40"/>
        <v>Monday</v>
      </c>
      <c r="Q692">
        <f t="shared" si="41"/>
        <v>1440</v>
      </c>
      <c r="R692" t="str">
        <f t="shared" si="42"/>
        <v>Weekday</v>
      </c>
      <c r="S692" t="str">
        <f t="shared" si="43"/>
        <v>Very_Active</v>
      </c>
    </row>
    <row r="693" spans="1:19" x14ac:dyDescent="0.25">
      <c r="A693">
        <v>7007744171</v>
      </c>
      <c r="B693" s="4">
        <v>42481</v>
      </c>
      <c r="C693">
        <v>13744</v>
      </c>
      <c r="D693" s="1">
        <v>9.1899995803833008</v>
      </c>
      <c r="E693" s="1">
        <v>9.1899995803833008</v>
      </c>
      <c r="F693" s="1">
        <v>0</v>
      </c>
      <c r="G693" s="1">
        <v>2.1500000953674299</v>
      </c>
      <c r="H693" s="1">
        <v>1.87000000476837</v>
      </c>
      <c r="I693" s="1">
        <v>5.1700000762939498</v>
      </c>
      <c r="J693" s="1">
        <v>0</v>
      </c>
      <c r="K693">
        <v>30</v>
      </c>
      <c r="L693">
        <v>34</v>
      </c>
      <c r="M693">
        <v>327</v>
      </c>
      <c r="N693">
        <v>1049</v>
      </c>
      <c r="O693">
        <v>2763</v>
      </c>
      <c r="P693" t="str">
        <f t="shared" si="40"/>
        <v>Thursday</v>
      </c>
      <c r="Q693">
        <f t="shared" si="41"/>
        <v>1440</v>
      </c>
      <c r="R693" t="str">
        <f t="shared" si="42"/>
        <v>Weekday</v>
      </c>
      <c r="S693" t="str">
        <f t="shared" si="43"/>
        <v>Very_Active</v>
      </c>
    </row>
    <row r="694" spans="1:19" x14ac:dyDescent="0.25">
      <c r="A694">
        <v>8053475328</v>
      </c>
      <c r="B694" s="4">
        <v>42618</v>
      </c>
      <c r="C694">
        <v>12465</v>
      </c>
      <c r="D694" s="1">
        <v>9.3800001144409197</v>
      </c>
      <c r="E694" s="1">
        <v>9.3800001144409197</v>
      </c>
      <c r="F694" s="1">
        <v>0</v>
      </c>
      <c r="G694" s="1">
        <v>6.1199998855590803</v>
      </c>
      <c r="H694" s="1">
        <v>0.56999999284744296</v>
      </c>
      <c r="I694" s="1">
        <v>2.6900000572204599</v>
      </c>
      <c r="J694" s="1">
        <v>0</v>
      </c>
      <c r="K694">
        <v>66</v>
      </c>
      <c r="L694">
        <v>12</v>
      </c>
      <c r="M694">
        <v>148</v>
      </c>
      <c r="N694">
        <v>1214</v>
      </c>
      <c r="O694">
        <v>2765</v>
      </c>
      <c r="P694" t="str">
        <f t="shared" si="40"/>
        <v>Monday</v>
      </c>
      <c r="Q694">
        <f t="shared" si="41"/>
        <v>1440</v>
      </c>
      <c r="R694" t="str">
        <f t="shared" si="42"/>
        <v>Weekday</v>
      </c>
      <c r="S694" t="str">
        <f t="shared" si="43"/>
        <v>Very_Active</v>
      </c>
    </row>
    <row r="695" spans="1:19" x14ac:dyDescent="0.25">
      <c r="A695">
        <v>6290855005</v>
      </c>
      <c r="B695" s="4">
        <v>42478</v>
      </c>
      <c r="C695">
        <v>6885</v>
      </c>
      <c r="D695" s="1">
        <v>5.21000003814697</v>
      </c>
      <c r="E695" s="1">
        <v>5.21000003814697</v>
      </c>
      <c r="F695" s="1">
        <v>0</v>
      </c>
      <c r="G695" s="1">
        <v>0</v>
      </c>
      <c r="H695" s="1">
        <v>0</v>
      </c>
      <c r="I695" s="1">
        <v>5.1900000572204599</v>
      </c>
      <c r="J695" s="1">
        <v>1.9999999552965199E-2</v>
      </c>
      <c r="K695">
        <v>0</v>
      </c>
      <c r="L695">
        <v>0</v>
      </c>
      <c r="M695">
        <v>271</v>
      </c>
      <c r="N695">
        <v>1169</v>
      </c>
      <c r="O695">
        <v>2766</v>
      </c>
      <c r="P695" t="str">
        <f t="shared" si="40"/>
        <v>Monday</v>
      </c>
      <c r="Q695">
        <f t="shared" si="41"/>
        <v>1440</v>
      </c>
      <c r="R695" t="str">
        <f t="shared" si="42"/>
        <v>Weekday</v>
      </c>
      <c r="S695" t="str">
        <f t="shared" si="43"/>
        <v>Lightly Active</v>
      </c>
    </row>
    <row r="696" spans="1:19" x14ac:dyDescent="0.25">
      <c r="A696">
        <v>2022484408</v>
      </c>
      <c r="B696" s="4">
        <v>42478</v>
      </c>
      <c r="C696">
        <v>14131</v>
      </c>
      <c r="D696" s="1">
        <v>10.069999694824199</v>
      </c>
      <c r="E696" s="1">
        <v>10.069999694824199</v>
      </c>
      <c r="F696" s="1">
        <v>0</v>
      </c>
      <c r="G696" s="1">
        <v>3.6400001049041699</v>
      </c>
      <c r="H696" s="1">
        <v>0.119999997317791</v>
      </c>
      <c r="I696" s="1">
        <v>6.3000001907348597</v>
      </c>
      <c r="J696" s="1">
        <v>0</v>
      </c>
      <c r="K696">
        <v>48</v>
      </c>
      <c r="L696">
        <v>3</v>
      </c>
      <c r="M696">
        <v>311</v>
      </c>
      <c r="N696">
        <v>1078</v>
      </c>
      <c r="O696">
        <v>2770</v>
      </c>
      <c r="P696" t="str">
        <f t="shared" si="40"/>
        <v>Monday</v>
      </c>
      <c r="Q696">
        <f t="shared" si="41"/>
        <v>1440</v>
      </c>
      <c r="R696" t="str">
        <f t="shared" si="42"/>
        <v>Weekday</v>
      </c>
      <c r="S696" t="str">
        <f t="shared" si="43"/>
        <v>Very_Active</v>
      </c>
    </row>
    <row r="697" spans="1:19" x14ac:dyDescent="0.25">
      <c r="A697">
        <v>6290855005</v>
      </c>
      <c r="B697" s="4">
        <v>42485</v>
      </c>
      <c r="C697">
        <v>7802</v>
      </c>
      <c r="D697" s="1">
        <v>5.9000000953674299</v>
      </c>
      <c r="E697" s="1">
        <v>5.9000000953674299</v>
      </c>
      <c r="F697" s="1">
        <v>0</v>
      </c>
      <c r="G697" s="1">
        <v>0.68000000715255704</v>
      </c>
      <c r="H697" s="1">
        <v>0.18000000715255701</v>
      </c>
      <c r="I697" s="1">
        <v>5.0300002098083496</v>
      </c>
      <c r="J697" s="1">
        <v>9.9999997764825804E-3</v>
      </c>
      <c r="K697">
        <v>8</v>
      </c>
      <c r="L697">
        <v>3</v>
      </c>
      <c r="M697">
        <v>249</v>
      </c>
      <c r="N697">
        <v>1180</v>
      </c>
      <c r="O697">
        <v>2771</v>
      </c>
      <c r="P697" t="str">
        <f t="shared" si="40"/>
        <v>Monday</v>
      </c>
      <c r="Q697">
        <f t="shared" si="41"/>
        <v>1440</v>
      </c>
      <c r="R697" t="str">
        <f t="shared" si="42"/>
        <v>Weekday</v>
      </c>
      <c r="S697" t="str">
        <f t="shared" si="43"/>
        <v>Fairly Active</v>
      </c>
    </row>
    <row r="698" spans="1:19" x14ac:dyDescent="0.25">
      <c r="A698">
        <v>7086361926</v>
      </c>
      <c r="B698" s="4">
        <v>42708</v>
      </c>
      <c r="C698">
        <v>11317</v>
      </c>
      <c r="D698" s="1">
        <v>8.4099998474121094</v>
      </c>
      <c r="E698" s="1">
        <v>8.4099998474121094</v>
      </c>
      <c r="F698" s="1">
        <v>0</v>
      </c>
      <c r="G698" s="1">
        <v>5.2699999809265101</v>
      </c>
      <c r="H698" s="1">
        <v>0.15000000596046401</v>
      </c>
      <c r="I698" s="1">
        <v>2.9700000286102299</v>
      </c>
      <c r="J698" s="1">
        <v>0</v>
      </c>
      <c r="K698">
        <v>59</v>
      </c>
      <c r="L698">
        <v>6</v>
      </c>
      <c r="M698">
        <v>153</v>
      </c>
      <c r="N698">
        <v>745</v>
      </c>
      <c r="O698">
        <v>2772</v>
      </c>
      <c r="P698" t="str">
        <f t="shared" si="40"/>
        <v>Sunday</v>
      </c>
      <c r="Q698">
        <f t="shared" si="41"/>
        <v>963</v>
      </c>
      <c r="R698" t="str">
        <f t="shared" si="42"/>
        <v>Weekend</v>
      </c>
      <c r="S698" t="str">
        <f t="shared" si="43"/>
        <v>Very_Active</v>
      </c>
    </row>
    <row r="699" spans="1:19" x14ac:dyDescent="0.25">
      <c r="A699">
        <v>8792009665</v>
      </c>
      <c r="B699" s="4">
        <v>42488</v>
      </c>
      <c r="C699">
        <v>6157</v>
      </c>
      <c r="D699" s="1">
        <v>3.9400000572204599</v>
      </c>
      <c r="E699" s="1">
        <v>3.9400000572204599</v>
      </c>
      <c r="F699" s="1">
        <v>0</v>
      </c>
      <c r="G699" s="1">
        <v>0</v>
      </c>
      <c r="H699" s="1">
        <v>0</v>
      </c>
      <c r="I699" s="1">
        <v>3.9400000572204599</v>
      </c>
      <c r="J699" s="1">
        <v>0</v>
      </c>
      <c r="K699">
        <v>0</v>
      </c>
      <c r="L699">
        <v>0</v>
      </c>
      <c r="M699">
        <v>310</v>
      </c>
      <c r="N699">
        <v>714</v>
      </c>
      <c r="O699">
        <v>2780</v>
      </c>
      <c r="P699" t="str">
        <f t="shared" si="40"/>
        <v>Thursday</v>
      </c>
      <c r="Q699">
        <f t="shared" si="41"/>
        <v>1024</v>
      </c>
      <c r="R699" t="str">
        <f t="shared" si="42"/>
        <v>Weekday</v>
      </c>
      <c r="S699" t="str">
        <f t="shared" si="43"/>
        <v>Lightly Active</v>
      </c>
    </row>
    <row r="700" spans="1:19" x14ac:dyDescent="0.25">
      <c r="A700">
        <v>7086361926</v>
      </c>
      <c r="B700" s="4">
        <v>42486</v>
      </c>
      <c r="C700">
        <v>10387</v>
      </c>
      <c r="D700" s="1">
        <v>7.0700001716613796</v>
      </c>
      <c r="E700" s="1">
        <v>7.0700001716613796</v>
      </c>
      <c r="F700" s="1">
        <v>0</v>
      </c>
      <c r="G700" s="1">
        <v>4.1599998474121103</v>
      </c>
      <c r="H700" s="1">
        <v>0.769999980926514</v>
      </c>
      <c r="I700" s="1">
        <v>2.1199998855590798</v>
      </c>
      <c r="J700" s="1">
        <v>0</v>
      </c>
      <c r="K700">
        <v>70</v>
      </c>
      <c r="L700">
        <v>33</v>
      </c>
      <c r="M700">
        <v>132</v>
      </c>
      <c r="N700">
        <v>726</v>
      </c>
      <c r="O700">
        <v>2781</v>
      </c>
      <c r="P700" t="str">
        <f t="shared" si="40"/>
        <v>Tuesday</v>
      </c>
      <c r="Q700">
        <f t="shared" si="41"/>
        <v>961</v>
      </c>
      <c r="R700" t="str">
        <f t="shared" si="42"/>
        <v>Weekday</v>
      </c>
      <c r="S700" t="str">
        <f t="shared" si="43"/>
        <v>Very_Active</v>
      </c>
    </row>
    <row r="701" spans="1:19" x14ac:dyDescent="0.25">
      <c r="A701">
        <v>2022484408</v>
      </c>
      <c r="B701" s="4">
        <v>42477</v>
      </c>
      <c r="C701">
        <v>15112</v>
      </c>
      <c r="D701" s="1">
        <v>11.3999996185303</v>
      </c>
      <c r="E701" s="1">
        <v>11.3999996185303</v>
      </c>
      <c r="F701" s="1">
        <v>0</v>
      </c>
      <c r="G701" s="1">
        <v>3.8699998855590798</v>
      </c>
      <c r="H701" s="1">
        <v>0.66000002622604403</v>
      </c>
      <c r="I701" s="1">
        <v>6.8800001144409197</v>
      </c>
      <c r="J701" s="1">
        <v>0</v>
      </c>
      <c r="K701">
        <v>28</v>
      </c>
      <c r="L701">
        <v>29</v>
      </c>
      <c r="M701">
        <v>331</v>
      </c>
      <c r="N701">
        <v>1052</v>
      </c>
      <c r="O701">
        <v>2782</v>
      </c>
      <c r="P701" t="str">
        <f t="shared" si="40"/>
        <v>Sunday</v>
      </c>
      <c r="Q701">
        <f t="shared" si="41"/>
        <v>1440</v>
      </c>
      <c r="R701" t="str">
        <f t="shared" si="42"/>
        <v>Weekend</v>
      </c>
      <c r="S701" t="str">
        <f t="shared" si="43"/>
        <v>Very_Active</v>
      </c>
    </row>
    <row r="702" spans="1:19" x14ac:dyDescent="0.25">
      <c r="A702">
        <v>6290855005</v>
      </c>
      <c r="B702" s="4">
        <v>42476</v>
      </c>
      <c r="C702">
        <v>8301</v>
      </c>
      <c r="D702" s="1">
        <v>6.2800002098083496</v>
      </c>
      <c r="E702" s="1">
        <v>6.2800002098083496</v>
      </c>
      <c r="F702" s="1">
        <v>0</v>
      </c>
      <c r="G702" s="1">
        <v>0</v>
      </c>
      <c r="H702" s="1">
        <v>0</v>
      </c>
      <c r="I702" s="1">
        <v>6.2699999809265101</v>
      </c>
      <c r="J702" s="1">
        <v>9.9999997764825804E-3</v>
      </c>
      <c r="K702">
        <v>0</v>
      </c>
      <c r="L702">
        <v>0</v>
      </c>
      <c r="M702">
        <v>258</v>
      </c>
      <c r="N702">
        <v>1182</v>
      </c>
      <c r="O702">
        <v>2783</v>
      </c>
      <c r="P702" t="str">
        <f t="shared" si="40"/>
        <v>Saturday</v>
      </c>
      <c r="Q702">
        <f t="shared" si="41"/>
        <v>1440</v>
      </c>
      <c r="R702" t="str">
        <f t="shared" si="42"/>
        <v>Weekend</v>
      </c>
      <c r="S702" t="str">
        <f t="shared" si="43"/>
        <v>Fairly Active</v>
      </c>
    </row>
    <row r="703" spans="1:19" x14ac:dyDescent="0.25">
      <c r="A703">
        <v>4702921684</v>
      </c>
      <c r="B703" s="4">
        <v>42486</v>
      </c>
      <c r="C703">
        <v>6108</v>
      </c>
      <c r="D703" s="1">
        <v>4.9499998092651403</v>
      </c>
      <c r="E703" s="1">
        <v>4.9499998092651403</v>
      </c>
      <c r="F703" s="1">
        <v>0</v>
      </c>
      <c r="G703" s="1">
        <v>7.0000000298023196E-2</v>
      </c>
      <c r="H703" s="1">
        <v>0.34999999403953602</v>
      </c>
      <c r="I703" s="1">
        <v>4.53999996185303</v>
      </c>
      <c r="J703" s="1">
        <v>0</v>
      </c>
      <c r="K703">
        <v>1</v>
      </c>
      <c r="L703">
        <v>8</v>
      </c>
      <c r="M703">
        <v>216</v>
      </c>
      <c r="N703">
        <v>765</v>
      </c>
      <c r="O703">
        <v>2784</v>
      </c>
      <c r="P703" t="str">
        <f t="shared" si="40"/>
        <v>Tuesday</v>
      </c>
      <c r="Q703">
        <f t="shared" si="41"/>
        <v>990</v>
      </c>
      <c r="R703" t="str">
        <f t="shared" si="42"/>
        <v>Weekday</v>
      </c>
      <c r="S703" t="str">
        <f t="shared" si="43"/>
        <v>Lightly Active</v>
      </c>
    </row>
    <row r="704" spans="1:19" x14ac:dyDescent="0.25">
      <c r="A704">
        <v>4020332650</v>
      </c>
      <c r="B704" s="4">
        <v>42618</v>
      </c>
      <c r="C704">
        <v>4556</v>
      </c>
      <c r="D704" s="1">
        <v>3.2699999809265101</v>
      </c>
      <c r="E704" s="1">
        <v>3.2699999809265101</v>
      </c>
      <c r="F704" s="1">
        <v>0</v>
      </c>
      <c r="G704" s="1">
        <v>0.20000000298023199</v>
      </c>
      <c r="H704" s="1">
        <v>0.119999997317791</v>
      </c>
      <c r="I704" s="1">
        <v>2.9400000572204599</v>
      </c>
      <c r="J704" s="1">
        <v>0</v>
      </c>
      <c r="K704">
        <v>3</v>
      </c>
      <c r="L704">
        <v>5</v>
      </c>
      <c r="M704">
        <v>173</v>
      </c>
      <c r="N704">
        <v>1225</v>
      </c>
      <c r="O704">
        <v>2785</v>
      </c>
      <c r="P704" t="str">
        <f t="shared" si="40"/>
        <v>Monday</v>
      </c>
      <c r="Q704">
        <f t="shared" si="41"/>
        <v>1406</v>
      </c>
      <c r="R704" t="str">
        <f t="shared" si="42"/>
        <v>Weekday</v>
      </c>
      <c r="S704" t="str">
        <f t="shared" si="43"/>
        <v>Sedentary</v>
      </c>
    </row>
    <row r="705" spans="1:19" x14ac:dyDescent="0.25">
      <c r="A705">
        <v>8877689391</v>
      </c>
      <c r="B705" s="4">
        <v>42374</v>
      </c>
      <c r="C705">
        <v>10930</v>
      </c>
      <c r="D705" s="1">
        <v>8.3199996948242205</v>
      </c>
      <c r="E705" s="1">
        <v>8.3199996948242205</v>
      </c>
      <c r="F705" s="1">
        <v>0</v>
      </c>
      <c r="G705" s="1">
        <v>3.1300001144409202</v>
      </c>
      <c r="H705" s="1">
        <v>0.56999999284744296</v>
      </c>
      <c r="I705" s="1">
        <v>4.5700001716613796</v>
      </c>
      <c r="J705" s="1">
        <v>0</v>
      </c>
      <c r="K705">
        <v>36</v>
      </c>
      <c r="L705">
        <v>12</v>
      </c>
      <c r="M705">
        <v>166</v>
      </c>
      <c r="N705">
        <v>1226</v>
      </c>
      <c r="O705">
        <v>2786</v>
      </c>
      <c r="P705" t="str">
        <f t="shared" si="40"/>
        <v>Tuesday</v>
      </c>
      <c r="Q705">
        <f t="shared" si="41"/>
        <v>1440</v>
      </c>
      <c r="R705" t="str">
        <f t="shared" si="42"/>
        <v>Weekday</v>
      </c>
      <c r="S705" t="str">
        <f t="shared" si="43"/>
        <v>Very_Active</v>
      </c>
    </row>
    <row r="706" spans="1:19" x14ac:dyDescent="0.25">
      <c r="A706">
        <v>2022484408</v>
      </c>
      <c r="B706" s="4">
        <v>42486</v>
      </c>
      <c r="C706">
        <v>10119</v>
      </c>
      <c r="D706" s="1">
        <v>7.1900000572204599</v>
      </c>
      <c r="E706" s="1">
        <v>7.1900000572204599</v>
      </c>
      <c r="F706" s="1">
        <v>0</v>
      </c>
      <c r="G706" s="1">
        <v>1.4299999475479099</v>
      </c>
      <c r="H706" s="1">
        <v>0.66000002622604403</v>
      </c>
      <c r="I706" s="1">
        <v>5.1100001335143999</v>
      </c>
      <c r="J706" s="1">
        <v>0</v>
      </c>
      <c r="K706">
        <v>55</v>
      </c>
      <c r="L706">
        <v>24</v>
      </c>
      <c r="M706">
        <v>275</v>
      </c>
      <c r="N706">
        <v>1086</v>
      </c>
      <c r="O706">
        <v>2793</v>
      </c>
      <c r="P706" t="str">
        <f t="shared" ref="P706:P769" si="44">TEXT(B706,"dddd")</f>
        <v>Tuesday</v>
      </c>
      <c r="Q706">
        <f t="shared" ref="Q706:Q769" si="45">SUM(K706:N706)</f>
        <v>1440</v>
      </c>
      <c r="R706" t="str">
        <f t="shared" ref="R706:R769" si="46">IF(WEEKDAY(B706,2)&lt;=5,"Weekday","Weekend")</f>
        <v>Weekday</v>
      </c>
      <c r="S706" t="str">
        <f t="shared" ref="S706:S769" si="47">IF(C706&lt;5000,"Sedentary",IF(C706&lt;7500,"Lightly Active",IF(C706&lt;10000,"Fairly Active","Very_Active")))</f>
        <v>Very_Active</v>
      </c>
    </row>
    <row r="707" spans="1:19" x14ac:dyDescent="0.25">
      <c r="A707">
        <v>8053475328</v>
      </c>
      <c r="B707" s="4">
        <v>42489</v>
      </c>
      <c r="C707">
        <v>12315</v>
      </c>
      <c r="D707" s="1">
        <v>9.6499996185302699</v>
      </c>
      <c r="E707" s="1">
        <v>9.6499996185302699</v>
      </c>
      <c r="F707" s="1">
        <v>0</v>
      </c>
      <c r="G707" s="1">
        <v>6.1700000762939498</v>
      </c>
      <c r="H707" s="1">
        <v>0.31000000238418601</v>
      </c>
      <c r="I707" s="1">
        <v>3.1700000762939502</v>
      </c>
      <c r="J707" s="1">
        <v>0</v>
      </c>
      <c r="K707">
        <v>58</v>
      </c>
      <c r="L707">
        <v>8</v>
      </c>
      <c r="M707">
        <v>159</v>
      </c>
      <c r="N707">
        <v>1215</v>
      </c>
      <c r="O707">
        <v>2794</v>
      </c>
      <c r="P707" t="str">
        <f t="shared" si="44"/>
        <v>Friday</v>
      </c>
      <c r="Q707">
        <f t="shared" si="45"/>
        <v>1440</v>
      </c>
      <c r="R707" t="str">
        <f t="shared" si="46"/>
        <v>Weekday</v>
      </c>
      <c r="S707" t="str">
        <f t="shared" si="47"/>
        <v>Very_Active</v>
      </c>
    </row>
    <row r="708" spans="1:19" x14ac:dyDescent="0.25">
      <c r="A708">
        <v>6290855005</v>
      </c>
      <c r="B708" s="4">
        <v>42482</v>
      </c>
      <c r="C708">
        <v>6238</v>
      </c>
      <c r="D708" s="1">
        <v>4.7199997901916504</v>
      </c>
      <c r="E708" s="1">
        <v>4.7199997901916504</v>
      </c>
      <c r="F708" s="1">
        <v>0</v>
      </c>
      <c r="G708" s="1">
        <v>0</v>
      </c>
      <c r="H708" s="1">
        <v>0</v>
      </c>
      <c r="I708" s="1">
        <v>4.7199997901916504</v>
      </c>
      <c r="J708" s="1">
        <v>0</v>
      </c>
      <c r="K708">
        <v>0</v>
      </c>
      <c r="L708">
        <v>0</v>
      </c>
      <c r="M708">
        <v>302</v>
      </c>
      <c r="N708">
        <v>1138</v>
      </c>
      <c r="O708">
        <v>2796</v>
      </c>
      <c r="P708" t="str">
        <f t="shared" si="44"/>
        <v>Friday</v>
      </c>
      <c r="Q708">
        <f t="shared" si="45"/>
        <v>1440</v>
      </c>
      <c r="R708" t="str">
        <f t="shared" si="46"/>
        <v>Weekday</v>
      </c>
      <c r="S708" t="str">
        <f t="shared" si="47"/>
        <v>Lightly Active</v>
      </c>
    </row>
    <row r="709" spans="1:19" x14ac:dyDescent="0.25">
      <c r="A709">
        <v>2022484408</v>
      </c>
      <c r="B709" s="4">
        <v>42648</v>
      </c>
      <c r="C709">
        <v>12798</v>
      </c>
      <c r="D709" s="1">
        <v>8.9799995422363299</v>
      </c>
      <c r="E709" s="1">
        <v>8.9799995422363299</v>
      </c>
      <c r="F709" s="1">
        <v>0</v>
      </c>
      <c r="G709" s="1">
        <v>2.2200000286102299</v>
      </c>
      <c r="H709" s="1">
        <v>1.21000003814697</v>
      </c>
      <c r="I709" s="1">
        <v>5.5599999427795401</v>
      </c>
      <c r="J709" s="1">
        <v>0</v>
      </c>
      <c r="K709">
        <v>57</v>
      </c>
      <c r="L709">
        <v>28</v>
      </c>
      <c r="M709">
        <v>271</v>
      </c>
      <c r="N709">
        <v>1084</v>
      </c>
      <c r="O709">
        <v>2797</v>
      </c>
      <c r="P709" t="str">
        <f t="shared" si="44"/>
        <v>Wednesday</v>
      </c>
      <c r="Q709">
        <f t="shared" si="45"/>
        <v>1440</v>
      </c>
      <c r="R709" t="str">
        <f t="shared" si="46"/>
        <v>Weekday</v>
      </c>
      <c r="S709" t="str">
        <f t="shared" si="47"/>
        <v>Very_Active</v>
      </c>
    </row>
    <row r="710" spans="1:19" x14ac:dyDescent="0.25">
      <c r="A710">
        <v>6775888955</v>
      </c>
      <c r="B710" s="4">
        <v>42478</v>
      </c>
      <c r="C710">
        <v>8294</v>
      </c>
      <c r="D710" s="1">
        <v>5.9499998092651403</v>
      </c>
      <c r="E710" s="1">
        <v>5.9499998092651403</v>
      </c>
      <c r="F710" s="1">
        <v>0</v>
      </c>
      <c r="G710" s="1">
        <v>2</v>
      </c>
      <c r="H710" s="1">
        <v>0.769999980926514</v>
      </c>
      <c r="I710" s="1">
        <v>3.1700000762939502</v>
      </c>
      <c r="J710" s="1">
        <v>0</v>
      </c>
      <c r="K710">
        <v>30</v>
      </c>
      <c r="L710">
        <v>31</v>
      </c>
      <c r="M710">
        <v>146</v>
      </c>
      <c r="N710">
        <v>1233</v>
      </c>
      <c r="O710">
        <v>2798</v>
      </c>
      <c r="P710" t="str">
        <f t="shared" si="44"/>
        <v>Monday</v>
      </c>
      <c r="Q710">
        <f t="shared" si="45"/>
        <v>1440</v>
      </c>
      <c r="R710" t="str">
        <f t="shared" si="46"/>
        <v>Weekday</v>
      </c>
      <c r="S710" t="str">
        <f t="shared" si="47"/>
        <v>Fairly Active</v>
      </c>
    </row>
    <row r="711" spans="1:19" x14ac:dyDescent="0.25">
      <c r="A711">
        <v>8378563200</v>
      </c>
      <c r="B711" s="4">
        <v>42556</v>
      </c>
      <c r="C711">
        <v>4468</v>
      </c>
      <c r="D711" s="1">
        <v>3.53999996185303</v>
      </c>
      <c r="E711" s="1">
        <v>3.53999996185303</v>
      </c>
      <c r="F711" s="1">
        <v>0</v>
      </c>
      <c r="G711" s="1">
        <v>0</v>
      </c>
      <c r="H711" s="1">
        <v>0</v>
      </c>
      <c r="I711" s="1">
        <v>3.53999996185303</v>
      </c>
      <c r="J711" s="1">
        <v>0</v>
      </c>
      <c r="K711">
        <v>0</v>
      </c>
      <c r="L711">
        <v>0</v>
      </c>
      <c r="M711">
        <v>158</v>
      </c>
      <c r="N711">
        <v>851</v>
      </c>
      <c r="O711">
        <v>2799</v>
      </c>
      <c r="P711" t="str">
        <f t="shared" si="44"/>
        <v>Tuesday</v>
      </c>
      <c r="Q711">
        <f t="shared" si="45"/>
        <v>1009</v>
      </c>
      <c r="R711" t="str">
        <f t="shared" si="46"/>
        <v>Weekday</v>
      </c>
      <c r="S711" t="str">
        <f t="shared" si="47"/>
        <v>Sedentary</v>
      </c>
    </row>
    <row r="712" spans="1:19" x14ac:dyDescent="0.25">
      <c r="A712">
        <v>1644430081</v>
      </c>
      <c r="B712" s="4">
        <v>42648</v>
      </c>
      <c r="C712">
        <v>9167</v>
      </c>
      <c r="D712" s="1">
        <v>6.6599998474121103</v>
      </c>
      <c r="E712" s="1">
        <v>6.6599998474121103</v>
      </c>
      <c r="F712" s="1">
        <v>0</v>
      </c>
      <c r="G712" s="1">
        <v>0.87999999523162797</v>
      </c>
      <c r="H712" s="1">
        <v>0.81000000238418601</v>
      </c>
      <c r="I712" s="1">
        <v>4.9699997901916504</v>
      </c>
      <c r="J712" s="1">
        <v>9.9999997764825804E-3</v>
      </c>
      <c r="K712">
        <v>12</v>
      </c>
      <c r="L712">
        <v>19</v>
      </c>
      <c r="M712">
        <v>155</v>
      </c>
      <c r="N712">
        <v>1254</v>
      </c>
      <c r="O712">
        <v>2799</v>
      </c>
      <c r="P712" t="str">
        <f t="shared" si="44"/>
        <v>Wednesday</v>
      </c>
      <c r="Q712">
        <f t="shared" si="45"/>
        <v>1440</v>
      </c>
      <c r="R712" t="str">
        <f t="shared" si="46"/>
        <v>Weekday</v>
      </c>
      <c r="S712" t="str">
        <f t="shared" si="47"/>
        <v>Fairly Active</v>
      </c>
    </row>
    <row r="713" spans="1:19" x14ac:dyDescent="0.25">
      <c r="A713">
        <v>7086361926</v>
      </c>
      <c r="B713" s="4">
        <v>42648</v>
      </c>
      <c r="C713">
        <v>14433</v>
      </c>
      <c r="D713" s="1">
        <v>10.789999961853001</v>
      </c>
      <c r="E713" s="1">
        <v>10.789999961853001</v>
      </c>
      <c r="F713" s="1">
        <v>0</v>
      </c>
      <c r="G713" s="1">
        <v>7.1100001335143999</v>
      </c>
      <c r="H713" s="1">
        <v>1.20000004768372</v>
      </c>
      <c r="I713" s="1">
        <v>2.4500000476837198</v>
      </c>
      <c r="J713" s="1">
        <v>0</v>
      </c>
      <c r="K713">
        <v>72</v>
      </c>
      <c r="L713">
        <v>23</v>
      </c>
      <c r="M713">
        <v>106</v>
      </c>
      <c r="N713">
        <v>1182</v>
      </c>
      <c r="O713">
        <v>2800</v>
      </c>
      <c r="P713" t="str">
        <f t="shared" si="44"/>
        <v>Wednesday</v>
      </c>
      <c r="Q713">
        <f t="shared" si="45"/>
        <v>1383</v>
      </c>
      <c r="R713" t="str">
        <f t="shared" si="46"/>
        <v>Weekday</v>
      </c>
      <c r="S713" t="str">
        <f t="shared" si="47"/>
        <v>Very_Active</v>
      </c>
    </row>
    <row r="714" spans="1:19" x14ac:dyDescent="0.25">
      <c r="A714">
        <v>8583815059</v>
      </c>
      <c r="B714" s="4">
        <v>42679</v>
      </c>
      <c r="C714">
        <v>8701</v>
      </c>
      <c r="D714" s="1">
        <v>6.78999996185303</v>
      </c>
      <c r="E714" s="1">
        <v>6.78999996185303</v>
      </c>
      <c r="F714" s="1">
        <v>0</v>
      </c>
      <c r="G714" s="1">
        <v>0.37000000476837203</v>
      </c>
      <c r="H714" s="1">
        <v>3.2400000095367401</v>
      </c>
      <c r="I714" s="1">
        <v>3.1700000762939502</v>
      </c>
      <c r="J714" s="1">
        <v>0</v>
      </c>
      <c r="K714">
        <v>5</v>
      </c>
      <c r="L714">
        <v>71</v>
      </c>
      <c r="M714">
        <v>177</v>
      </c>
      <c r="N714">
        <v>1106</v>
      </c>
      <c r="O714">
        <v>2804</v>
      </c>
      <c r="P714" t="str">
        <f t="shared" si="44"/>
        <v>Saturday</v>
      </c>
      <c r="Q714">
        <f t="shared" si="45"/>
        <v>1359</v>
      </c>
      <c r="R714" t="str">
        <f t="shared" si="46"/>
        <v>Weekend</v>
      </c>
      <c r="S714" t="str">
        <f t="shared" si="47"/>
        <v>Fairly Active</v>
      </c>
    </row>
    <row r="715" spans="1:19" x14ac:dyDescent="0.25">
      <c r="A715">
        <v>6290855005</v>
      </c>
      <c r="B715" s="4">
        <v>42526</v>
      </c>
      <c r="C715">
        <v>6116</v>
      </c>
      <c r="D715" s="1">
        <v>4.6199998855590803</v>
      </c>
      <c r="E715" s="1">
        <v>4.6199998855590803</v>
      </c>
      <c r="F715" s="1">
        <v>0</v>
      </c>
      <c r="G715" s="1">
        <v>0</v>
      </c>
      <c r="H715" s="1">
        <v>0</v>
      </c>
      <c r="I715" s="1">
        <v>4.5900001525878897</v>
      </c>
      <c r="J715" s="1">
        <v>2.9999999329447701E-2</v>
      </c>
      <c r="K715">
        <v>0</v>
      </c>
      <c r="L715">
        <v>0</v>
      </c>
      <c r="M715">
        <v>305</v>
      </c>
      <c r="N715">
        <v>1135</v>
      </c>
      <c r="O715">
        <v>2806</v>
      </c>
      <c r="P715" t="str">
        <f t="shared" si="44"/>
        <v>Sunday</v>
      </c>
      <c r="Q715">
        <f t="shared" si="45"/>
        <v>1440</v>
      </c>
      <c r="R715" t="str">
        <f t="shared" si="46"/>
        <v>Weekend</v>
      </c>
      <c r="S715" t="str">
        <f t="shared" si="47"/>
        <v>Lightly Active</v>
      </c>
    </row>
    <row r="716" spans="1:19" x14ac:dyDescent="0.25">
      <c r="A716">
        <v>1644430081</v>
      </c>
      <c r="B716" s="4">
        <v>42478</v>
      </c>
      <c r="C716">
        <v>7132</v>
      </c>
      <c r="D716" s="1">
        <v>5.1900000572204599</v>
      </c>
      <c r="E716" s="1">
        <v>5.1900000572204599</v>
      </c>
      <c r="F716" s="1">
        <v>0</v>
      </c>
      <c r="G716" s="1">
        <v>1.0700000524520901</v>
      </c>
      <c r="H716" s="1">
        <v>1.66999995708466</v>
      </c>
      <c r="I716" s="1">
        <v>2.4500000476837198</v>
      </c>
      <c r="J716" s="1">
        <v>0</v>
      </c>
      <c r="K716">
        <v>15</v>
      </c>
      <c r="L716">
        <v>33</v>
      </c>
      <c r="M716">
        <v>121</v>
      </c>
      <c r="N716">
        <v>1271</v>
      </c>
      <c r="O716">
        <v>2806</v>
      </c>
      <c r="P716" t="str">
        <f t="shared" si="44"/>
        <v>Monday</v>
      </c>
      <c r="Q716">
        <f t="shared" si="45"/>
        <v>1440</v>
      </c>
      <c r="R716" t="str">
        <f t="shared" si="46"/>
        <v>Weekday</v>
      </c>
      <c r="S716" t="str">
        <f t="shared" si="47"/>
        <v>Lightly Active</v>
      </c>
    </row>
    <row r="717" spans="1:19" x14ac:dyDescent="0.25">
      <c r="A717">
        <v>8053475328</v>
      </c>
      <c r="B717" s="4">
        <v>42679</v>
      </c>
      <c r="C717">
        <v>12209</v>
      </c>
      <c r="D717" s="1">
        <v>9.3999996185302699</v>
      </c>
      <c r="E717" s="1">
        <v>9.3999996185302699</v>
      </c>
      <c r="F717" s="1">
        <v>0</v>
      </c>
      <c r="G717" s="1">
        <v>6.0799999237060502</v>
      </c>
      <c r="H717" s="1">
        <v>0.28000000119209301</v>
      </c>
      <c r="I717" s="1">
        <v>3.03999996185303</v>
      </c>
      <c r="J717" s="1">
        <v>0</v>
      </c>
      <c r="K717">
        <v>60</v>
      </c>
      <c r="L717">
        <v>7</v>
      </c>
      <c r="M717">
        <v>184</v>
      </c>
      <c r="N717">
        <v>1189</v>
      </c>
      <c r="O717">
        <v>2809</v>
      </c>
      <c r="P717" t="str">
        <f t="shared" si="44"/>
        <v>Saturday</v>
      </c>
      <c r="Q717">
        <f t="shared" si="45"/>
        <v>1440</v>
      </c>
      <c r="R717" t="str">
        <f t="shared" si="46"/>
        <v>Weekend</v>
      </c>
      <c r="S717" t="str">
        <f t="shared" si="47"/>
        <v>Very_Active</v>
      </c>
    </row>
    <row r="718" spans="1:19" x14ac:dyDescent="0.25">
      <c r="A718">
        <v>8583815059</v>
      </c>
      <c r="B718" s="4">
        <v>42556</v>
      </c>
      <c r="C718">
        <v>6117</v>
      </c>
      <c r="D718" s="1">
        <v>4.7699999809265101</v>
      </c>
      <c r="E718" s="1">
        <v>4.7699999809265101</v>
      </c>
      <c r="F718" s="1">
        <v>0</v>
      </c>
      <c r="G718" s="1">
        <v>0</v>
      </c>
      <c r="H718" s="1">
        <v>0</v>
      </c>
      <c r="I718" s="1">
        <v>4.7699999809265101</v>
      </c>
      <c r="J718" s="1">
        <v>0</v>
      </c>
      <c r="K718">
        <v>0</v>
      </c>
      <c r="L718">
        <v>0</v>
      </c>
      <c r="M718">
        <v>250</v>
      </c>
      <c r="N718">
        <v>1190</v>
      </c>
      <c r="O718">
        <v>2810</v>
      </c>
      <c r="P718" t="str">
        <f t="shared" si="44"/>
        <v>Tuesday</v>
      </c>
      <c r="Q718">
        <f t="shared" si="45"/>
        <v>1440</v>
      </c>
      <c r="R718" t="str">
        <f t="shared" si="46"/>
        <v>Weekday</v>
      </c>
      <c r="S718" t="str">
        <f t="shared" si="47"/>
        <v>Lightly Active</v>
      </c>
    </row>
    <row r="719" spans="1:19" x14ac:dyDescent="0.25">
      <c r="A719">
        <v>4702921684</v>
      </c>
      <c r="B719" s="4">
        <v>42479</v>
      </c>
      <c r="C719">
        <v>6708</v>
      </c>
      <c r="D719" s="1">
        <v>5.4400000572204599</v>
      </c>
      <c r="E719" s="1">
        <v>5.4400000572204599</v>
      </c>
      <c r="F719" s="1">
        <v>0</v>
      </c>
      <c r="G719" s="1">
        <v>0.87999999523162797</v>
      </c>
      <c r="H719" s="1">
        <v>0.37000000476837203</v>
      </c>
      <c r="I719" s="1">
        <v>4.1900000572204599</v>
      </c>
      <c r="J719" s="1">
        <v>0</v>
      </c>
      <c r="K719">
        <v>10</v>
      </c>
      <c r="L719">
        <v>8</v>
      </c>
      <c r="M719">
        <v>179</v>
      </c>
      <c r="N719">
        <v>757</v>
      </c>
      <c r="O719">
        <v>2812</v>
      </c>
      <c r="P719" t="str">
        <f t="shared" si="44"/>
        <v>Tuesday</v>
      </c>
      <c r="Q719">
        <f t="shared" si="45"/>
        <v>954</v>
      </c>
      <c r="R719" t="str">
        <f t="shared" si="46"/>
        <v>Weekday</v>
      </c>
      <c r="S719" t="str">
        <f t="shared" si="47"/>
        <v>Lightly Active</v>
      </c>
    </row>
    <row r="720" spans="1:19" x14ac:dyDescent="0.25">
      <c r="A720">
        <v>7007744171</v>
      </c>
      <c r="B720" s="4">
        <v>42479</v>
      </c>
      <c r="C720">
        <v>14194</v>
      </c>
      <c r="D720" s="1">
        <v>10.4799995422363</v>
      </c>
      <c r="E720" s="1">
        <v>9.5</v>
      </c>
      <c r="F720" s="1">
        <v>4.9421420097351101</v>
      </c>
      <c r="G720" s="1">
        <v>4.4099998474121103</v>
      </c>
      <c r="H720" s="1">
        <v>0.75999999046325695</v>
      </c>
      <c r="I720" s="1">
        <v>5.3099999427795401</v>
      </c>
      <c r="J720" s="1">
        <v>0</v>
      </c>
      <c r="K720">
        <v>53</v>
      </c>
      <c r="L720">
        <v>17</v>
      </c>
      <c r="M720">
        <v>304</v>
      </c>
      <c r="N720">
        <v>1066</v>
      </c>
      <c r="O720">
        <v>2812</v>
      </c>
      <c r="P720" t="str">
        <f t="shared" si="44"/>
        <v>Tuesday</v>
      </c>
      <c r="Q720">
        <f t="shared" si="45"/>
        <v>1440</v>
      </c>
      <c r="R720" t="str">
        <f t="shared" si="46"/>
        <v>Weekday</v>
      </c>
      <c r="S720" t="str">
        <f t="shared" si="47"/>
        <v>Very_Active</v>
      </c>
    </row>
    <row r="721" spans="1:19" x14ac:dyDescent="0.25">
      <c r="A721">
        <v>8877689391</v>
      </c>
      <c r="B721" s="4">
        <v>42434</v>
      </c>
      <c r="C721">
        <v>10818</v>
      </c>
      <c r="D721" s="1">
        <v>8.2100000381469709</v>
      </c>
      <c r="E721" s="1">
        <v>8.2100000381469709</v>
      </c>
      <c r="F721" s="1">
        <v>0</v>
      </c>
      <c r="G721" s="1">
        <v>1.3899999856948899</v>
      </c>
      <c r="H721" s="1">
        <v>0.10000000149011599</v>
      </c>
      <c r="I721" s="1">
        <v>6.6700000762939498</v>
      </c>
      <c r="J721" s="1">
        <v>9.9999997764825804E-3</v>
      </c>
      <c r="K721">
        <v>19</v>
      </c>
      <c r="L721">
        <v>3</v>
      </c>
      <c r="M721">
        <v>229</v>
      </c>
      <c r="N721">
        <v>1189</v>
      </c>
      <c r="O721">
        <v>2817</v>
      </c>
      <c r="P721" t="str">
        <f t="shared" si="44"/>
        <v>Saturday</v>
      </c>
      <c r="Q721">
        <f t="shared" si="45"/>
        <v>1440</v>
      </c>
      <c r="R721" t="str">
        <f t="shared" si="46"/>
        <v>Weekend</v>
      </c>
      <c r="S721" t="str">
        <f t="shared" si="47"/>
        <v>Very_Active</v>
      </c>
    </row>
    <row r="722" spans="1:19" x14ac:dyDescent="0.25">
      <c r="A722">
        <v>4020332650</v>
      </c>
      <c r="B722" s="4">
        <v>42434</v>
      </c>
      <c r="C722">
        <v>4496</v>
      </c>
      <c r="D722" s="1">
        <v>3.2200000286102299</v>
      </c>
      <c r="E722" s="1">
        <v>3.2200000286102299</v>
      </c>
      <c r="F722" s="1">
        <v>0</v>
      </c>
      <c r="G722" s="1">
        <v>0</v>
      </c>
      <c r="H722" s="1">
        <v>0</v>
      </c>
      <c r="I722" s="1">
        <v>3.1500000953674299</v>
      </c>
      <c r="J722" s="1">
        <v>5.0000000745058101E-2</v>
      </c>
      <c r="K722">
        <v>0</v>
      </c>
      <c r="L722">
        <v>0</v>
      </c>
      <c r="M722">
        <v>174</v>
      </c>
      <c r="N722">
        <v>950</v>
      </c>
      <c r="O722">
        <v>2828</v>
      </c>
      <c r="P722" t="str">
        <f t="shared" si="44"/>
        <v>Saturday</v>
      </c>
      <c r="Q722">
        <f t="shared" si="45"/>
        <v>1124</v>
      </c>
      <c r="R722" t="str">
        <f t="shared" si="46"/>
        <v>Weekend</v>
      </c>
      <c r="S722" t="str">
        <f t="shared" si="47"/>
        <v>Sedentary</v>
      </c>
    </row>
    <row r="723" spans="1:19" x14ac:dyDescent="0.25">
      <c r="A723">
        <v>6117666160</v>
      </c>
      <c r="B723" s="4">
        <v>42476</v>
      </c>
      <c r="C723">
        <v>14450</v>
      </c>
      <c r="D723" s="1">
        <v>10.9099998474121</v>
      </c>
      <c r="E723" s="1">
        <v>10.9099998474121</v>
      </c>
      <c r="F723" s="1">
        <v>0</v>
      </c>
      <c r="G723" s="1">
        <v>0.57999998331069902</v>
      </c>
      <c r="H723" s="1">
        <v>0.85000002384185802</v>
      </c>
      <c r="I723" s="1">
        <v>9.4799995422363299</v>
      </c>
      <c r="J723" s="1">
        <v>0</v>
      </c>
      <c r="K723">
        <v>7</v>
      </c>
      <c r="L723">
        <v>15</v>
      </c>
      <c r="M723">
        <v>518</v>
      </c>
      <c r="N723">
        <v>502</v>
      </c>
      <c r="O723">
        <v>2828</v>
      </c>
      <c r="P723" t="str">
        <f t="shared" si="44"/>
        <v>Saturday</v>
      </c>
      <c r="Q723">
        <f t="shared" si="45"/>
        <v>1042</v>
      </c>
      <c r="R723" t="str">
        <f t="shared" si="46"/>
        <v>Weekend</v>
      </c>
      <c r="S723" t="str">
        <f t="shared" si="47"/>
        <v>Very_Active</v>
      </c>
    </row>
    <row r="724" spans="1:19" x14ac:dyDescent="0.25">
      <c r="A724">
        <v>7007744171</v>
      </c>
      <c r="B724" s="4">
        <v>42487</v>
      </c>
      <c r="C724">
        <v>13541</v>
      </c>
      <c r="D724" s="1">
        <v>10.2200002670288</v>
      </c>
      <c r="E724" s="1">
        <v>9.0600004196166992</v>
      </c>
      <c r="F724" s="1">
        <v>4.8856048583984402</v>
      </c>
      <c r="G724" s="1">
        <v>4.2699999809265101</v>
      </c>
      <c r="H724" s="1">
        <v>0.66000002622604403</v>
      </c>
      <c r="I724" s="1">
        <v>5.28999996185303</v>
      </c>
      <c r="J724" s="1">
        <v>0</v>
      </c>
      <c r="K724">
        <v>50</v>
      </c>
      <c r="L724">
        <v>12</v>
      </c>
      <c r="M724">
        <v>337</v>
      </c>
      <c r="N724">
        <v>1041</v>
      </c>
      <c r="O724">
        <v>2830</v>
      </c>
      <c r="P724" t="str">
        <f t="shared" si="44"/>
        <v>Wednesday</v>
      </c>
      <c r="Q724">
        <f t="shared" si="45"/>
        <v>1440</v>
      </c>
      <c r="R724" t="str">
        <f t="shared" si="46"/>
        <v>Weekday</v>
      </c>
      <c r="S724" t="str">
        <f t="shared" si="47"/>
        <v>Very_Active</v>
      </c>
    </row>
    <row r="725" spans="1:19" x14ac:dyDescent="0.25">
      <c r="A725">
        <v>8877689391</v>
      </c>
      <c r="B725" s="4">
        <v>42648</v>
      </c>
      <c r="C725">
        <v>10733</v>
      </c>
      <c r="D725" s="1">
        <v>8.1499996185302699</v>
      </c>
      <c r="E725" s="1">
        <v>8.1499996185302699</v>
      </c>
      <c r="F725" s="1">
        <v>0</v>
      </c>
      <c r="G725" s="1">
        <v>1.3500000238418599</v>
      </c>
      <c r="H725" s="1">
        <v>0.46000000834464999</v>
      </c>
      <c r="I725" s="1">
        <v>6.2800002098083496</v>
      </c>
      <c r="J725" s="1">
        <v>0</v>
      </c>
      <c r="K725">
        <v>18</v>
      </c>
      <c r="L725">
        <v>11</v>
      </c>
      <c r="M725">
        <v>224</v>
      </c>
      <c r="N725">
        <v>1187</v>
      </c>
      <c r="O725">
        <v>2832</v>
      </c>
      <c r="P725" t="str">
        <f t="shared" si="44"/>
        <v>Wednesday</v>
      </c>
      <c r="Q725">
        <f t="shared" si="45"/>
        <v>1440</v>
      </c>
      <c r="R725" t="str">
        <f t="shared" si="46"/>
        <v>Weekday</v>
      </c>
      <c r="S725" t="str">
        <f t="shared" si="47"/>
        <v>Very_Active</v>
      </c>
    </row>
    <row r="726" spans="1:19" x14ac:dyDescent="0.25">
      <c r="A726">
        <v>7007744171</v>
      </c>
      <c r="B726" s="4">
        <v>42478</v>
      </c>
      <c r="C726">
        <v>14816</v>
      </c>
      <c r="D726" s="1">
        <v>10.9799995422363</v>
      </c>
      <c r="E726" s="1">
        <v>9.9099998474121094</v>
      </c>
      <c r="F726" s="1">
        <v>4.9305500984191903</v>
      </c>
      <c r="G726" s="1">
        <v>3.78999996185303</v>
      </c>
      <c r="H726" s="1">
        <v>2.1199998855590798</v>
      </c>
      <c r="I726" s="1">
        <v>5.0500001907348597</v>
      </c>
      <c r="J726" s="1">
        <v>1.9999999552965199E-2</v>
      </c>
      <c r="K726">
        <v>48</v>
      </c>
      <c r="L726">
        <v>31</v>
      </c>
      <c r="M726">
        <v>284</v>
      </c>
      <c r="N726">
        <v>1077</v>
      </c>
      <c r="O726">
        <v>2832</v>
      </c>
      <c r="P726" t="str">
        <f t="shared" si="44"/>
        <v>Monday</v>
      </c>
      <c r="Q726">
        <f t="shared" si="45"/>
        <v>1440</v>
      </c>
      <c r="R726" t="str">
        <f t="shared" si="46"/>
        <v>Weekday</v>
      </c>
      <c r="S726" t="str">
        <f t="shared" si="47"/>
        <v>Very_Active</v>
      </c>
    </row>
    <row r="727" spans="1:19" x14ac:dyDescent="0.25">
      <c r="A727">
        <v>7007744171</v>
      </c>
      <c r="B727" s="4">
        <v>42488</v>
      </c>
      <c r="C727">
        <v>15128</v>
      </c>
      <c r="D727" s="1">
        <v>10.1199998855591</v>
      </c>
      <c r="E727" s="1">
        <v>10.1199998855591</v>
      </c>
      <c r="F727" s="1">
        <v>0</v>
      </c>
      <c r="G727" s="1">
        <v>1.0900000333786</v>
      </c>
      <c r="H727" s="1">
        <v>0.769999980926514</v>
      </c>
      <c r="I727" s="1">
        <v>8.2600002288818395</v>
      </c>
      <c r="J727" s="1">
        <v>0</v>
      </c>
      <c r="K727">
        <v>16</v>
      </c>
      <c r="L727">
        <v>16</v>
      </c>
      <c r="M727">
        <v>401</v>
      </c>
      <c r="N727">
        <v>1007</v>
      </c>
      <c r="O727">
        <v>2836</v>
      </c>
      <c r="P727" t="str">
        <f t="shared" si="44"/>
        <v>Thursday</v>
      </c>
      <c r="Q727">
        <f t="shared" si="45"/>
        <v>1440</v>
      </c>
      <c r="R727" t="str">
        <f t="shared" si="46"/>
        <v>Weekday</v>
      </c>
      <c r="S727" t="str">
        <f t="shared" si="47"/>
        <v>Very_Active</v>
      </c>
    </row>
    <row r="728" spans="1:19" x14ac:dyDescent="0.25">
      <c r="A728">
        <v>6290855005</v>
      </c>
      <c r="B728" s="4">
        <v>42479</v>
      </c>
      <c r="C728">
        <v>7142</v>
      </c>
      <c r="D728" s="1">
        <v>5.4000000953674299</v>
      </c>
      <c r="E728" s="1">
        <v>5.4000000953674299</v>
      </c>
      <c r="F728" s="1">
        <v>0</v>
      </c>
      <c r="G728" s="1">
        <v>0</v>
      </c>
      <c r="H728" s="1">
        <v>0</v>
      </c>
      <c r="I728" s="1">
        <v>5.3899998664856001</v>
      </c>
      <c r="J728" s="1">
        <v>9.9999997764825804E-3</v>
      </c>
      <c r="K728">
        <v>0</v>
      </c>
      <c r="L728">
        <v>0</v>
      </c>
      <c r="M728">
        <v>321</v>
      </c>
      <c r="N728">
        <v>1119</v>
      </c>
      <c r="O728">
        <v>2839</v>
      </c>
      <c r="P728" t="str">
        <f t="shared" si="44"/>
        <v>Tuesday</v>
      </c>
      <c r="Q728">
        <f t="shared" si="45"/>
        <v>1440</v>
      </c>
      <c r="R728" t="str">
        <f t="shared" si="46"/>
        <v>Weekday</v>
      </c>
      <c r="S728" t="str">
        <f t="shared" si="47"/>
        <v>Lightly Active</v>
      </c>
    </row>
    <row r="729" spans="1:19" x14ac:dyDescent="0.25">
      <c r="A729">
        <v>6290855005</v>
      </c>
      <c r="B729" s="4">
        <v>42490</v>
      </c>
      <c r="C729">
        <v>6744</v>
      </c>
      <c r="D729" s="1">
        <v>5.0999999046325701</v>
      </c>
      <c r="E729" s="1">
        <v>5.0999999046325701</v>
      </c>
      <c r="F729" s="1">
        <v>0</v>
      </c>
      <c r="G729" s="1">
        <v>0</v>
      </c>
      <c r="H729" s="1">
        <v>0</v>
      </c>
      <c r="I729" s="1">
        <v>5.0900001525878897</v>
      </c>
      <c r="J729" s="1">
        <v>9.9999997764825804E-3</v>
      </c>
      <c r="K729">
        <v>0</v>
      </c>
      <c r="L729">
        <v>0</v>
      </c>
      <c r="M729">
        <v>324</v>
      </c>
      <c r="N729">
        <v>1116</v>
      </c>
      <c r="O729">
        <v>2843</v>
      </c>
      <c r="P729" t="str">
        <f t="shared" si="44"/>
        <v>Saturday</v>
      </c>
      <c r="Q729">
        <f t="shared" si="45"/>
        <v>1440</v>
      </c>
      <c r="R729" t="str">
        <f t="shared" si="46"/>
        <v>Weekend</v>
      </c>
      <c r="S729" t="str">
        <f t="shared" si="47"/>
        <v>Lightly Active</v>
      </c>
    </row>
    <row r="730" spans="1:19" x14ac:dyDescent="0.25">
      <c r="A730">
        <v>8583815059</v>
      </c>
      <c r="B730" s="4">
        <v>42648</v>
      </c>
      <c r="C730">
        <v>8240</v>
      </c>
      <c r="D730" s="1">
        <v>6.4299998283386204</v>
      </c>
      <c r="E730" s="1">
        <v>6.4299998283386204</v>
      </c>
      <c r="F730" s="1">
        <v>0</v>
      </c>
      <c r="G730" s="1">
        <v>0.68999999761581399</v>
      </c>
      <c r="H730" s="1">
        <v>2.0099999904632599</v>
      </c>
      <c r="I730" s="1">
        <v>3.7200000286102299</v>
      </c>
      <c r="J730" s="1">
        <v>0</v>
      </c>
      <c r="K730">
        <v>9</v>
      </c>
      <c r="L730">
        <v>43</v>
      </c>
      <c r="M730">
        <v>162</v>
      </c>
      <c r="N730">
        <v>1226</v>
      </c>
      <c r="O730">
        <v>2846</v>
      </c>
      <c r="P730" t="str">
        <f t="shared" si="44"/>
        <v>Wednesday</v>
      </c>
      <c r="Q730">
        <f t="shared" si="45"/>
        <v>1440</v>
      </c>
      <c r="R730" t="str">
        <f t="shared" si="46"/>
        <v>Weekday</v>
      </c>
      <c r="S730" t="str">
        <f t="shared" si="47"/>
        <v>Fairly Active</v>
      </c>
    </row>
    <row r="731" spans="1:19" x14ac:dyDescent="0.25">
      <c r="A731">
        <v>7086361926</v>
      </c>
      <c r="B731" s="4">
        <v>42482</v>
      </c>
      <c r="C731">
        <v>9753</v>
      </c>
      <c r="D731" s="1">
        <v>6.5300002098083496</v>
      </c>
      <c r="E731" s="1">
        <v>6.5300002098083496</v>
      </c>
      <c r="F731" s="1">
        <v>0</v>
      </c>
      <c r="G731" s="1">
        <v>2.8699998855590798</v>
      </c>
      <c r="H731" s="1">
        <v>0.97000002861022905</v>
      </c>
      <c r="I731" s="1">
        <v>2.6700000762939502</v>
      </c>
      <c r="J731" s="1">
        <v>0</v>
      </c>
      <c r="K731">
        <v>58</v>
      </c>
      <c r="L731">
        <v>59</v>
      </c>
      <c r="M731">
        <v>153</v>
      </c>
      <c r="N731">
        <v>762</v>
      </c>
      <c r="O731">
        <v>2846</v>
      </c>
      <c r="P731" t="str">
        <f t="shared" si="44"/>
        <v>Friday</v>
      </c>
      <c r="Q731">
        <f t="shared" si="45"/>
        <v>1032</v>
      </c>
      <c r="R731" t="str">
        <f t="shared" si="46"/>
        <v>Weekday</v>
      </c>
      <c r="S731" t="str">
        <f t="shared" si="47"/>
        <v>Fairly Active</v>
      </c>
    </row>
    <row r="732" spans="1:19" x14ac:dyDescent="0.25">
      <c r="A732">
        <v>8053475328</v>
      </c>
      <c r="B732" s="4">
        <v>42486</v>
      </c>
      <c r="C732">
        <v>12685</v>
      </c>
      <c r="D732" s="1">
        <v>9.6199998855590803</v>
      </c>
      <c r="E732" s="1">
        <v>9.6199998855590803</v>
      </c>
      <c r="F732" s="1">
        <v>0</v>
      </c>
      <c r="G732" s="1">
        <v>6.3099999427795401</v>
      </c>
      <c r="H732" s="1">
        <v>0.20000000298023199</v>
      </c>
      <c r="I732" s="1">
        <v>3.0999999046325701</v>
      </c>
      <c r="J732" s="1">
        <v>0</v>
      </c>
      <c r="K732">
        <v>68</v>
      </c>
      <c r="L732">
        <v>5</v>
      </c>
      <c r="M732">
        <v>185</v>
      </c>
      <c r="N732">
        <v>1182</v>
      </c>
      <c r="O732">
        <v>2846</v>
      </c>
      <c r="P732" t="str">
        <f t="shared" si="44"/>
        <v>Tuesday</v>
      </c>
      <c r="Q732">
        <f t="shared" si="45"/>
        <v>1440</v>
      </c>
      <c r="R732" t="str">
        <f t="shared" si="46"/>
        <v>Weekday</v>
      </c>
      <c r="S732" t="str">
        <f t="shared" si="47"/>
        <v>Very_Active</v>
      </c>
    </row>
    <row r="733" spans="1:19" x14ac:dyDescent="0.25">
      <c r="A733">
        <v>8877689391</v>
      </c>
      <c r="B733" s="4">
        <v>42587</v>
      </c>
      <c r="C733">
        <v>10686</v>
      </c>
      <c r="D733" s="1">
        <v>8.1099996566772496</v>
      </c>
      <c r="E733" s="1">
        <v>8.1099996566772496</v>
      </c>
      <c r="F733" s="1">
        <v>0</v>
      </c>
      <c r="G733" s="1">
        <v>1.08000004291534</v>
      </c>
      <c r="H733" s="1">
        <v>0.20000000298023199</v>
      </c>
      <c r="I733" s="1">
        <v>6.8000001907348597</v>
      </c>
      <c r="J733" s="1">
        <v>0</v>
      </c>
      <c r="K733">
        <v>17</v>
      </c>
      <c r="L733">
        <v>4</v>
      </c>
      <c r="M733">
        <v>245</v>
      </c>
      <c r="N733">
        <v>1174</v>
      </c>
      <c r="O733">
        <v>2847</v>
      </c>
      <c r="P733" t="str">
        <f t="shared" si="44"/>
        <v>Friday</v>
      </c>
      <c r="Q733">
        <f t="shared" si="45"/>
        <v>1440</v>
      </c>
      <c r="R733" t="str">
        <f t="shared" si="46"/>
        <v>Weekday</v>
      </c>
      <c r="S733" t="str">
        <f t="shared" si="47"/>
        <v>Very_Active</v>
      </c>
    </row>
    <row r="734" spans="1:19" x14ac:dyDescent="0.25">
      <c r="A734">
        <v>8053475328</v>
      </c>
      <c r="B734" s="4">
        <v>42487</v>
      </c>
      <c r="C734">
        <v>12422</v>
      </c>
      <c r="D734" s="1">
        <v>9.8199996948242205</v>
      </c>
      <c r="E734" s="1">
        <v>9.8199996948242205</v>
      </c>
      <c r="F734" s="1">
        <v>0</v>
      </c>
      <c r="G734" s="1">
        <v>6.46000003814697</v>
      </c>
      <c r="H734" s="1">
        <v>0.43000000715255698</v>
      </c>
      <c r="I734" s="1">
        <v>2.9300000667571999</v>
      </c>
      <c r="J734" s="1">
        <v>0</v>
      </c>
      <c r="K734">
        <v>60</v>
      </c>
      <c r="L734">
        <v>10</v>
      </c>
      <c r="M734">
        <v>183</v>
      </c>
      <c r="N734">
        <v>1187</v>
      </c>
      <c r="O734">
        <v>2852</v>
      </c>
      <c r="P734" t="str">
        <f t="shared" si="44"/>
        <v>Wednesday</v>
      </c>
      <c r="Q734">
        <f t="shared" si="45"/>
        <v>1440</v>
      </c>
      <c r="R734" t="str">
        <f t="shared" si="46"/>
        <v>Weekday</v>
      </c>
      <c r="S734" t="str">
        <f t="shared" si="47"/>
        <v>Very_Active</v>
      </c>
    </row>
    <row r="735" spans="1:19" x14ac:dyDescent="0.25">
      <c r="A735">
        <v>4702921684</v>
      </c>
      <c r="B735" s="4">
        <v>42526</v>
      </c>
      <c r="C735">
        <v>6943</v>
      </c>
      <c r="D735" s="1">
        <v>5.6300001144409197</v>
      </c>
      <c r="E735" s="1">
        <v>5.6300001144409197</v>
      </c>
      <c r="F735" s="1">
        <v>0</v>
      </c>
      <c r="G735" s="1">
        <v>7.9999998211860698E-2</v>
      </c>
      <c r="H735" s="1">
        <v>0.66000002622604403</v>
      </c>
      <c r="I735" s="1">
        <v>4.8699998855590803</v>
      </c>
      <c r="J735" s="1">
        <v>0</v>
      </c>
      <c r="K735">
        <v>1</v>
      </c>
      <c r="L735">
        <v>16</v>
      </c>
      <c r="M735">
        <v>207</v>
      </c>
      <c r="N735">
        <v>682</v>
      </c>
      <c r="O735">
        <v>2859</v>
      </c>
      <c r="P735" t="str">
        <f t="shared" si="44"/>
        <v>Sunday</v>
      </c>
      <c r="Q735">
        <f t="shared" si="45"/>
        <v>906</v>
      </c>
      <c r="R735" t="str">
        <f t="shared" si="46"/>
        <v>Weekend</v>
      </c>
      <c r="S735" t="str">
        <f t="shared" si="47"/>
        <v>Lightly Active</v>
      </c>
    </row>
    <row r="736" spans="1:19" x14ac:dyDescent="0.25">
      <c r="A736">
        <v>4702921684</v>
      </c>
      <c r="B736" s="4">
        <v>42405</v>
      </c>
      <c r="C736">
        <v>7245</v>
      </c>
      <c r="D736" s="1">
        <v>5.9200000762939498</v>
      </c>
      <c r="E736" s="1">
        <v>5.9200000762939498</v>
      </c>
      <c r="F736" s="1">
        <v>0</v>
      </c>
      <c r="G736" s="1">
        <v>0.37999999523162797</v>
      </c>
      <c r="H736" s="1">
        <v>1.7400000095367401</v>
      </c>
      <c r="I736" s="1">
        <v>3.7599999904632599</v>
      </c>
      <c r="J736" s="1">
        <v>0</v>
      </c>
      <c r="K736">
        <v>5</v>
      </c>
      <c r="L736">
        <v>40</v>
      </c>
      <c r="M736">
        <v>195</v>
      </c>
      <c r="N736">
        <v>1131</v>
      </c>
      <c r="O736">
        <v>2859</v>
      </c>
      <c r="P736" t="str">
        <f t="shared" si="44"/>
        <v>Friday</v>
      </c>
      <c r="Q736">
        <f t="shared" si="45"/>
        <v>1371</v>
      </c>
      <c r="R736" t="str">
        <f t="shared" si="46"/>
        <v>Weekday</v>
      </c>
      <c r="S736" t="str">
        <f t="shared" si="47"/>
        <v>Lightly Active</v>
      </c>
    </row>
    <row r="737" spans="1:19" x14ac:dyDescent="0.25">
      <c r="A737">
        <v>8053475328</v>
      </c>
      <c r="B737" s="4">
        <v>42526</v>
      </c>
      <c r="C737">
        <v>13953</v>
      </c>
      <c r="D737" s="1">
        <v>11</v>
      </c>
      <c r="E737" s="1">
        <v>11</v>
      </c>
      <c r="F737" s="1">
        <v>0</v>
      </c>
      <c r="G737" s="1">
        <v>9.1000003814697301</v>
      </c>
      <c r="H737" s="1">
        <v>0.68999999761581399</v>
      </c>
      <c r="I737" s="1">
        <v>1.21000003814697</v>
      </c>
      <c r="J737" s="1">
        <v>0</v>
      </c>
      <c r="K737">
        <v>90</v>
      </c>
      <c r="L737">
        <v>15</v>
      </c>
      <c r="M737">
        <v>90</v>
      </c>
      <c r="N737">
        <v>1245</v>
      </c>
      <c r="O737">
        <v>2859</v>
      </c>
      <c r="P737" t="str">
        <f t="shared" si="44"/>
        <v>Sunday</v>
      </c>
      <c r="Q737">
        <f t="shared" si="45"/>
        <v>1440</v>
      </c>
      <c r="R737" t="str">
        <f t="shared" si="46"/>
        <v>Weekend</v>
      </c>
      <c r="S737" t="str">
        <f t="shared" si="47"/>
        <v>Very_Active</v>
      </c>
    </row>
    <row r="738" spans="1:19" x14ac:dyDescent="0.25">
      <c r="A738">
        <v>8877689391</v>
      </c>
      <c r="B738" s="4">
        <v>42486</v>
      </c>
      <c r="C738">
        <v>11101</v>
      </c>
      <c r="D738" s="1">
        <v>8.4300003051757795</v>
      </c>
      <c r="E738" s="1">
        <v>8.4300003051757795</v>
      </c>
      <c r="F738" s="1">
        <v>0</v>
      </c>
      <c r="G738" s="1">
        <v>1.7599999904632599</v>
      </c>
      <c r="H738" s="1">
        <v>0.129999995231628</v>
      </c>
      <c r="I738" s="1">
        <v>6.5</v>
      </c>
      <c r="J738" s="1">
        <v>0</v>
      </c>
      <c r="K738">
        <v>22</v>
      </c>
      <c r="L738">
        <v>3</v>
      </c>
      <c r="M738">
        <v>258</v>
      </c>
      <c r="N738">
        <v>1157</v>
      </c>
      <c r="O738">
        <v>2860</v>
      </c>
      <c r="P738" t="str">
        <f t="shared" si="44"/>
        <v>Tuesday</v>
      </c>
      <c r="Q738">
        <f t="shared" si="45"/>
        <v>1440</v>
      </c>
      <c r="R738" t="str">
        <f t="shared" si="46"/>
        <v>Weekday</v>
      </c>
      <c r="S738" t="str">
        <f t="shared" si="47"/>
        <v>Very_Active</v>
      </c>
    </row>
    <row r="739" spans="1:19" x14ac:dyDescent="0.25">
      <c r="A739">
        <v>7086361926</v>
      </c>
      <c r="B739" s="4">
        <v>42488</v>
      </c>
      <c r="C739">
        <v>11584</v>
      </c>
      <c r="D739" s="1">
        <v>7.8000001907348597</v>
      </c>
      <c r="E739" s="1">
        <v>7.8000001907348597</v>
      </c>
      <c r="F739" s="1">
        <v>0</v>
      </c>
      <c r="G739" s="1">
        <v>2.78999996185303</v>
      </c>
      <c r="H739" s="1">
        <v>1.6399999856948899</v>
      </c>
      <c r="I739" s="1">
        <v>3.3599998950958301</v>
      </c>
      <c r="J739" s="1">
        <v>0</v>
      </c>
      <c r="K739">
        <v>54</v>
      </c>
      <c r="L739">
        <v>48</v>
      </c>
      <c r="M739">
        <v>161</v>
      </c>
      <c r="N739">
        <v>810</v>
      </c>
      <c r="O739">
        <v>2862</v>
      </c>
      <c r="P739" t="str">
        <f t="shared" si="44"/>
        <v>Thursday</v>
      </c>
      <c r="Q739">
        <f t="shared" si="45"/>
        <v>1073</v>
      </c>
      <c r="R739" t="str">
        <f t="shared" si="46"/>
        <v>Weekday</v>
      </c>
      <c r="S739" t="str">
        <f t="shared" si="47"/>
        <v>Very_Active</v>
      </c>
    </row>
    <row r="740" spans="1:19" x14ac:dyDescent="0.25">
      <c r="A740">
        <v>6117666160</v>
      </c>
      <c r="B740" s="4">
        <v>42475</v>
      </c>
      <c r="C740">
        <v>14019</v>
      </c>
      <c r="D740" s="1">
        <v>10.5900001525879</v>
      </c>
      <c r="E740" s="1">
        <v>10.5900001525879</v>
      </c>
      <c r="F740" s="1">
        <v>0</v>
      </c>
      <c r="G740" s="1">
        <v>0</v>
      </c>
      <c r="H740" s="1">
        <v>0.28000000119209301</v>
      </c>
      <c r="I740" s="1">
        <v>10.300000190734901</v>
      </c>
      <c r="J740" s="1">
        <v>0</v>
      </c>
      <c r="K740">
        <v>0</v>
      </c>
      <c r="L740">
        <v>6</v>
      </c>
      <c r="M740">
        <v>513</v>
      </c>
      <c r="N740">
        <v>921</v>
      </c>
      <c r="O740">
        <v>2865</v>
      </c>
      <c r="P740" t="str">
        <f t="shared" si="44"/>
        <v>Friday</v>
      </c>
      <c r="Q740">
        <f t="shared" si="45"/>
        <v>1440</v>
      </c>
      <c r="R740" t="str">
        <f t="shared" si="46"/>
        <v>Weekday</v>
      </c>
      <c r="S740" t="str">
        <f t="shared" si="47"/>
        <v>Very_Active</v>
      </c>
    </row>
    <row r="741" spans="1:19" x14ac:dyDescent="0.25">
      <c r="A741">
        <v>8053475328</v>
      </c>
      <c r="B741" s="4">
        <v>42476</v>
      </c>
      <c r="C741">
        <v>14549</v>
      </c>
      <c r="D741" s="1">
        <v>11.1099996566772</v>
      </c>
      <c r="E741" s="1">
        <v>11.1099996566772</v>
      </c>
      <c r="F741" s="1">
        <v>0</v>
      </c>
      <c r="G741" s="1">
        <v>9.3599996566772496</v>
      </c>
      <c r="H741" s="1">
        <v>0.270000010728836</v>
      </c>
      <c r="I741" s="1">
        <v>1.4900000095367401</v>
      </c>
      <c r="J741" s="1">
        <v>0</v>
      </c>
      <c r="K741">
        <v>96</v>
      </c>
      <c r="L741">
        <v>6</v>
      </c>
      <c r="M741">
        <v>83</v>
      </c>
      <c r="N741">
        <v>1255</v>
      </c>
      <c r="O741">
        <v>2867</v>
      </c>
      <c r="P741" t="str">
        <f t="shared" si="44"/>
        <v>Saturday</v>
      </c>
      <c r="Q741">
        <f t="shared" si="45"/>
        <v>1440</v>
      </c>
      <c r="R741" t="str">
        <f t="shared" si="46"/>
        <v>Weekend</v>
      </c>
      <c r="S741" t="str">
        <f t="shared" si="47"/>
        <v>Very_Active</v>
      </c>
    </row>
    <row r="742" spans="1:19" x14ac:dyDescent="0.25">
      <c r="A742">
        <v>8583815059</v>
      </c>
      <c r="B742" s="4">
        <v>42481</v>
      </c>
      <c r="C742">
        <v>8538</v>
      </c>
      <c r="D742" s="1">
        <v>6.6599998474121103</v>
      </c>
      <c r="E742" s="1">
        <v>6.6599998474121103</v>
      </c>
      <c r="F742" s="1">
        <v>0</v>
      </c>
      <c r="G742" s="1">
        <v>2.6300001144409202</v>
      </c>
      <c r="H742" s="1">
        <v>1.0199999809265099</v>
      </c>
      <c r="I742" s="1">
        <v>3.0099999904632599</v>
      </c>
      <c r="J742" s="1">
        <v>0</v>
      </c>
      <c r="K742">
        <v>35</v>
      </c>
      <c r="L742">
        <v>18</v>
      </c>
      <c r="M742">
        <v>158</v>
      </c>
      <c r="N742">
        <v>1229</v>
      </c>
      <c r="O742">
        <v>2883</v>
      </c>
      <c r="P742" t="str">
        <f t="shared" si="44"/>
        <v>Thursday</v>
      </c>
      <c r="Q742">
        <f t="shared" si="45"/>
        <v>1440</v>
      </c>
      <c r="R742" t="str">
        <f t="shared" si="46"/>
        <v>Weekday</v>
      </c>
      <c r="S742" t="str">
        <f t="shared" si="47"/>
        <v>Fairly Active</v>
      </c>
    </row>
    <row r="743" spans="1:19" x14ac:dyDescent="0.25">
      <c r="A743">
        <v>8378563200</v>
      </c>
      <c r="B743" s="4">
        <v>42488</v>
      </c>
      <c r="C743">
        <v>5417</v>
      </c>
      <c r="D743" s="1">
        <v>4.3000001907348597</v>
      </c>
      <c r="E743" s="1">
        <v>4.3000001907348597</v>
      </c>
      <c r="F743" s="1">
        <v>0</v>
      </c>
      <c r="G743" s="1">
        <v>0.89999997615814198</v>
      </c>
      <c r="H743" s="1">
        <v>0.490000009536743</v>
      </c>
      <c r="I743" s="1">
        <v>2.9100000858306898</v>
      </c>
      <c r="J743" s="1">
        <v>0</v>
      </c>
      <c r="K743">
        <v>11</v>
      </c>
      <c r="L743">
        <v>10</v>
      </c>
      <c r="M743">
        <v>139</v>
      </c>
      <c r="N743">
        <v>711</v>
      </c>
      <c r="O743">
        <v>2884</v>
      </c>
      <c r="P743" t="str">
        <f t="shared" si="44"/>
        <v>Thursday</v>
      </c>
      <c r="Q743">
        <f t="shared" si="45"/>
        <v>871</v>
      </c>
      <c r="R743" t="str">
        <f t="shared" si="46"/>
        <v>Weekday</v>
      </c>
      <c r="S743" t="str">
        <f t="shared" si="47"/>
        <v>Lightly Active</v>
      </c>
    </row>
    <row r="744" spans="1:19" x14ac:dyDescent="0.25">
      <c r="A744">
        <v>4388161847</v>
      </c>
      <c r="B744" s="4">
        <v>42484</v>
      </c>
      <c r="C744">
        <v>10243</v>
      </c>
      <c r="D744" s="1">
        <v>7.8800001144409197</v>
      </c>
      <c r="E744" s="1">
        <v>7.8800001144409197</v>
      </c>
      <c r="F744" s="1">
        <v>0</v>
      </c>
      <c r="G744" s="1">
        <v>1.08000004291534</v>
      </c>
      <c r="H744" s="1">
        <v>0.50999999046325695</v>
      </c>
      <c r="I744" s="1">
        <v>6.3000001907348597</v>
      </c>
      <c r="J744" s="1">
        <v>0</v>
      </c>
      <c r="K744">
        <v>14</v>
      </c>
      <c r="L744">
        <v>8</v>
      </c>
      <c r="M744">
        <v>239</v>
      </c>
      <c r="N744">
        <v>584</v>
      </c>
      <c r="O744">
        <v>2885</v>
      </c>
      <c r="P744" t="str">
        <f t="shared" si="44"/>
        <v>Sunday</v>
      </c>
      <c r="Q744">
        <f t="shared" si="45"/>
        <v>845</v>
      </c>
      <c r="R744" t="str">
        <f t="shared" si="46"/>
        <v>Weekend</v>
      </c>
      <c r="S744" t="str">
        <f t="shared" si="47"/>
        <v>Very_Active</v>
      </c>
    </row>
    <row r="745" spans="1:19" x14ac:dyDescent="0.25">
      <c r="A745">
        <v>8583815059</v>
      </c>
      <c r="B745" s="4">
        <v>42484</v>
      </c>
      <c r="C745">
        <v>8286</v>
      </c>
      <c r="D745" s="1">
        <v>6.46000003814697</v>
      </c>
      <c r="E745" s="1">
        <v>6.46000003814697</v>
      </c>
      <c r="F745" s="1">
        <v>0</v>
      </c>
      <c r="G745" s="1">
        <v>0.15000000596046401</v>
      </c>
      <c r="H745" s="1">
        <v>2.0499999523162802</v>
      </c>
      <c r="I745" s="1">
        <v>4.2699999809265101</v>
      </c>
      <c r="J745" s="1">
        <v>0</v>
      </c>
      <c r="K745">
        <v>2</v>
      </c>
      <c r="L745">
        <v>44</v>
      </c>
      <c r="M745">
        <v>206</v>
      </c>
      <c r="N745">
        <v>1188</v>
      </c>
      <c r="O745">
        <v>2889</v>
      </c>
      <c r="P745" t="str">
        <f t="shared" si="44"/>
        <v>Sunday</v>
      </c>
      <c r="Q745">
        <f t="shared" si="45"/>
        <v>1440</v>
      </c>
      <c r="R745" t="str">
        <f t="shared" si="46"/>
        <v>Weekend</v>
      </c>
      <c r="S745" t="str">
        <f t="shared" si="47"/>
        <v>Fairly Active</v>
      </c>
    </row>
    <row r="746" spans="1:19" x14ac:dyDescent="0.25">
      <c r="A746">
        <v>7007744171</v>
      </c>
      <c r="B746" s="4">
        <v>42482</v>
      </c>
      <c r="C746">
        <v>15299</v>
      </c>
      <c r="D746" s="1">
        <v>10.2399997711182</v>
      </c>
      <c r="E746" s="1">
        <v>10.2399997711182</v>
      </c>
      <c r="F746" s="1">
        <v>0</v>
      </c>
      <c r="G746" s="1">
        <v>4.0999999046325701</v>
      </c>
      <c r="H746" s="1">
        <v>1.7599999904632599</v>
      </c>
      <c r="I746" s="1">
        <v>4.3699998855590803</v>
      </c>
      <c r="J746" s="1">
        <v>0</v>
      </c>
      <c r="K746">
        <v>64</v>
      </c>
      <c r="L746">
        <v>50</v>
      </c>
      <c r="M746">
        <v>261</v>
      </c>
      <c r="N746">
        <v>1065</v>
      </c>
      <c r="O746">
        <v>2889</v>
      </c>
      <c r="P746" t="str">
        <f t="shared" si="44"/>
        <v>Friday</v>
      </c>
      <c r="Q746">
        <f t="shared" si="45"/>
        <v>1440</v>
      </c>
      <c r="R746" t="str">
        <f t="shared" si="46"/>
        <v>Weekday</v>
      </c>
      <c r="S746" t="str">
        <f t="shared" si="47"/>
        <v>Very_Active</v>
      </c>
    </row>
    <row r="747" spans="1:19" x14ac:dyDescent="0.25">
      <c r="A747">
        <v>8583815059</v>
      </c>
      <c r="B747" s="4">
        <v>42405</v>
      </c>
      <c r="C747">
        <v>8469</v>
      </c>
      <c r="D747" s="1">
        <v>6.6100001335143999</v>
      </c>
      <c r="E747" s="1">
        <v>6.6100001335143999</v>
      </c>
      <c r="F747" s="1">
        <v>0</v>
      </c>
      <c r="G747" s="1">
        <v>0</v>
      </c>
      <c r="H747" s="1">
        <v>0</v>
      </c>
      <c r="I747" s="1">
        <v>0</v>
      </c>
      <c r="J747" s="1">
        <v>0</v>
      </c>
      <c r="K747">
        <v>0</v>
      </c>
      <c r="L747">
        <v>0</v>
      </c>
      <c r="M747">
        <v>0</v>
      </c>
      <c r="N747">
        <v>1440</v>
      </c>
      <c r="O747">
        <v>2894</v>
      </c>
      <c r="P747" t="str">
        <f t="shared" si="44"/>
        <v>Friday</v>
      </c>
      <c r="Q747">
        <f t="shared" si="45"/>
        <v>1440</v>
      </c>
      <c r="R747" t="str">
        <f t="shared" si="46"/>
        <v>Weekday</v>
      </c>
      <c r="S747" t="str">
        <f t="shared" si="47"/>
        <v>Fairly Active</v>
      </c>
    </row>
    <row r="748" spans="1:19" x14ac:dyDescent="0.25">
      <c r="A748">
        <v>4702921684</v>
      </c>
      <c r="B748" s="4">
        <v>42475</v>
      </c>
      <c r="C748">
        <v>6506</v>
      </c>
      <c r="D748" s="1">
        <v>5.2800002098083496</v>
      </c>
      <c r="E748" s="1">
        <v>5.2800002098083496</v>
      </c>
      <c r="F748" s="1">
        <v>0</v>
      </c>
      <c r="G748" s="1">
        <v>7.0000000298023196E-2</v>
      </c>
      <c r="H748" s="1">
        <v>0.41999998688697798</v>
      </c>
      <c r="I748" s="1">
        <v>4.78999996185303</v>
      </c>
      <c r="J748" s="1">
        <v>0</v>
      </c>
      <c r="K748">
        <v>1</v>
      </c>
      <c r="L748">
        <v>8</v>
      </c>
      <c r="M748">
        <v>256</v>
      </c>
      <c r="N748">
        <v>944</v>
      </c>
      <c r="O748">
        <v>2896</v>
      </c>
      <c r="P748" t="str">
        <f t="shared" si="44"/>
        <v>Friday</v>
      </c>
      <c r="Q748">
        <f t="shared" si="45"/>
        <v>1209</v>
      </c>
      <c r="R748" t="str">
        <f t="shared" si="46"/>
        <v>Weekday</v>
      </c>
      <c r="S748" t="str">
        <f t="shared" si="47"/>
        <v>Lightly Active</v>
      </c>
    </row>
    <row r="749" spans="1:19" x14ac:dyDescent="0.25">
      <c r="A749">
        <v>8792009665</v>
      </c>
      <c r="B749" s="4">
        <v>42490</v>
      </c>
      <c r="C749">
        <v>7174</v>
      </c>
      <c r="D749" s="1">
        <v>4.5900001525878897</v>
      </c>
      <c r="E749" s="1">
        <v>4.5900001525878897</v>
      </c>
      <c r="F749" s="1">
        <v>0</v>
      </c>
      <c r="G749" s="1">
        <v>0.33000001311302202</v>
      </c>
      <c r="H749" s="1">
        <v>0.36000001430511502</v>
      </c>
      <c r="I749" s="1">
        <v>3.9100000858306898</v>
      </c>
      <c r="J749" s="1">
        <v>0</v>
      </c>
      <c r="K749">
        <v>10</v>
      </c>
      <c r="L749">
        <v>20</v>
      </c>
      <c r="M749">
        <v>301</v>
      </c>
      <c r="N749">
        <v>749</v>
      </c>
      <c r="O749">
        <v>2896</v>
      </c>
      <c r="P749" t="str">
        <f t="shared" si="44"/>
        <v>Saturday</v>
      </c>
      <c r="Q749">
        <f t="shared" si="45"/>
        <v>1080</v>
      </c>
      <c r="R749" t="str">
        <f t="shared" si="46"/>
        <v>Weekend</v>
      </c>
      <c r="S749" t="str">
        <f t="shared" si="47"/>
        <v>Lightly Active</v>
      </c>
    </row>
    <row r="750" spans="1:19" x14ac:dyDescent="0.25">
      <c r="A750">
        <v>6290855005</v>
      </c>
      <c r="B750" s="4">
        <v>42475</v>
      </c>
      <c r="C750">
        <v>9501</v>
      </c>
      <c r="D750" s="1">
        <v>7.1799998283386204</v>
      </c>
      <c r="E750" s="1">
        <v>7.1799998283386204</v>
      </c>
      <c r="F750" s="1">
        <v>0</v>
      </c>
      <c r="G750" s="1">
        <v>0</v>
      </c>
      <c r="H750" s="1">
        <v>0</v>
      </c>
      <c r="I750" s="1">
        <v>7.1700000762939498</v>
      </c>
      <c r="J750" s="1">
        <v>9.9999997764825804E-3</v>
      </c>
      <c r="K750">
        <v>0</v>
      </c>
      <c r="L750">
        <v>0</v>
      </c>
      <c r="M750">
        <v>328</v>
      </c>
      <c r="N750">
        <v>1112</v>
      </c>
      <c r="O750">
        <v>2896</v>
      </c>
      <c r="P750" t="str">
        <f t="shared" si="44"/>
        <v>Friday</v>
      </c>
      <c r="Q750">
        <f t="shared" si="45"/>
        <v>1440</v>
      </c>
      <c r="R750" t="str">
        <f t="shared" si="46"/>
        <v>Weekday</v>
      </c>
      <c r="S750" t="str">
        <f t="shared" si="47"/>
        <v>Fairly Active</v>
      </c>
    </row>
    <row r="751" spans="1:19" x14ac:dyDescent="0.25">
      <c r="A751">
        <v>2022484408</v>
      </c>
      <c r="B751" s="4">
        <v>42480</v>
      </c>
      <c r="C751">
        <v>15112</v>
      </c>
      <c r="D751" s="1">
        <v>10.670000076293899</v>
      </c>
      <c r="E751" s="1">
        <v>10.670000076293899</v>
      </c>
      <c r="F751" s="1">
        <v>0</v>
      </c>
      <c r="G751" s="1">
        <v>3.3399999141693102</v>
      </c>
      <c r="H751" s="1">
        <v>1.9299999475479099</v>
      </c>
      <c r="I751" s="1">
        <v>5.4000000953674299</v>
      </c>
      <c r="J751" s="1">
        <v>0</v>
      </c>
      <c r="K751">
        <v>48</v>
      </c>
      <c r="L751">
        <v>63</v>
      </c>
      <c r="M751">
        <v>276</v>
      </c>
      <c r="N751">
        <v>1053</v>
      </c>
      <c r="O751">
        <v>2897</v>
      </c>
      <c r="P751" t="str">
        <f t="shared" si="44"/>
        <v>Wednesday</v>
      </c>
      <c r="Q751">
        <f t="shared" si="45"/>
        <v>1440</v>
      </c>
      <c r="R751" t="str">
        <f t="shared" si="46"/>
        <v>Weekday</v>
      </c>
      <c r="S751" t="str">
        <f t="shared" si="47"/>
        <v>Very_Active</v>
      </c>
    </row>
    <row r="752" spans="1:19" x14ac:dyDescent="0.25">
      <c r="A752">
        <v>4702921684</v>
      </c>
      <c r="B752" s="4">
        <v>42473</v>
      </c>
      <c r="C752">
        <v>6877</v>
      </c>
      <c r="D752" s="1">
        <v>5.5799999237060502</v>
      </c>
      <c r="E752" s="1">
        <v>5.5799999237060502</v>
      </c>
      <c r="F752" s="1">
        <v>0</v>
      </c>
      <c r="G752" s="1">
        <v>0</v>
      </c>
      <c r="H752" s="1">
        <v>0</v>
      </c>
      <c r="I752" s="1">
        <v>5.5799999237060502</v>
      </c>
      <c r="J752" s="1">
        <v>0</v>
      </c>
      <c r="K752">
        <v>0</v>
      </c>
      <c r="L752">
        <v>0</v>
      </c>
      <c r="M752">
        <v>258</v>
      </c>
      <c r="N752">
        <v>777</v>
      </c>
      <c r="O752">
        <v>2898</v>
      </c>
      <c r="P752" t="str">
        <f t="shared" si="44"/>
        <v>Wednesday</v>
      </c>
      <c r="Q752">
        <f t="shared" si="45"/>
        <v>1035</v>
      </c>
      <c r="R752" t="str">
        <f t="shared" si="46"/>
        <v>Weekday</v>
      </c>
      <c r="S752" t="str">
        <f t="shared" si="47"/>
        <v>Lightly Active</v>
      </c>
    </row>
    <row r="753" spans="1:19" x14ac:dyDescent="0.25">
      <c r="A753">
        <v>4388161847</v>
      </c>
      <c r="B753" s="4">
        <v>42495</v>
      </c>
      <c r="C753">
        <v>9603</v>
      </c>
      <c r="D753" s="1">
        <v>7.3800001144409197</v>
      </c>
      <c r="E753" s="1">
        <v>7.3800001144409197</v>
      </c>
      <c r="F753" s="1">
        <v>0</v>
      </c>
      <c r="G753" s="1">
        <v>0.62999999523162797</v>
      </c>
      <c r="H753" s="1">
        <v>1.66999995708466</v>
      </c>
      <c r="I753" s="1">
        <v>5.0900001525878897</v>
      </c>
      <c r="J753" s="1">
        <v>0</v>
      </c>
      <c r="K753">
        <v>12</v>
      </c>
      <c r="L753">
        <v>39</v>
      </c>
      <c r="M753">
        <v>199</v>
      </c>
      <c r="N753">
        <v>896</v>
      </c>
      <c r="O753">
        <v>2899</v>
      </c>
      <c r="P753" t="str">
        <f t="shared" si="44"/>
        <v>Thursday</v>
      </c>
      <c r="Q753">
        <f t="shared" si="45"/>
        <v>1146</v>
      </c>
      <c r="R753" t="str">
        <f t="shared" si="46"/>
        <v>Weekday</v>
      </c>
      <c r="S753" t="str">
        <f t="shared" si="47"/>
        <v>Fairly Active</v>
      </c>
    </row>
    <row r="754" spans="1:19" x14ac:dyDescent="0.25">
      <c r="A754">
        <v>1644430081</v>
      </c>
      <c r="B754" s="4">
        <v>42473</v>
      </c>
      <c r="C754">
        <v>8001</v>
      </c>
      <c r="D754" s="1">
        <v>5.8200001716613796</v>
      </c>
      <c r="E754" s="1">
        <v>5.8200001716613796</v>
      </c>
      <c r="F754" s="1">
        <v>0</v>
      </c>
      <c r="G754" s="1">
        <v>2.2799999713897701</v>
      </c>
      <c r="H754" s="1">
        <v>0.89999997615814198</v>
      </c>
      <c r="I754" s="1">
        <v>2.6400001049041699</v>
      </c>
      <c r="J754" s="1">
        <v>0</v>
      </c>
      <c r="K754">
        <v>30</v>
      </c>
      <c r="L754">
        <v>16</v>
      </c>
      <c r="M754">
        <v>135</v>
      </c>
      <c r="N754">
        <v>1259</v>
      </c>
      <c r="O754">
        <v>2902</v>
      </c>
      <c r="P754" t="str">
        <f t="shared" si="44"/>
        <v>Wednesday</v>
      </c>
      <c r="Q754">
        <f t="shared" si="45"/>
        <v>1440</v>
      </c>
      <c r="R754" t="str">
        <f t="shared" si="46"/>
        <v>Weekday</v>
      </c>
      <c r="S754" t="str">
        <f t="shared" si="47"/>
        <v>Fairly Active</v>
      </c>
    </row>
    <row r="755" spans="1:19" x14ac:dyDescent="0.25">
      <c r="A755">
        <v>6290855005</v>
      </c>
      <c r="B755" s="4">
        <v>42473</v>
      </c>
      <c r="C755">
        <v>7142</v>
      </c>
      <c r="D755" s="1">
        <v>5.4000000953674299</v>
      </c>
      <c r="E755" s="1">
        <v>5.4000000953674299</v>
      </c>
      <c r="F755" s="1">
        <v>0</v>
      </c>
      <c r="G755" s="1">
        <v>0</v>
      </c>
      <c r="H755" s="1">
        <v>0</v>
      </c>
      <c r="I755" s="1">
        <v>5.3899998664856001</v>
      </c>
      <c r="J755" s="1">
        <v>9.9999997764825804E-3</v>
      </c>
      <c r="K755">
        <v>0</v>
      </c>
      <c r="L755">
        <v>0</v>
      </c>
      <c r="M755">
        <v>350</v>
      </c>
      <c r="N755">
        <v>1090</v>
      </c>
      <c r="O755">
        <v>2905</v>
      </c>
      <c r="P755" t="str">
        <f t="shared" si="44"/>
        <v>Wednesday</v>
      </c>
      <c r="Q755">
        <f t="shared" si="45"/>
        <v>1440</v>
      </c>
      <c r="R755" t="str">
        <f t="shared" si="46"/>
        <v>Weekday</v>
      </c>
      <c r="S755" t="str">
        <f t="shared" si="47"/>
        <v>Lightly Active</v>
      </c>
    </row>
    <row r="756" spans="1:19" x14ac:dyDescent="0.25">
      <c r="A756">
        <v>8378563200</v>
      </c>
      <c r="B756" s="4">
        <v>42483</v>
      </c>
      <c r="C756">
        <v>5709</v>
      </c>
      <c r="D756" s="1">
        <v>4.5300002098083496</v>
      </c>
      <c r="E756" s="1">
        <v>4.5300002098083496</v>
      </c>
      <c r="F756" s="1">
        <v>0</v>
      </c>
      <c r="G756" s="1">
        <v>1.5199999809265099</v>
      </c>
      <c r="H756" s="1">
        <v>0.519999980926514</v>
      </c>
      <c r="I756" s="1">
        <v>2.4800000190734899</v>
      </c>
      <c r="J756" s="1">
        <v>0</v>
      </c>
      <c r="K756">
        <v>19</v>
      </c>
      <c r="L756">
        <v>10</v>
      </c>
      <c r="M756">
        <v>136</v>
      </c>
      <c r="N756">
        <v>740</v>
      </c>
      <c r="O756">
        <v>2908</v>
      </c>
      <c r="P756" t="str">
        <f t="shared" si="44"/>
        <v>Saturday</v>
      </c>
      <c r="Q756">
        <f t="shared" si="45"/>
        <v>905</v>
      </c>
      <c r="R756" t="str">
        <f t="shared" si="46"/>
        <v>Weekend</v>
      </c>
      <c r="S756" t="str">
        <f t="shared" si="47"/>
        <v>Lightly Active</v>
      </c>
    </row>
    <row r="757" spans="1:19" x14ac:dyDescent="0.25">
      <c r="A757">
        <v>4702921684</v>
      </c>
      <c r="B757" s="4">
        <v>42487</v>
      </c>
      <c r="C757">
        <v>7047</v>
      </c>
      <c r="D757" s="1">
        <v>5.7199997901916504</v>
      </c>
      <c r="E757" s="1">
        <v>5.7199997901916504</v>
      </c>
      <c r="F757" s="1">
        <v>0</v>
      </c>
      <c r="G757" s="1">
        <v>9.00000035762787E-2</v>
      </c>
      <c r="H757" s="1">
        <v>0.80000001192092896</v>
      </c>
      <c r="I757" s="1">
        <v>4.7800002098083496</v>
      </c>
      <c r="J757" s="1">
        <v>0</v>
      </c>
      <c r="K757">
        <v>1</v>
      </c>
      <c r="L757">
        <v>16</v>
      </c>
      <c r="M757">
        <v>238</v>
      </c>
      <c r="N757">
        <v>733</v>
      </c>
      <c r="O757">
        <v>2908</v>
      </c>
      <c r="P757" t="str">
        <f t="shared" si="44"/>
        <v>Wednesday</v>
      </c>
      <c r="Q757">
        <f t="shared" si="45"/>
        <v>988</v>
      </c>
      <c r="R757" t="str">
        <f t="shared" si="46"/>
        <v>Weekday</v>
      </c>
      <c r="S757" t="str">
        <f t="shared" si="47"/>
        <v>Lightly Active</v>
      </c>
    </row>
    <row r="758" spans="1:19" x14ac:dyDescent="0.25">
      <c r="A758">
        <v>8053475328</v>
      </c>
      <c r="B758" s="4">
        <v>42465</v>
      </c>
      <c r="C758">
        <v>14581</v>
      </c>
      <c r="D758" s="1">
        <v>11.1499996185303</v>
      </c>
      <c r="E758" s="1">
        <v>11.1499996185303</v>
      </c>
      <c r="F758" s="1">
        <v>0</v>
      </c>
      <c r="G758" s="1">
        <v>8.8199996948242205</v>
      </c>
      <c r="H758" s="1">
        <v>0.40000000596046398</v>
      </c>
      <c r="I758" s="1">
        <v>1.9099999666214</v>
      </c>
      <c r="J758" s="1">
        <v>0</v>
      </c>
      <c r="K758">
        <v>89</v>
      </c>
      <c r="L758">
        <v>8</v>
      </c>
      <c r="M758">
        <v>123</v>
      </c>
      <c r="N758">
        <v>1220</v>
      </c>
      <c r="O758">
        <v>2918</v>
      </c>
      <c r="P758" t="str">
        <f t="shared" si="44"/>
        <v>Tuesday</v>
      </c>
      <c r="Q758">
        <f t="shared" si="45"/>
        <v>1440</v>
      </c>
      <c r="R758" t="str">
        <f t="shared" si="46"/>
        <v>Weekday</v>
      </c>
      <c r="S758" t="str">
        <f t="shared" si="47"/>
        <v>Very_Active</v>
      </c>
    </row>
    <row r="759" spans="1:19" x14ac:dyDescent="0.25">
      <c r="A759">
        <v>7086361926</v>
      </c>
      <c r="B759" s="4">
        <v>42526</v>
      </c>
      <c r="C759">
        <v>12461</v>
      </c>
      <c r="D759" s="1">
        <v>8.3800001144409197</v>
      </c>
      <c r="E759" s="1">
        <v>8.3800001144409197</v>
      </c>
      <c r="F759" s="1">
        <v>0</v>
      </c>
      <c r="G759" s="1">
        <v>3.8199999332428001</v>
      </c>
      <c r="H759" s="1">
        <v>1.4299999475479099</v>
      </c>
      <c r="I759" s="1">
        <v>3.1199998855590798</v>
      </c>
      <c r="J759" s="1">
        <v>0</v>
      </c>
      <c r="K759">
        <v>84</v>
      </c>
      <c r="L759">
        <v>35</v>
      </c>
      <c r="M759">
        <v>154</v>
      </c>
      <c r="N759">
        <v>834</v>
      </c>
      <c r="O759">
        <v>2924</v>
      </c>
      <c r="P759" t="str">
        <f t="shared" si="44"/>
        <v>Sunday</v>
      </c>
      <c r="Q759">
        <f t="shared" si="45"/>
        <v>1107</v>
      </c>
      <c r="R759" t="str">
        <f t="shared" si="46"/>
        <v>Weekend</v>
      </c>
      <c r="S759" t="str">
        <f t="shared" si="47"/>
        <v>Very_Active</v>
      </c>
    </row>
    <row r="760" spans="1:19" x14ac:dyDescent="0.25">
      <c r="A760">
        <v>4020332650</v>
      </c>
      <c r="B760" s="4">
        <v>42648</v>
      </c>
      <c r="C760">
        <v>5546</v>
      </c>
      <c r="D760" s="1">
        <v>3.9800000190734899</v>
      </c>
      <c r="E760" s="1">
        <v>3.9800000190734899</v>
      </c>
      <c r="F760" s="1">
        <v>0</v>
      </c>
      <c r="G760" s="1">
        <v>0</v>
      </c>
      <c r="H760" s="1">
        <v>0</v>
      </c>
      <c r="I760" s="1">
        <v>3.8699998855590798</v>
      </c>
      <c r="J760" s="1">
        <v>3.9999999105930301E-2</v>
      </c>
      <c r="K760">
        <v>0</v>
      </c>
      <c r="L760">
        <v>0</v>
      </c>
      <c r="M760">
        <v>206</v>
      </c>
      <c r="N760">
        <v>774</v>
      </c>
      <c r="O760">
        <v>2926</v>
      </c>
      <c r="P760" t="str">
        <f t="shared" si="44"/>
        <v>Wednesday</v>
      </c>
      <c r="Q760">
        <f t="shared" si="45"/>
        <v>980</v>
      </c>
      <c r="R760" t="str">
        <f t="shared" si="46"/>
        <v>Weekday</v>
      </c>
      <c r="S760" t="str">
        <f t="shared" si="47"/>
        <v>Lightly Active</v>
      </c>
    </row>
    <row r="761" spans="1:19" x14ac:dyDescent="0.25">
      <c r="A761">
        <v>4388161847</v>
      </c>
      <c r="B761" s="4">
        <v>42374</v>
      </c>
      <c r="C761">
        <v>10255</v>
      </c>
      <c r="D761" s="1">
        <v>7.8899998664856001</v>
      </c>
      <c r="E761" s="1">
        <v>7.8899998664856001</v>
      </c>
      <c r="F761" s="1">
        <v>0</v>
      </c>
      <c r="G761" s="1">
        <v>1.0099999904632599</v>
      </c>
      <c r="H761" s="1">
        <v>0.68000000715255704</v>
      </c>
      <c r="I761" s="1">
        <v>6.1999998092651403</v>
      </c>
      <c r="J761" s="1">
        <v>0</v>
      </c>
      <c r="K761">
        <v>12</v>
      </c>
      <c r="L761">
        <v>15</v>
      </c>
      <c r="M761">
        <v>241</v>
      </c>
      <c r="N761">
        <v>579</v>
      </c>
      <c r="O761">
        <v>2926</v>
      </c>
      <c r="P761" t="str">
        <f t="shared" si="44"/>
        <v>Tuesday</v>
      </c>
      <c r="Q761">
        <f t="shared" si="45"/>
        <v>847</v>
      </c>
      <c r="R761" t="str">
        <f t="shared" si="46"/>
        <v>Weekday</v>
      </c>
      <c r="S761" t="str">
        <f t="shared" si="47"/>
        <v>Very_Active</v>
      </c>
    </row>
    <row r="762" spans="1:19" x14ac:dyDescent="0.25">
      <c r="A762">
        <v>8053475328</v>
      </c>
      <c r="B762" s="4">
        <v>42648</v>
      </c>
      <c r="C762">
        <v>14810</v>
      </c>
      <c r="D762" s="1">
        <v>11.3599996566772</v>
      </c>
      <c r="E762" s="1">
        <v>11.3599996566772</v>
      </c>
      <c r="F762" s="1">
        <v>0</v>
      </c>
      <c r="G762" s="1">
        <v>9.0900001525878906</v>
      </c>
      <c r="H762" s="1">
        <v>0.41999998688697798</v>
      </c>
      <c r="I762" s="1">
        <v>1.8500000238418599</v>
      </c>
      <c r="J762" s="1">
        <v>0</v>
      </c>
      <c r="K762">
        <v>96</v>
      </c>
      <c r="L762">
        <v>10</v>
      </c>
      <c r="M762">
        <v>115</v>
      </c>
      <c r="N762">
        <v>1219</v>
      </c>
      <c r="O762">
        <v>2926</v>
      </c>
      <c r="P762" t="str">
        <f t="shared" si="44"/>
        <v>Wednesday</v>
      </c>
      <c r="Q762">
        <f t="shared" si="45"/>
        <v>1440</v>
      </c>
      <c r="R762" t="str">
        <f t="shared" si="46"/>
        <v>Weekday</v>
      </c>
      <c r="S762" t="str">
        <f t="shared" si="47"/>
        <v>Very_Active</v>
      </c>
    </row>
    <row r="763" spans="1:19" x14ac:dyDescent="0.25">
      <c r="A763">
        <v>4388161847</v>
      </c>
      <c r="B763" s="4">
        <v>42486</v>
      </c>
      <c r="C763">
        <v>9461</v>
      </c>
      <c r="D763" s="1">
        <v>7.2800002098083496</v>
      </c>
      <c r="E763" s="1">
        <v>7.2800002098083496</v>
      </c>
      <c r="F763" s="1">
        <v>0</v>
      </c>
      <c r="G763" s="1">
        <v>0.93999999761581399</v>
      </c>
      <c r="H763" s="1">
        <v>1.0599999427795399</v>
      </c>
      <c r="I763" s="1">
        <v>5.2699999809265101</v>
      </c>
      <c r="J763" s="1">
        <v>0</v>
      </c>
      <c r="K763">
        <v>14</v>
      </c>
      <c r="L763">
        <v>23</v>
      </c>
      <c r="M763">
        <v>224</v>
      </c>
      <c r="N763">
        <v>673</v>
      </c>
      <c r="O763">
        <v>2929</v>
      </c>
      <c r="P763" t="str">
        <f t="shared" si="44"/>
        <v>Tuesday</v>
      </c>
      <c r="Q763">
        <f t="shared" si="45"/>
        <v>934</v>
      </c>
      <c r="R763" t="str">
        <f t="shared" si="46"/>
        <v>Weekday</v>
      </c>
      <c r="S763" t="str">
        <f t="shared" si="47"/>
        <v>Fairly Active</v>
      </c>
    </row>
    <row r="764" spans="1:19" x14ac:dyDescent="0.25">
      <c r="A764">
        <v>7007744171</v>
      </c>
      <c r="B764" s="4">
        <v>42495</v>
      </c>
      <c r="C764">
        <v>15010</v>
      </c>
      <c r="D764" s="1">
        <v>11.1000003814697</v>
      </c>
      <c r="E764" s="1">
        <v>10.039999961853001</v>
      </c>
      <c r="F764" s="1">
        <v>4.8782320022582999</v>
      </c>
      <c r="G764" s="1">
        <v>4.3299999237060502</v>
      </c>
      <c r="H764" s="1">
        <v>1.28999996185303</v>
      </c>
      <c r="I764" s="1">
        <v>5.4800000190734899</v>
      </c>
      <c r="J764" s="1">
        <v>0</v>
      </c>
      <c r="K764">
        <v>53</v>
      </c>
      <c r="L764">
        <v>23</v>
      </c>
      <c r="M764">
        <v>317</v>
      </c>
      <c r="N764">
        <v>1047</v>
      </c>
      <c r="O764">
        <v>2933</v>
      </c>
      <c r="P764" t="str">
        <f t="shared" si="44"/>
        <v>Thursday</v>
      </c>
      <c r="Q764">
        <f t="shared" si="45"/>
        <v>1440</v>
      </c>
      <c r="R764" t="str">
        <f t="shared" si="46"/>
        <v>Weekday</v>
      </c>
      <c r="S764" t="str">
        <f t="shared" si="47"/>
        <v>Very_Active</v>
      </c>
    </row>
    <row r="765" spans="1:19" x14ac:dyDescent="0.25">
      <c r="A765">
        <v>7007744171</v>
      </c>
      <c r="B765" s="4">
        <v>42708</v>
      </c>
      <c r="C765">
        <v>14172</v>
      </c>
      <c r="D765" s="1">
        <v>10.289999961853001</v>
      </c>
      <c r="E765" s="1">
        <v>9.4799995422363299</v>
      </c>
      <c r="F765" s="1">
        <v>4.8697829246520996</v>
      </c>
      <c r="G765" s="1">
        <v>4.5</v>
      </c>
      <c r="H765" s="1">
        <v>0.37999999523162797</v>
      </c>
      <c r="I765" s="1">
        <v>5.4099998474121103</v>
      </c>
      <c r="J765" s="1">
        <v>0</v>
      </c>
      <c r="K765">
        <v>53</v>
      </c>
      <c r="L765">
        <v>8</v>
      </c>
      <c r="M765">
        <v>355</v>
      </c>
      <c r="N765">
        <v>1024</v>
      </c>
      <c r="O765">
        <v>2937</v>
      </c>
      <c r="P765" t="str">
        <f t="shared" si="44"/>
        <v>Sunday</v>
      </c>
      <c r="Q765">
        <f t="shared" si="45"/>
        <v>1440</v>
      </c>
      <c r="R765" t="str">
        <f t="shared" si="46"/>
        <v>Weekend</v>
      </c>
      <c r="S765" t="str">
        <f t="shared" si="47"/>
        <v>Very_Active</v>
      </c>
    </row>
    <row r="766" spans="1:19" x14ac:dyDescent="0.25">
      <c r="A766">
        <v>7007744171</v>
      </c>
      <c r="B766" s="4">
        <v>42486</v>
      </c>
      <c r="C766">
        <v>15090</v>
      </c>
      <c r="D766" s="1">
        <v>10.1000003814697</v>
      </c>
      <c r="E766" s="1">
        <v>10.1000003814697</v>
      </c>
      <c r="F766" s="1">
        <v>0</v>
      </c>
      <c r="G766" s="1">
        <v>0.93000000715255704</v>
      </c>
      <c r="H766" s="1">
        <v>0.93999999761581399</v>
      </c>
      <c r="I766" s="1">
        <v>8.2299995422363299</v>
      </c>
      <c r="J766" s="1">
        <v>0</v>
      </c>
      <c r="K766">
        <v>16</v>
      </c>
      <c r="L766">
        <v>22</v>
      </c>
      <c r="M766">
        <v>424</v>
      </c>
      <c r="N766">
        <v>978</v>
      </c>
      <c r="O766">
        <v>2939</v>
      </c>
      <c r="P766" t="str">
        <f t="shared" si="44"/>
        <v>Tuesday</v>
      </c>
      <c r="Q766">
        <f t="shared" si="45"/>
        <v>1440</v>
      </c>
      <c r="R766" t="str">
        <f t="shared" si="46"/>
        <v>Weekday</v>
      </c>
      <c r="S766" t="str">
        <f t="shared" si="47"/>
        <v>Very_Active</v>
      </c>
    </row>
    <row r="767" spans="1:19" x14ac:dyDescent="0.25">
      <c r="A767">
        <v>8583815059</v>
      </c>
      <c r="B767" s="4">
        <v>42587</v>
      </c>
      <c r="C767">
        <v>9217</v>
      </c>
      <c r="D767" s="1">
        <v>7.1900000572204599</v>
      </c>
      <c r="E767" s="1">
        <v>7.1900000572204599</v>
      </c>
      <c r="F767" s="1">
        <v>0</v>
      </c>
      <c r="G767" s="1">
        <v>0.21999999880790699</v>
      </c>
      <c r="H767" s="1">
        <v>3.3099999427795401</v>
      </c>
      <c r="I767" s="1">
        <v>3.6600000858306898</v>
      </c>
      <c r="J767" s="1">
        <v>0</v>
      </c>
      <c r="K767">
        <v>3</v>
      </c>
      <c r="L767">
        <v>72</v>
      </c>
      <c r="M767">
        <v>182</v>
      </c>
      <c r="N767">
        <v>1183</v>
      </c>
      <c r="O767">
        <v>2940</v>
      </c>
      <c r="P767" t="str">
        <f t="shared" si="44"/>
        <v>Friday</v>
      </c>
      <c r="Q767">
        <f t="shared" si="45"/>
        <v>1440</v>
      </c>
      <c r="R767" t="str">
        <f t="shared" si="46"/>
        <v>Weekday</v>
      </c>
      <c r="S767" t="str">
        <f t="shared" si="47"/>
        <v>Fairly Active</v>
      </c>
    </row>
    <row r="768" spans="1:19" x14ac:dyDescent="0.25">
      <c r="A768">
        <v>8583815059</v>
      </c>
      <c r="B768" s="4">
        <v>42482</v>
      </c>
      <c r="C768">
        <v>8687</v>
      </c>
      <c r="D768" s="1">
        <v>6.7800002098083496</v>
      </c>
      <c r="E768" s="1">
        <v>6.7800002098083496</v>
      </c>
      <c r="F768" s="1">
        <v>0</v>
      </c>
      <c r="G768" s="1">
        <v>0.28999999165535001</v>
      </c>
      <c r="H768" s="1">
        <v>2.4100000858306898</v>
      </c>
      <c r="I768" s="1">
        <v>4.0799999237060502</v>
      </c>
      <c r="J768" s="1">
        <v>0</v>
      </c>
      <c r="K768">
        <v>4</v>
      </c>
      <c r="L768">
        <v>54</v>
      </c>
      <c r="M768">
        <v>212</v>
      </c>
      <c r="N768">
        <v>1170</v>
      </c>
      <c r="O768">
        <v>2944</v>
      </c>
      <c r="P768" t="str">
        <f t="shared" si="44"/>
        <v>Friday</v>
      </c>
      <c r="Q768">
        <f t="shared" si="45"/>
        <v>1440</v>
      </c>
      <c r="R768" t="str">
        <f t="shared" si="46"/>
        <v>Weekday</v>
      </c>
      <c r="S768" t="str">
        <f t="shared" si="47"/>
        <v>Fairly Active</v>
      </c>
    </row>
    <row r="769" spans="1:19" x14ac:dyDescent="0.25">
      <c r="A769">
        <v>7086361926</v>
      </c>
      <c r="B769" s="4">
        <v>42479</v>
      </c>
      <c r="C769">
        <v>10688</v>
      </c>
      <c r="D769" s="1">
        <v>7.28999996185303</v>
      </c>
      <c r="E769" s="1">
        <v>7.28999996185303</v>
      </c>
      <c r="F769" s="1">
        <v>0</v>
      </c>
      <c r="G769" s="1">
        <v>3.5299999713897701</v>
      </c>
      <c r="H769" s="1">
        <v>1.2300000190734901</v>
      </c>
      <c r="I769" s="1">
        <v>2.5099999904632599</v>
      </c>
      <c r="J769" s="1">
        <v>0</v>
      </c>
      <c r="K769">
        <v>67</v>
      </c>
      <c r="L769">
        <v>69</v>
      </c>
      <c r="M769">
        <v>124</v>
      </c>
      <c r="N769">
        <v>671</v>
      </c>
      <c r="O769">
        <v>2944</v>
      </c>
      <c r="P769" t="str">
        <f t="shared" si="44"/>
        <v>Tuesday</v>
      </c>
      <c r="Q769">
        <f t="shared" si="45"/>
        <v>931</v>
      </c>
      <c r="R769" t="str">
        <f t="shared" si="46"/>
        <v>Weekday</v>
      </c>
      <c r="S769" t="str">
        <f t="shared" si="47"/>
        <v>Very_Active</v>
      </c>
    </row>
    <row r="770" spans="1:19" x14ac:dyDescent="0.25">
      <c r="A770">
        <v>4702921684</v>
      </c>
      <c r="B770" s="4">
        <v>42708</v>
      </c>
      <c r="C770">
        <v>7213</v>
      </c>
      <c r="D770" s="1">
        <v>5.8800001144409197</v>
      </c>
      <c r="E770" s="1">
        <v>5.8800001144409197</v>
      </c>
      <c r="F770" s="1">
        <v>0</v>
      </c>
      <c r="G770" s="1">
        <v>0</v>
      </c>
      <c r="H770" s="1">
        <v>0</v>
      </c>
      <c r="I770" s="1">
        <v>5.8499999046325701</v>
      </c>
      <c r="J770" s="1">
        <v>0</v>
      </c>
      <c r="K770">
        <v>0</v>
      </c>
      <c r="L770">
        <v>0</v>
      </c>
      <c r="M770">
        <v>263</v>
      </c>
      <c r="N770">
        <v>718</v>
      </c>
      <c r="O770">
        <v>2947</v>
      </c>
      <c r="P770" t="str">
        <f t="shared" ref="P770:P833" si="48">TEXT(B770,"dddd")</f>
        <v>Sunday</v>
      </c>
      <c r="Q770">
        <f t="shared" ref="Q770:Q833" si="49">SUM(K770:N770)</f>
        <v>981</v>
      </c>
      <c r="R770" t="str">
        <f t="shared" ref="R770:R833" si="50">IF(WEEKDAY(B770,2)&lt;=5,"Weekday","Weekend")</f>
        <v>Weekend</v>
      </c>
      <c r="S770" t="str">
        <f t="shared" ref="S770:S833" si="51">IF(C770&lt;5000,"Sedentary",IF(C770&lt;7500,"Lightly Active",IF(C770&lt;10000,"Fairly Active","Very_Active")))</f>
        <v>Lightly Active</v>
      </c>
    </row>
    <row r="771" spans="1:19" x14ac:dyDescent="0.25">
      <c r="A771">
        <v>8583815059</v>
      </c>
      <c r="B771" s="4">
        <v>42618</v>
      </c>
      <c r="C771">
        <v>9877</v>
      </c>
      <c r="D771" s="1">
        <v>7.6999998092651403</v>
      </c>
      <c r="E771" s="1">
        <v>7.6999998092651403</v>
      </c>
      <c r="F771" s="1">
        <v>0</v>
      </c>
      <c r="G771" s="1">
        <v>5.7600002288818404</v>
      </c>
      <c r="H771" s="1">
        <v>0.17000000178813901</v>
      </c>
      <c r="I771" s="1">
        <v>1.7300000190734901</v>
      </c>
      <c r="J771" s="1">
        <v>0</v>
      </c>
      <c r="K771">
        <v>66</v>
      </c>
      <c r="L771">
        <v>4</v>
      </c>
      <c r="M771">
        <v>110</v>
      </c>
      <c r="N771">
        <v>1260</v>
      </c>
      <c r="O771">
        <v>2947</v>
      </c>
      <c r="P771" t="str">
        <f t="shared" si="48"/>
        <v>Monday</v>
      </c>
      <c r="Q771">
        <f t="shared" si="49"/>
        <v>1440</v>
      </c>
      <c r="R771" t="str">
        <f t="shared" si="50"/>
        <v>Weekday</v>
      </c>
      <c r="S771" t="str">
        <f t="shared" si="51"/>
        <v>Fairly Active</v>
      </c>
    </row>
    <row r="772" spans="1:19" x14ac:dyDescent="0.25">
      <c r="A772">
        <v>8053475328</v>
      </c>
      <c r="B772" s="4">
        <v>42495</v>
      </c>
      <c r="C772">
        <v>14990</v>
      </c>
      <c r="D772" s="1">
        <v>11.5100002288818</v>
      </c>
      <c r="E772" s="1">
        <v>11.5100002288818</v>
      </c>
      <c r="F772" s="1">
        <v>0</v>
      </c>
      <c r="G772" s="1">
        <v>8.8500003814697301</v>
      </c>
      <c r="H772" s="1">
        <v>0.44999998807907099</v>
      </c>
      <c r="I772" s="1">
        <v>2.21000003814697</v>
      </c>
      <c r="J772" s="1">
        <v>0</v>
      </c>
      <c r="K772">
        <v>93</v>
      </c>
      <c r="L772">
        <v>9</v>
      </c>
      <c r="M772">
        <v>130</v>
      </c>
      <c r="N772">
        <v>1208</v>
      </c>
      <c r="O772">
        <v>2950</v>
      </c>
      <c r="P772" t="str">
        <f t="shared" si="48"/>
        <v>Thursday</v>
      </c>
      <c r="Q772">
        <f t="shared" si="49"/>
        <v>1440</v>
      </c>
      <c r="R772" t="str">
        <f t="shared" si="50"/>
        <v>Weekday</v>
      </c>
      <c r="S772" t="str">
        <f t="shared" si="51"/>
        <v>Very_Active</v>
      </c>
    </row>
    <row r="773" spans="1:19" x14ac:dyDescent="0.25">
      <c r="A773">
        <v>4020332650</v>
      </c>
      <c r="B773" s="4">
        <v>42475</v>
      </c>
      <c r="C773">
        <v>1882</v>
      </c>
      <c r="D773" s="1">
        <v>1.3500000238418599</v>
      </c>
      <c r="E773" s="1">
        <v>1.3500000238418599</v>
      </c>
      <c r="F773" s="1">
        <v>0</v>
      </c>
      <c r="G773" s="1">
        <v>0.20999999344348899</v>
      </c>
      <c r="H773" s="1">
        <v>0.36000001430511502</v>
      </c>
      <c r="I773" s="1">
        <v>0.769999980926514</v>
      </c>
      <c r="J773" s="1">
        <v>0</v>
      </c>
      <c r="K773">
        <v>36</v>
      </c>
      <c r="L773">
        <v>18</v>
      </c>
      <c r="M773">
        <v>87</v>
      </c>
      <c r="N773">
        <v>1299</v>
      </c>
      <c r="O773">
        <v>2951</v>
      </c>
      <c r="P773" t="str">
        <f t="shared" si="48"/>
        <v>Friday</v>
      </c>
      <c r="Q773">
        <f t="shared" si="49"/>
        <v>1440</v>
      </c>
      <c r="R773" t="str">
        <f t="shared" si="50"/>
        <v>Weekday</v>
      </c>
      <c r="S773" t="str">
        <f t="shared" si="51"/>
        <v>Sedentary</v>
      </c>
    </row>
    <row r="774" spans="1:19" x14ac:dyDescent="0.25">
      <c r="A774">
        <v>6290855005</v>
      </c>
      <c r="B774" s="4">
        <v>42474</v>
      </c>
      <c r="C774">
        <v>7671</v>
      </c>
      <c r="D774" s="1">
        <v>5.8000001907348597</v>
      </c>
      <c r="E774" s="1">
        <v>5.8000001907348597</v>
      </c>
      <c r="F774" s="1">
        <v>0</v>
      </c>
      <c r="G774" s="1">
        <v>0</v>
      </c>
      <c r="H774" s="1">
        <v>0</v>
      </c>
      <c r="I774" s="1">
        <v>5.7699999809265101</v>
      </c>
      <c r="J774" s="1">
        <v>2.9999999329447701E-2</v>
      </c>
      <c r="K774">
        <v>0</v>
      </c>
      <c r="L774">
        <v>0</v>
      </c>
      <c r="M774">
        <v>363</v>
      </c>
      <c r="N774">
        <v>1077</v>
      </c>
      <c r="O774">
        <v>2952</v>
      </c>
      <c r="P774" t="str">
        <f t="shared" si="48"/>
        <v>Thursday</v>
      </c>
      <c r="Q774">
        <f t="shared" si="49"/>
        <v>1440</v>
      </c>
      <c r="R774" t="str">
        <f t="shared" si="50"/>
        <v>Weekday</v>
      </c>
      <c r="S774" t="str">
        <f t="shared" si="51"/>
        <v>Fairly Active</v>
      </c>
    </row>
    <row r="775" spans="1:19" x14ac:dyDescent="0.25">
      <c r="A775">
        <v>4388161847</v>
      </c>
      <c r="B775" s="4">
        <v>42679</v>
      </c>
      <c r="C775">
        <v>10201</v>
      </c>
      <c r="D775" s="1">
        <v>7.8400001525878897</v>
      </c>
      <c r="E775" s="1">
        <v>7.8400001525878897</v>
      </c>
      <c r="F775" s="1">
        <v>0</v>
      </c>
      <c r="G775" s="1">
        <v>0.52999997138977095</v>
      </c>
      <c r="H775" s="1">
        <v>0.79000002145767201</v>
      </c>
      <c r="I775" s="1">
        <v>6.5300002098083496</v>
      </c>
      <c r="J775" s="1">
        <v>0</v>
      </c>
      <c r="K775">
        <v>8</v>
      </c>
      <c r="L775">
        <v>18</v>
      </c>
      <c r="M775">
        <v>256</v>
      </c>
      <c r="N775">
        <v>858</v>
      </c>
      <c r="O775">
        <v>2954</v>
      </c>
      <c r="P775" t="str">
        <f t="shared" si="48"/>
        <v>Saturday</v>
      </c>
      <c r="Q775">
        <f t="shared" si="49"/>
        <v>1140</v>
      </c>
      <c r="R775" t="str">
        <f t="shared" si="50"/>
        <v>Weekend</v>
      </c>
      <c r="S775" t="str">
        <f t="shared" si="51"/>
        <v>Very_Active</v>
      </c>
    </row>
    <row r="776" spans="1:19" x14ac:dyDescent="0.25">
      <c r="A776">
        <v>4388161847</v>
      </c>
      <c r="B776" s="4">
        <v>42708</v>
      </c>
      <c r="C776">
        <v>10122</v>
      </c>
      <c r="D776" s="1">
        <v>7.7800002098083496</v>
      </c>
      <c r="E776" s="1">
        <v>7.7800002098083496</v>
      </c>
      <c r="F776" s="1">
        <v>0</v>
      </c>
      <c r="G776" s="1">
        <v>0</v>
      </c>
      <c r="H776" s="1">
        <v>0</v>
      </c>
      <c r="I776" s="1">
        <v>0</v>
      </c>
      <c r="J776" s="1">
        <v>0</v>
      </c>
      <c r="K776">
        <v>0</v>
      </c>
      <c r="L776">
        <v>0</v>
      </c>
      <c r="M776">
        <v>0</v>
      </c>
      <c r="N776">
        <v>1440</v>
      </c>
      <c r="O776">
        <v>2955</v>
      </c>
      <c r="P776" t="str">
        <f t="shared" si="48"/>
        <v>Sunday</v>
      </c>
      <c r="Q776">
        <f t="shared" si="49"/>
        <v>1440</v>
      </c>
      <c r="R776" t="str">
        <f t="shared" si="50"/>
        <v>Weekend</v>
      </c>
      <c r="S776" t="str">
        <f t="shared" si="51"/>
        <v>Very_Active</v>
      </c>
    </row>
    <row r="777" spans="1:19" x14ac:dyDescent="0.25">
      <c r="A777">
        <v>7086361926</v>
      </c>
      <c r="B777" s="4">
        <v>42618</v>
      </c>
      <c r="C777">
        <v>13566</v>
      </c>
      <c r="D777" s="1">
        <v>9.1099996566772496</v>
      </c>
      <c r="E777" s="1">
        <v>9.1099996566772496</v>
      </c>
      <c r="F777" s="1">
        <v>0</v>
      </c>
      <c r="G777" s="1">
        <v>4.2600002288818404</v>
      </c>
      <c r="H777" s="1">
        <v>1.71000003814697</v>
      </c>
      <c r="I777" s="1">
        <v>3.1199998855590798</v>
      </c>
      <c r="J777" s="1">
        <v>0</v>
      </c>
      <c r="K777">
        <v>67</v>
      </c>
      <c r="L777">
        <v>50</v>
      </c>
      <c r="M777">
        <v>171</v>
      </c>
      <c r="N777">
        <v>743</v>
      </c>
      <c r="O777">
        <v>2960</v>
      </c>
      <c r="P777" t="str">
        <f t="shared" si="48"/>
        <v>Monday</v>
      </c>
      <c r="Q777">
        <f t="shared" si="49"/>
        <v>1031</v>
      </c>
      <c r="R777" t="str">
        <f t="shared" si="50"/>
        <v>Weekday</v>
      </c>
      <c r="S777" t="str">
        <f t="shared" si="51"/>
        <v>Very_Active</v>
      </c>
    </row>
    <row r="778" spans="1:19" x14ac:dyDescent="0.25">
      <c r="A778">
        <v>4388161847</v>
      </c>
      <c r="B778" s="4">
        <v>42488</v>
      </c>
      <c r="C778">
        <v>10074</v>
      </c>
      <c r="D778" s="1">
        <v>7.75</v>
      </c>
      <c r="E778" s="1">
        <v>7.75</v>
      </c>
      <c r="F778" s="1">
        <v>0</v>
      </c>
      <c r="G778" s="1">
        <v>1.28999996185303</v>
      </c>
      <c r="H778" s="1">
        <v>0.43000000715255698</v>
      </c>
      <c r="I778" s="1">
        <v>6.0300002098083496</v>
      </c>
      <c r="J778" s="1">
        <v>0</v>
      </c>
      <c r="K778">
        <v>19</v>
      </c>
      <c r="L778">
        <v>9</v>
      </c>
      <c r="M778">
        <v>234</v>
      </c>
      <c r="N778">
        <v>878</v>
      </c>
      <c r="O778">
        <v>2969</v>
      </c>
      <c r="P778" t="str">
        <f t="shared" si="48"/>
        <v>Thursday</v>
      </c>
      <c r="Q778">
        <f t="shared" si="49"/>
        <v>1140</v>
      </c>
      <c r="R778" t="str">
        <f t="shared" si="50"/>
        <v>Weekday</v>
      </c>
      <c r="S778" t="str">
        <f t="shared" si="51"/>
        <v>Very_Active</v>
      </c>
    </row>
    <row r="779" spans="1:19" x14ac:dyDescent="0.25">
      <c r="A779">
        <v>4020332650</v>
      </c>
      <c r="B779" s="4">
        <v>42556</v>
      </c>
      <c r="C779">
        <v>6132</v>
      </c>
      <c r="D779" s="1">
        <v>4.4000000953674299</v>
      </c>
      <c r="E779" s="1">
        <v>4.4000000953674299</v>
      </c>
      <c r="F779" s="1">
        <v>0</v>
      </c>
      <c r="G779" s="1">
        <v>0</v>
      </c>
      <c r="H779" s="1">
        <v>0</v>
      </c>
      <c r="I779" s="1">
        <v>3.5799999237060498</v>
      </c>
      <c r="J779" s="1">
        <v>0</v>
      </c>
      <c r="K779">
        <v>0</v>
      </c>
      <c r="L779">
        <v>0</v>
      </c>
      <c r="M779">
        <v>184</v>
      </c>
      <c r="N779">
        <v>1256</v>
      </c>
      <c r="O779">
        <v>2975</v>
      </c>
      <c r="P779" t="str">
        <f t="shared" si="48"/>
        <v>Tuesday</v>
      </c>
      <c r="Q779">
        <f t="shared" si="49"/>
        <v>1440</v>
      </c>
      <c r="R779" t="str">
        <f t="shared" si="50"/>
        <v>Weekday</v>
      </c>
      <c r="S779" t="str">
        <f t="shared" si="51"/>
        <v>Lightly Active</v>
      </c>
    </row>
    <row r="780" spans="1:19" x14ac:dyDescent="0.25">
      <c r="A780">
        <v>7007744171</v>
      </c>
      <c r="B780" s="4">
        <v>42434</v>
      </c>
      <c r="C780">
        <v>14510</v>
      </c>
      <c r="D780" s="1">
        <v>10.8699998855591</v>
      </c>
      <c r="E780" s="1">
        <v>9.7100000381469709</v>
      </c>
      <c r="F780" s="1">
        <v>4.9123678207397496</v>
      </c>
      <c r="G780" s="1">
        <v>4.4800000190734899</v>
      </c>
      <c r="H780" s="1">
        <v>1.0199999809265099</v>
      </c>
      <c r="I780" s="1">
        <v>5.3600001335143999</v>
      </c>
      <c r="J780" s="1">
        <v>0</v>
      </c>
      <c r="K780">
        <v>58</v>
      </c>
      <c r="L780">
        <v>31</v>
      </c>
      <c r="M780">
        <v>330</v>
      </c>
      <c r="N780">
        <v>1021</v>
      </c>
      <c r="O780">
        <v>2976</v>
      </c>
      <c r="P780" t="str">
        <f t="shared" si="48"/>
        <v>Saturday</v>
      </c>
      <c r="Q780">
        <f t="shared" si="49"/>
        <v>1440</v>
      </c>
      <c r="R780" t="str">
        <f t="shared" si="50"/>
        <v>Weekend</v>
      </c>
      <c r="S780" t="str">
        <f t="shared" si="51"/>
        <v>Very_Active</v>
      </c>
    </row>
    <row r="781" spans="1:19" x14ac:dyDescent="0.25">
      <c r="A781">
        <v>4388161847</v>
      </c>
      <c r="B781" s="4">
        <v>42489</v>
      </c>
      <c r="C781">
        <v>9232</v>
      </c>
      <c r="D781" s="1">
        <v>7.0999999046325701</v>
      </c>
      <c r="E781" s="1">
        <v>7.0999999046325701</v>
      </c>
      <c r="F781" s="1">
        <v>0</v>
      </c>
      <c r="G781" s="1">
        <v>0.80000001192092896</v>
      </c>
      <c r="H781" s="1">
        <v>0.88999998569488503</v>
      </c>
      <c r="I781" s="1">
        <v>5.4200000762939498</v>
      </c>
      <c r="J781" s="1">
        <v>0</v>
      </c>
      <c r="K781">
        <v>13</v>
      </c>
      <c r="L781">
        <v>16</v>
      </c>
      <c r="M781">
        <v>236</v>
      </c>
      <c r="N781">
        <v>1175</v>
      </c>
      <c r="O781">
        <v>2979</v>
      </c>
      <c r="P781" t="str">
        <f t="shared" si="48"/>
        <v>Friday</v>
      </c>
      <c r="Q781">
        <f t="shared" si="49"/>
        <v>1440</v>
      </c>
      <c r="R781" t="str">
        <f t="shared" si="50"/>
        <v>Weekday</v>
      </c>
      <c r="S781" t="str">
        <f t="shared" si="51"/>
        <v>Fairly Active</v>
      </c>
    </row>
    <row r="782" spans="1:19" x14ac:dyDescent="0.25">
      <c r="A782">
        <v>8378563200</v>
      </c>
      <c r="B782" s="4">
        <v>42489</v>
      </c>
      <c r="C782">
        <v>6175</v>
      </c>
      <c r="D782" s="1">
        <v>4.9000000953674299</v>
      </c>
      <c r="E782" s="1">
        <v>4.9000000953674299</v>
      </c>
      <c r="F782" s="1">
        <v>0</v>
      </c>
      <c r="G782" s="1">
        <v>0.25</v>
      </c>
      <c r="H782" s="1">
        <v>0.36000001430511502</v>
      </c>
      <c r="I782" s="1">
        <v>4.2699999809265101</v>
      </c>
      <c r="J782" s="1">
        <v>0</v>
      </c>
      <c r="K782">
        <v>3</v>
      </c>
      <c r="L782">
        <v>7</v>
      </c>
      <c r="M782">
        <v>172</v>
      </c>
      <c r="N782">
        <v>767</v>
      </c>
      <c r="O782">
        <v>2982</v>
      </c>
      <c r="P782" t="str">
        <f t="shared" si="48"/>
        <v>Friday</v>
      </c>
      <c r="Q782">
        <f t="shared" si="49"/>
        <v>949</v>
      </c>
      <c r="R782" t="str">
        <f t="shared" si="50"/>
        <v>Weekday</v>
      </c>
      <c r="S782" t="str">
        <f t="shared" si="51"/>
        <v>Lightly Active</v>
      </c>
    </row>
    <row r="783" spans="1:19" x14ac:dyDescent="0.25">
      <c r="A783">
        <v>4702921684</v>
      </c>
      <c r="B783" s="4">
        <v>42474</v>
      </c>
      <c r="C783">
        <v>7860</v>
      </c>
      <c r="D783" s="1">
        <v>6.3699998855590803</v>
      </c>
      <c r="E783" s="1">
        <v>6.3699998855590803</v>
      </c>
      <c r="F783" s="1">
        <v>0</v>
      </c>
      <c r="G783" s="1">
        <v>0</v>
      </c>
      <c r="H783" s="1">
        <v>0</v>
      </c>
      <c r="I783" s="1">
        <v>6.3699998855590803</v>
      </c>
      <c r="J783" s="1">
        <v>0</v>
      </c>
      <c r="K783">
        <v>0</v>
      </c>
      <c r="L783">
        <v>0</v>
      </c>
      <c r="M783">
        <v>271</v>
      </c>
      <c r="N783">
        <v>772</v>
      </c>
      <c r="O783">
        <v>2984</v>
      </c>
      <c r="P783" t="str">
        <f t="shared" si="48"/>
        <v>Thursday</v>
      </c>
      <c r="Q783">
        <f t="shared" si="49"/>
        <v>1043</v>
      </c>
      <c r="R783" t="str">
        <f t="shared" si="50"/>
        <v>Weekday</v>
      </c>
      <c r="S783" t="str">
        <f t="shared" si="51"/>
        <v>Fairly Active</v>
      </c>
    </row>
    <row r="784" spans="1:19" x14ac:dyDescent="0.25">
      <c r="A784">
        <v>1644430081</v>
      </c>
      <c r="B784" s="4">
        <v>42587</v>
      </c>
      <c r="C784">
        <v>6724</v>
      </c>
      <c r="D784" s="1">
        <v>4.8899998664856001</v>
      </c>
      <c r="E784" s="1">
        <v>4.8899998664856001</v>
      </c>
      <c r="F784" s="1">
        <v>0</v>
      </c>
      <c r="G784" s="1">
        <v>0</v>
      </c>
      <c r="H784" s="1">
        <v>0</v>
      </c>
      <c r="I784" s="1">
        <v>4.8800001144409197</v>
      </c>
      <c r="J784" s="1">
        <v>0</v>
      </c>
      <c r="K784">
        <v>0</v>
      </c>
      <c r="L784">
        <v>0</v>
      </c>
      <c r="M784">
        <v>295</v>
      </c>
      <c r="N784">
        <v>991</v>
      </c>
      <c r="O784">
        <v>2987</v>
      </c>
      <c r="P784" t="str">
        <f t="shared" si="48"/>
        <v>Friday</v>
      </c>
      <c r="Q784">
        <f t="shared" si="49"/>
        <v>1286</v>
      </c>
      <c r="R784" t="str">
        <f t="shared" si="50"/>
        <v>Weekday</v>
      </c>
      <c r="S784" t="str">
        <f t="shared" si="51"/>
        <v>Lightly Active</v>
      </c>
    </row>
    <row r="785" spans="1:19" x14ac:dyDescent="0.25">
      <c r="A785">
        <v>4702921684</v>
      </c>
      <c r="B785" s="4">
        <v>42618</v>
      </c>
      <c r="C785">
        <v>8232</v>
      </c>
      <c r="D785" s="1">
        <v>6.6799998283386204</v>
      </c>
      <c r="E785" s="1">
        <v>6.6799998283386204</v>
      </c>
      <c r="F785" s="1">
        <v>0</v>
      </c>
      <c r="G785" s="1">
        <v>0</v>
      </c>
      <c r="H785" s="1">
        <v>0.56999999284744296</v>
      </c>
      <c r="I785" s="1">
        <v>6.0999999046325701</v>
      </c>
      <c r="J785" s="1">
        <v>0</v>
      </c>
      <c r="K785">
        <v>0</v>
      </c>
      <c r="L785">
        <v>12</v>
      </c>
      <c r="M785">
        <v>253</v>
      </c>
      <c r="N785">
        <v>746</v>
      </c>
      <c r="O785">
        <v>2990</v>
      </c>
      <c r="P785" t="str">
        <f t="shared" si="48"/>
        <v>Monday</v>
      </c>
      <c r="Q785">
        <f t="shared" si="49"/>
        <v>1011</v>
      </c>
      <c r="R785" t="str">
        <f t="shared" si="50"/>
        <v>Weekday</v>
      </c>
      <c r="S785" t="str">
        <f t="shared" si="51"/>
        <v>Fairly Active</v>
      </c>
    </row>
    <row r="786" spans="1:19" x14ac:dyDescent="0.25">
      <c r="A786">
        <v>7086361926</v>
      </c>
      <c r="B786" s="4">
        <v>42490</v>
      </c>
      <c r="C786">
        <v>14560</v>
      </c>
      <c r="D786" s="1">
        <v>9.4099998474121094</v>
      </c>
      <c r="E786" s="1">
        <v>9.4099998474121094</v>
      </c>
      <c r="F786" s="1">
        <v>0</v>
      </c>
      <c r="G786" s="1">
        <v>3.1199998855590798</v>
      </c>
      <c r="H786" s="1">
        <v>1.03999996185303</v>
      </c>
      <c r="I786" s="1">
        <v>5.2399997711181596</v>
      </c>
      <c r="J786" s="1">
        <v>0</v>
      </c>
      <c r="K786">
        <v>42</v>
      </c>
      <c r="L786">
        <v>17</v>
      </c>
      <c r="M786">
        <v>308</v>
      </c>
      <c r="N786">
        <v>584</v>
      </c>
      <c r="O786">
        <v>2995</v>
      </c>
      <c r="P786" t="str">
        <f t="shared" si="48"/>
        <v>Saturday</v>
      </c>
      <c r="Q786">
        <f t="shared" si="49"/>
        <v>951</v>
      </c>
      <c r="R786" t="str">
        <f t="shared" si="50"/>
        <v>Weekend</v>
      </c>
      <c r="S786" t="str">
        <f t="shared" si="51"/>
        <v>Very_Active</v>
      </c>
    </row>
    <row r="787" spans="1:19" x14ac:dyDescent="0.25">
      <c r="A787">
        <v>7086361926</v>
      </c>
      <c r="B787" s="4">
        <v>42480</v>
      </c>
      <c r="C787">
        <v>14365</v>
      </c>
      <c r="D787" s="1">
        <v>10.6400003433228</v>
      </c>
      <c r="E787" s="1">
        <v>10.6400003433228</v>
      </c>
      <c r="F787" s="1">
        <v>0</v>
      </c>
      <c r="G787" s="1">
        <v>7.6399998664856001</v>
      </c>
      <c r="H787" s="1">
        <v>0.44999998807907099</v>
      </c>
      <c r="I787" s="1">
        <v>2.53999996185303</v>
      </c>
      <c r="J787" s="1">
        <v>0</v>
      </c>
      <c r="K787">
        <v>87</v>
      </c>
      <c r="L787">
        <v>13</v>
      </c>
      <c r="M787">
        <v>145</v>
      </c>
      <c r="N787">
        <v>797</v>
      </c>
      <c r="O787">
        <v>2997</v>
      </c>
      <c r="P787" t="str">
        <f t="shared" si="48"/>
        <v>Wednesday</v>
      </c>
      <c r="Q787">
        <f t="shared" si="49"/>
        <v>1042</v>
      </c>
      <c r="R787" t="str">
        <f t="shared" si="50"/>
        <v>Weekday</v>
      </c>
      <c r="S787" t="str">
        <f t="shared" si="51"/>
        <v>Very_Active</v>
      </c>
    </row>
    <row r="788" spans="1:19" x14ac:dyDescent="0.25">
      <c r="A788">
        <v>4388161847</v>
      </c>
      <c r="B788" s="4">
        <v>42474</v>
      </c>
      <c r="C788">
        <v>8863</v>
      </c>
      <c r="D788" s="1">
        <v>6.8200001716613796</v>
      </c>
      <c r="E788" s="1">
        <v>6.8200001716613796</v>
      </c>
      <c r="F788" s="1">
        <v>0</v>
      </c>
      <c r="G788" s="1">
        <v>0.129999995231628</v>
      </c>
      <c r="H788" s="1">
        <v>1.0700000524520901</v>
      </c>
      <c r="I788" s="1">
        <v>5.6199998855590803</v>
      </c>
      <c r="J788" s="1">
        <v>0</v>
      </c>
      <c r="K788">
        <v>10</v>
      </c>
      <c r="L788">
        <v>35</v>
      </c>
      <c r="M788">
        <v>219</v>
      </c>
      <c r="N788">
        <v>945</v>
      </c>
      <c r="O788">
        <v>2998</v>
      </c>
      <c r="P788" t="str">
        <f t="shared" si="48"/>
        <v>Thursday</v>
      </c>
      <c r="Q788">
        <f t="shared" si="49"/>
        <v>1209</v>
      </c>
      <c r="R788" t="str">
        <f t="shared" si="50"/>
        <v>Weekday</v>
      </c>
      <c r="S788" t="str">
        <f t="shared" si="51"/>
        <v>Fairly Active</v>
      </c>
    </row>
    <row r="789" spans="1:19" x14ac:dyDescent="0.25">
      <c r="A789">
        <v>5577150313</v>
      </c>
      <c r="B789" s="4">
        <v>42495</v>
      </c>
      <c r="C789">
        <v>7550</v>
      </c>
      <c r="D789" s="1">
        <v>5.6399998664856001</v>
      </c>
      <c r="E789" s="1">
        <v>5.6399998664856001</v>
      </c>
      <c r="F789" s="1">
        <v>0</v>
      </c>
      <c r="G789" s="1">
        <v>2.5</v>
      </c>
      <c r="H789" s="1">
        <v>0.46999999880790699</v>
      </c>
      <c r="I789" s="1">
        <v>2.6700000762939502</v>
      </c>
      <c r="J789" s="1">
        <v>0</v>
      </c>
      <c r="K789">
        <v>45</v>
      </c>
      <c r="L789">
        <v>21</v>
      </c>
      <c r="M789">
        <v>143</v>
      </c>
      <c r="N789">
        <v>1153</v>
      </c>
      <c r="O789">
        <v>3004</v>
      </c>
      <c r="P789" t="str">
        <f t="shared" si="48"/>
        <v>Thursday</v>
      </c>
      <c r="Q789">
        <f t="shared" si="49"/>
        <v>1362</v>
      </c>
      <c r="R789" t="str">
        <f t="shared" si="50"/>
        <v>Weekday</v>
      </c>
      <c r="S789" t="str">
        <f t="shared" si="51"/>
        <v>Fairly Active</v>
      </c>
    </row>
    <row r="790" spans="1:19" x14ac:dyDescent="0.25">
      <c r="A790">
        <v>4702921684</v>
      </c>
      <c r="B790" s="4">
        <v>42465</v>
      </c>
      <c r="C790">
        <v>8161</v>
      </c>
      <c r="D790" s="1">
        <v>6.6199998855590803</v>
      </c>
      <c r="E790" s="1">
        <v>6.6199998855590803</v>
      </c>
      <c r="F790" s="1">
        <v>0</v>
      </c>
      <c r="G790" s="1">
        <v>0.34000000357627902</v>
      </c>
      <c r="H790" s="1">
        <v>0.730000019073486</v>
      </c>
      <c r="I790" s="1">
        <v>5.53999996185303</v>
      </c>
      <c r="J790" s="1">
        <v>0</v>
      </c>
      <c r="K790">
        <v>4</v>
      </c>
      <c r="L790">
        <v>15</v>
      </c>
      <c r="M790">
        <v>251</v>
      </c>
      <c r="N790">
        <v>757</v>
      </c>
      <c r="O790">
        <v>3004</v>
      </c>
      <c r="P790" t="str">
        <f t="shared" si="48"/>
        <v>Tuesday</v>
      </c>
      <c r="Q790">
        <f t="shared" si="49"/>
        <v>1027</v>
      </c>
      <c r="R790" t="str">
        <f t="shared" si="50"/>
        <v>Weekday</v>
      </c>
      <c r="S790" t="str">
        <f t="shared" si="51"/>
        <v>Fairly Active</v>
      </c>
    </row>
    <row r="791" spans="1:19" x14ac:dyDescent="0.25">
      <c r="A791">
        <v>4702921684</v>
      </c>
      <c r="B791" s="4">
        <v>42495</v>
      </c>
      <c r="C791">
        <v>8614</v>
      </c>
      <c r="D791" s="1">
        <v>6.9899997711181596</v>
      </c>
      <c r="E791" s="1">
        <v>6.9899997711181596</v>
      </c>
      <c r="F791" s="1">
        <v>0</v>
      </c>
      <c r="G791" s="1">
        <v>0.67000001668930098</v>
      </c>
      <c r="H791" s="1">
        <v>0.21999999880790699</v>
      </c>
      <c r="I791" s="1">
        <v>6.0900001525878897</v>
      </c>
      <c r="J791" s="1">
        <v>0</v>
      </c>
      <c r="K791">
        <v>8</v>
      </c>
      <c r="L791">
        <v>5</v>
      </c>
      <c r="M791">
        <v>241</v>
      </c>
      <c r="N791">
        <v>745</v>
      </c>
      <c r="O791">
        <v>3006</v>
      </c>
      <c r="P791" t="str">
        <f t="shared" si="48"/>
        <v>Thursday</v>
      </c>
      <c r="Q791">
        <f t="shared" si="49"/>
        <v>999</v>
      </c>
      <c r="R791" t="str">
        <f t="shared" si="50"/>
        <v>Weekday</v>
      </c>
      <c r="S791" t="str">
        <f t="shared" si="51"/>
        <v>Fairly Active</v>
      </c>
    </row>
    <row r="792" spans="1:19" x14ac:dyDescent="0.25">
      <c r="A792">
        <v>1644430081</v>
      </c>
      <c r="B792" s="4">
        <v>42618</v>
      </c>
      <c r="C792">
        <v>6643</v>
      </c>
      <c r="D792" s="1">
        <v>4.8299999237060502</v>
      </c>
      <c r="E792" s="1">
        <v>4.8299999237060502</v>
      </c>
      <c r="F792" s="1">
        <v>0</v>
      </c>
      <c r="G792" s="1">
        <v>2.3900001049041699</v>
      </c>
      <c r="H792" s="1">
        <v>0.34999999403953602</v>
      </c>
      <c r="I792" s="1">
        <v>2.0899999141693102</v>
      </c>
      <c r="J792" s="1">
        <v>9.9999997764825804E-3</v>
      </c>
      <c r="K792">
        <v>32</v>
      </c>
      <c r="L792">
        <v>6</v>
      </c>
      <c r="M792">
        <v>303</v>
      </c>
      <c r="N792">
        <v>1099</v>
      </c>
      <c r="O792">
        <v>3008</v>
      </c>
      <c r="P792" t="str">
        <f t="shared" si="48"/>
        <v>Monday</v>
      </c>
      <c r="Q792">
        <f t="shared" si="49"/>
        <v>1440</v>
      </c>
      <c r="R792" t="str">
        <f t="shared" si="50"/>
        <v>Weekday</v>
      </c>
      <c r="S792" t="str">
        <f t="shared" si="51"/>
        <v>Lightly Active</v>
      </c>
    </row>
    <row r="793" spans="1:19" x14ac:dyDescent="0.25">
      <c r="A793">
        <v>1644430081</v>
      </c>
      <c r="B793" s="4">
        <v>42477</v>
      </c>
      <c r="C793">
        <v>8757</v>
      </c>
      <c r="D793" s="1">
        <v>6.3699998855590803</v>
      </c>
      <c r="E793" s="1">
        <v>6.3699998855590803</v>
      </c>
      <c r="F793" s="1">
        <v>0</v>
      </c>
      <c r="G793" s="1">
        <v>2.25</v>
      </c>
      <c r="H793" s="1">
        <v>0.56999999284744296</v>
      </c>
      <c r="I793" s="1">
        <v>3.5499999523162802</v>
      </c>
      <c r="J793" s="1">
        <v>0</v>
      </c>
      <c r="K793">
        <v>29</v>
      </c>
      <c r="L793">
        <v>13</v>
      </c>
      <c r="M793">
        <v>186</v>
      </c>
      <c r="N793">
        <v>1212</v>
      </c>
      <c r="O793">
        <v>3011</v>
      </c>
      <c r="P793" t="str">
        <f t="shared" si="48"/>
        <v>Sunday</v>
      </c>
      <c r="Q793">
        <f t="shared" si="49"/>
        <v>1440</v>
      </c>
      <c r="R793" t="str">
        <f t="shared" si="50"/>
        <v>Weekend</v>
      </c>
      <c r="S793" t="str">
        <f t="shared" si="51"/>
        <v>Fairly Active</v>
      </c>
    </row>
    <row r="794" spans="1:19" x14ac:dyDescent="0.25">
      <c r="A794">
        <v>8583815059</v>
      </c>
      <c r="B794" s="4">
        <v>42483</v>
      </c>
      <c r="C794">
        <v>9423</v>
      </c>
      <c r="D794" s="1">
        <v>7.3499999046325701</v>
      </c>
      <c r="E794" s="1">
        <v>7.3499999046325701</v>
      </c>
      <c r="F794" s="1">
        <v>0</v>
      </c>
      <c r="G794" s="1">
        <v>0.52999997138977095</v>
      </c>
      <c r="H794" s="1">
        <v>2.0299999713897701</v>
      </c>
      <c r="I794" s="1">
        <v>4.75</v>
      </c>
      <c r="J794" s="1">
        <v>0</v>
      </c>
      <c r="K794">
        <v>7</v>
      </c>
      <c r="L794">
        <v>44</v>
      </c>
      <c r="M794">
        <v>238</v>
      </c>
      <c r="N794">
        <v>1151</v>
      </c>
      <c r="O794">
        <v>3012</v>
      </c>
      <c r="P794" t="str">
        <f t="shared" si="48"/>
        <v>Saturday</v>
      </c>
      <c r="Q794">
        <f t="shared" si="49"/>
        <v>1440</v>
      </c>
      <c r="R794" t="str">
        <f t="shared" si="50"/>
        <v>Weekend</v>
      </c>
      <c r="S794" t="str">
        <f t="shared" si="51"/>
        <v>Fairly Active</v>
      </c>
    </row>
    <row r="795" spans="1:19" x14ac:dyDescent="0.25">
      <c r="A795">
        <v>4702921684</v>
      </c>
      <c r="B795" s="4">
        <v>42478</v>
      </c>
      <c r="C795">
        <v>9105</v>
      </c>
      <c r="D795" s="1">
        <v>7.3800001144409197</v>
      </c>
      <c r="E795" s="1">
        <v>7.3800001144409197</v>
      </c>
      <c r="F795" s="1">
        <v>0</v>
      </c>
      <c r="G795" s="1">
        <v>1.8200000524520901</v>
      </c>
      <c r="H795" s="1">
        <v>1.4900000095367401</v>
      </c>
      <c r="I795" s="1">
        <v>4.0700001716613796</v>
      </c>
      <c r="J795" s="1">
        <v>0</v>
      </c>
      <c r="K795">
        <v>22</v>
      </c>
      <c r="L795">
        <v>30</v>
      </c>
      <c r="M795">
        <v>191</v>
      </c>
      <c r="N795">
        <v>890</v>
      </c>
      <c r="O795">
        <v>3013</v>
      </c>
      <c r="P795" t="str">
        <f t="shared" si="48"/>
        <v>Monday</v>
      </c>
      <c r="Q795">
        <f t="shared" si="49"/>
        <v>1133</v>
      </c>
      <c r="R795" t="str">
        <f t="shared" si="50"/>
        <v>Weekday</v>
      </c>
      <c r="S795" t="str">
        <f t="shared" si="51"/>
        <v>Fairly Active</v>
      </c>
    </row>
    <row r="796" spans="1:19" x14ac:dyDescent="0.25">
      <c r="A796">
        <v>4388161847</v>
      </c>
      <c r="B796" s="4">
        <v>42618</v>
      </c>
      <c r="C796">
        <v>10218</v>
      </c>
      <c r="D796" s="1">
        <v>7.8600001335143999</v>
      </c>
      <c r="E796" s="1">
        <v>7.8600001335143999</v>
      </c>
      <c r="F796" s="1">
        <v>0</v>
      </c>
      <c r="G796" s="1">
        <v>0.34000000357627902</v>
      </c>
      <c r="H796" s="1">
        <v>0.730000019073486</v>
      </c>
      <c r="I796" s="1">
        <v>6.78999996185303</v>
      </c>
      <c r="J796" s="1">
        <v>0</v>
      </c>
      <c r="K796">
        <v>6</v>
      </c>
      <c r="L796">
        <v>19</v>
      </c>
      <c r="M796">
        <v>258</v>
      </c>
      <c r="N796">
        <v>1020</v>
      </c>
      <c r="O796">
        <v>3013</v>
      </c>
      <c r="P796" t="str">
        <f t="shared" si="48"/>
        <v>Monday</v>
      </c>
      <c r="Q796">
        <f t="shared" si="49"/>
        <v>1303</v>
      </c>
      <c r="R796" t="str">
        <f t="shared" si="50"/>
        <v>Weekday</v>
      </c>
      <c r="S796" t="str">
        <f t="shared" si="51"/>
        <v>Very_Active</v>
      </c>
    </row>
    <row r="797" spans="1:19" x14ac:dyDescent="0.25">
      <c r="A797">
        <v>5577150313</v>
      </c>
      <c r="B797" s="4">
        <v>42405</v>
      </c>
      <c r="C797">
        <v>7439</v>
      </c>
      <c r="D797" s="1">
        <v>5.5599999427795401</v>
      </c>
      <c r="E797" s="1">
        <v>5.5599999427795401</v>
      </c>
      <c r="F797" s="1">
        <v>0</v>
      </c>
      <c r="G797" s="1">
        <v>1.12000000476837</v>
      </c>
      <c r="H797" s="1">
        <v>0.34999999403953602</v>
      </c>
      <c r="I797" s="1">
        <v>4.0700001716613796</v>
      </c>
      <c r="J797" s="1">
        <v>0</v>
      </c>
      <c r="K797">
        <v>37</v>
      </c>
      <c r="L797">
        <v>20</v>
      </c>
      <c r="M797">
        <v>235</v>
      </c>
      <c r="N797">
        <v>732</v>
      </c>
      <c r="O797">
        <v>3014</v>
      </c>
      <c r="P797" t="str">
        <f t="shared" si="48"/>
        <v>Friday</v>
      </c>
      <c r="Q797">
        <f t="shared" si="49"/>
        <v>1024</v>
      </c>
      <c r="R797" t="str">
        <f t="shared" si="50"/>
        <v>Weekday</v>
      </c>
      <c r="S797" t="str">
        <f t="shared" si="51"/>
        <v>Lightly Active</v>
      </c>
    </row>
    <row r="798" spans="1:19" x14ac:dyDescent="0.25">
      <c r="A798">
        <v>4388161847</v>
      </c>
      <c r="B798" s="4">
        <v>42479</v>
      </c>
      <c r="C798">
        <v>10181</v>
      </c>
      <c r="D798" s="1">
        <v>7.8299999237060502</v>
      </c>
      <c r="E798" s="1">
        <v>7.8299999237060502</v>
      </c>
      <c r="F798" s="1">
        <v>0</v>
      </c>
      <c r="G798" s="1">
        <v>1.37000000476837</v>
      </c>
      <c r="H798" s="1">
        <v>0.68999999761581399</v>
      </c>
      <c r="I798" s="1">
        <v>5.7699999809265101</v>
      </c>
      <c r="J798" s="1">
        <v>0</v>
      </c>
      <c r="K798">
        <v>20</v>
      </c>
      <c r="L798">
        <v>16</v>
      </c>
      <c r="M798">
        <v>249</v>
      </c>
      <c r="N798">
        <v>704</v>
      </c>
      <c r="O798">
        <v>3015</v>
      </c>
      <c r="P798" t="str">
        <f t="shared" si="48"/>
        <v>Tuesday</v>
      </c>
      <c r="Q798">
        <f t="shared" si="49"/>
        <v>989</v>
      </c>
      <c r="R798" t="str">
        <f t="shared" si="50"/>
        <v>Weekday</v>
      </c>
      <c r="S798" t="str">
        <f t="shared" si="51"/>
        <v>Very_Active</v>
      </c>
    </row>
    <row r="799" spans="1:19" x14ac:dyDescent="0.25">
      <c r="A799">
        <v>8053475328</v>
      </c>
      <c r="B799" s="4">
        <v>42434</v>
      </c>
      <c r="C799">
        <v>15484</v>
      </c>
      <c r="D799" s="1">
        <v>11.8999996185303</v>
      </c>
      <c r="E799" s="1">
        <v>11.8999996185303</v>
      </c>
      <c r="F799" s="1">
        <v>0</v>
      </c>
      <c r="G799" s="1">
        <v>8.3900003433227504</v>
      </c>
      <c r="H799" s="1">
        <v>0.93000000715255704</v>
      </c>
      <c r="I799" s="1">
        <v>2.5899999141693102</v>
      </c>
      <c r="J799" s="1">
        <v>0</v>
      </c>
      <c r="K799">
        <v>87</v>
      </c>
      <c r="L799">
        <v>22</v>
      </c>
      <c r="M799">
        <v>165</v>
      </c>
      <c r="N799">
        <v>1166</v>
      </c>
      <c r="O799">
        <v>3023</v>
      </c>
      <c r="P799" t="str">
        <f t="shared" si="48"/>
        <v>Saturday</v>
      </c>
      <c r="Q799">
        <f t="shared" si="49"/>
        <v>1440</v>
      </c>
      <c r="R799" t="str">
        <f t="shared" si="50"/>
        <v>Weekend</v>
      </c>
      <c r="S799" t="str">
        <f t="shared" si="51"/>
        <v>Very_Active</v>
      </c>
    </row>
    <row r="800" spans="1:19" x14ac:dyDescent="0.25">
      <c r="A800">
        <v>4702921684</v>
      </c>
      <c r="B800" s="4">
        <v>42488</v>
      </c>
      <c r="C800">
        <v>9023</v>
      </c>
      <c r="D800" s="1">
        <v>7.3200001716613796</v>
      </c>
      <c r="E800" s="1">
        <v>7.3200001716613796</v>
      </c>
      <c r="F800" s="1">
        <v>0</v>
      </c>
      <c r="G800" s="1">
        <v>1.12999999523163</v>
      </c>
      <c r="H800" s="1">
        <v>0.41999998688697798</v>
      </c>
      <c r="I800" s="1">
        <v>5.7699999809265101</v>
      </c>
      <c r="J800" s="1">
        <v>0</v>
      </c>
      <c r="K800">
        <v>14</v>
      </c>
      <c r="L800">
        <v>9</v>
      </c>
      <c r="M800">
        <v>232</v>
      </c>
      <c r="N800">
        <v>738</v>
      </c>
      <c r="O800">
        <v>3033</v>
      </c>
      <c r="P800" t="str">
        <f t="shared" si="48"/>
        <v>Thursday</v>
      </c>
      <c r="Q800">
        <f t="shared" si="49"/>
        <v>993</v>
      </c>
      <c r="R800" t="str">
        <f t="shared" si="50"/>
        <v>Weekday</v>
      </c>
      <c r="S800" t="str">
        <f t="shared" si="51"/>
        <v>Fairly Active</v>
      </c>
    </row>
    <row r="801" spans="1:19" x14ac:dyDescent="0.25">
      <c r="A801">
        <v>8053475328</v>
      </c>
      <c r="B801" s="4">
        <v>42480</v>
      </c>
      <c r="C801">
        <v>15108</v>
      </c>
      <c r="D801" s="1">
        <v>12.189999580383301</v>
      </c>
      <c r="E801" s="1">
        <v>12.189999580383301</v>
      </c>
      <c r="F801" s="1">
        <v>0</v>
      </c>
      <c r="G801" s="1">
        <v>9.5799999237060494</v>
      </c>
      <c r="H801" s="1">
        <v>0.230000004172325</v>
      </c>
      <c r="I801" s="1">
        <v>2.3800001144409202</v>
      </c>
      <c r="J801" s="1">
        <v>0</v>
      </c>
      <c r="K801">
        <v>89</v>
      </c>
      <c r="L801">
        <v>5</v>
      </c>
      <c r="M801">
        <v>158</v>
      </c>
      <c r="N801">
        <v>695</v>
      </c>
      <c r="O801">
        <v>3043</v>
      </c>
      <c r="P801" t="str">
        <f t="shared" si="48"/>
        <v>Wednesday</v>
      </c>
      <c r="Q801">
        <f t="shared" si="49"/>
        <v>947</v>
      </c>
      <c r="R801" t="str">
        <f t="shared" si="50"/>
        <v>Weekday</v>
      </c>
      <c r="S801" t="str">
        <f t="shared" si="51"/>
        <v>Very_Active</v>
      </c>
    </row>
    <row r="802" spans="1:19" x14ac:dyDescent="0.25">
      <c r="A802">
        <v>4020332650</v>
      </c>
      <c r="B802" s="4">
        <v>42476</v>
      </c>
      <c r="C802">
        <v>1982</v>
      </c>
      <c r="D802" s="1">
        <v>1.41999995708466</v>
      </c>
      <c r="E802" s="1">
        <v>1.41999995708466</v>
      </c>
      <c r="F802" s="1">
        <v>0</v>
      </c>
      <c r="G802" s="1">
        <v>0.44999998807907099</v>
      </c>
      <c r="H802" s="1">
        <v>0.37000000476837203</v>
      </c>
      <c r="I802" s="1">
        <v>0.58999997377395597</v>
      </c>
      <c r="J802" s="1">
        <v>0</v>
      </c>
      <c r="K802">
        <v>65</v>
      </c>
      <c r="L802">
        <v>21</v>
      </c>
      <c r="M802">
        <v>55</v>
      </c>
      <c r="N802">
        <v>1222</v>
      </c>
      <c r="O802">
        <v>3051</v>
      </c>
      <c r="P802" t="str">
        <f t="shared" si="48"/>
        <v>Saturday</v>
      </c>
      <c r="Q802">
        <f t="shared" si="49"/>
        <v>1363</v>
      </c>
      <c r="R802" t="str">
        <f t="shared" si="50"/>
        <v>Weekend</v>
      </c>
      <c r="S802" t="str">
        <f t="shared" si="51"/>
        <v>Sedentary</v>
      </c>
    </row>
    <row r="803" spans="1:19" x14ac:dyDescent="0.25">
      <c r="A803">
        <v>8877689391</v>
      </c>
      <c r="B803" s="4">
        <v>42495</v>
      </c>
      <c r="C803">
        <v>14055</v>
      </c>
      <c r="D803" s="1">
        <v>10.670000076293899</v>
      </c>
      <c r="E803" s="1">
        <v>10.670000076293899</v>
      </c>
      <c r="F803" s="1">
        <v>0</v>
      </c>
      <c r="G803" s="1">
        <v>5.46000003814697</v>
      </c>
      <c r="H803" s="1">
        <v>0.81999999284744296</v>
      </c>
      <c r="I803" s="1">
        <v>4.3699998855590803</v>
      </c>
      <c r="J803" s="1">
        <v>0</v>
      </c>
      <c r="K803">
        <v>67</v>
      </c>
      <c r="L803">
        <v>15</v>
      </c>
      <c r="M803">
        <v>188</v>
      </c>
      <c r="N803">
        <v>1170</v>
      </c>
      <c r="O803">
        <v>3052</v>
      </c>
      <c r="P803" t="str">
        <f t="shared" si="48"/>
        <v>Thursday</v>
      </c>
      <c r="Q803">
        <f t="shared" si="49"/>
        <v>1440</v>
      </c>
      <c r="R803" t="str">
        <f t="shared" si="50"/>
        <v>Weekday</v>
      </c>
      <c r="S803" t="str">
        <f t="shared" si="51"/>
        <v>Very_Active</v>
      </c>
    </row>
    <row r="804" spans="1:19" x14ac:dyDescent="0.25">
      <c r="A804">
        <v>7007744171</v>
      </c>
      <c r="B804" s="4">
        <v>42485</v>
      </c>
      <c r="C804">
        <v>18229</v>
      </c>
      <c r="D804" s="1">
        <v>13.3400001525879</v>
      </c>
      <c r="E804" s="1">
        <v>12.199999809265099</v>
      </c>
      <c r="F804" s="1">
        <v>4.8617920875549299</v>
      </c>
      <c r="G804" s="1">
        <v>4.3099999427795401</v>
      </c>
      <c r="H804" s="1">
        <v>1.37000000476837</v>
      </c>
      <c r="I804" s="1">
        <v>7.6700000762939498</v>
      </c>
      <c r="J804" s="1">
        <v>0</v>
      </c>
      <c r="K804">
        <v>51</v>
      </c>
      <c r="L804">
        <v>24</v>
      </c>
      <c r="M804">
        <v>379</v>
      </c>
      <c r="N804">
        <v>986</v>
      </c>
      <c r="O804">
        <v>3055</v>
      </c>
      <c r="P804" t="str">
        <f t="shared" si="48"/>
        <v>Monday</v>
      </c>
      <c r="Q804">
        <f t="shared" si="49"/>
        <v>1440</v>
      </c>
      <c r="R804" t="str">
        <f t="shared" si="50"/>
        <v>Weekday</v>
      </c>
      <c r="S804" t="str">
        <f t="shared" si="51"/>
        <v>Very_Active</v>
      </c>
    </row>
    <row r="805" spans="1:19" x14ac:dyDescent="0.25">
      <c r="A805">
        <v>8877689391</v>
      </c>
      <c r="B805" s="4">
        <v>42488</v>
      </c>
      <c r="C805">
        <v>14890</v>
      </c>
      <c r="D805" s="1">
        <v>11.300000190734901</v>
      </c>
      <c r="E805" s="1">
        <v>11.300000190734901</v>
      </c>
      <c r="F805" s="1">
        <v>0</v>
      </c>
      <c r="G805" s="1">
        <v>4.9299998283386204</v>
      </c>
      <c r="H805" s="1">
        <v>0.37999999523162797</v>
      </c>
      <c r="I805" s="1">
        <v>5.9699997901916504</v>
      </c>
      <c r="J805" s="1">
        <v>0</v>
      </c>
      <c r="K805">
        <v>58</v>
      </c>
      <c r="L805">
        <v>8</v>
      </c>
      <c r="M805">
        <v>231</v>
      </c>
      <c r="N805">
        <v>1143</v>
      </c>
      <c r="O805">
        <v>3060</v>
      </c>
      <c r="P805" t="str">
        <f t="shared" si="48"/>
        <v>Thursday</v>
      </c>
      <c r="Q805">
        <f t="shared" si="49"/>
        <v>1440</v>
      </c>
      <c r="R805" t="str">
        <f t="shared" si="50"/>
        <v>Weekday</v>
      </c>
      <c r="S805" t="str">
        <f t="shared" si="51"/>
        <v>Very_Active</v>
      </c>
    </row>
    <row r="806" spans="1:19" x14ac:dyDescent="0.25">
      <c r="A806">
        <v>8378563200</v>
      </c>
      <c r="B806" s="4">
        <v>42487</v>
      </c>
      <c r="C806">
        <v>7359</v>
      </c>
      <c r="D806" s="1">
        <v>5.8400001525878897</v>
      </c>
      <c r="E806" s="1">
        <v>5.8400001525878897</v>
      </c>
      <c r="F806" s="1">
        <v>0</v>
      </c>
      <c r="G806" s="1">
        <v>0.33000001311302202</v>
      </c>
      <c r="H806" s="1">
        <v>0.18000000715255701</v>
      </c>
      <c r="I806" s="1">
        <v>5.3299999237060502</v>
      </c>
      <c r="J806" s="1">
        <v>0</v>
      </c>
      <c r="K806">
        <v>4</v>
      </c>
      <c r="L806">
        <v>4</v>
      </c>
      <c r="M806">
        <v>192</v>
      </c>
      <c r="N806">
        <v>676</v>
      </c>
      <c r="O806">
        <v>3061</v>
      </c>
      <c r="P806" t="str">
        <f t="shared" si="48"/>
        <v>Wednesday</v>
      </c>
      <c r="Q806">
        <f t="shared" si="49"/>
        <v>876</v>
      </c>
      <c r="R806" t="str">
        <f t="shared" si="50"/>
        <v>Weekday</v>
      </c>
      <c r="S806" t="str">
        <f t="shared" si="51"/>
        <v>Lightly Active</v>
      </c>
    </row>
    <row r="807" spans="1:19" x14ac:dyDescent="0.25">
      <c r="A807">
        <v>4702921684</v>
      </c>
      <c r="B807" s="4">
        <v>42480</v>
      </c>
      <c r="C807">
        <v>8793</v>
      </c>
      <c r="D807" s="1">
        <v>7.1300001144409197</v>
      </c>
      <c r="E807" s="1">
        <v>7.1300001144409197</v>
      </c>
      <c r="F807" s="1">
        <v>0</v>
      </c>
      <c r="G807" s="1">
        <v>0.15999999642372101</v>
      </c>
      <c r="H807" s="1">
        <v>1.2300000190734901</v>
      </c>
      <c r="I807" s="1">
        <v>5.7300000190734899</v>
      </c>
      <c r="J807" s="1">
        <v>0</v>
      </c>
      <c r="K807">
        <v>2</v>
      </c>
      <c r="L807">
        <v>29</v>
      </c>
      <c r="M807">
        <v>260</v>
      </c>
      <c r="N807">
        <v>717</v>
      </c>
      <c r="O807">
        <v>3061</v>
      </c>
      <c r="P807" t="str">
        <f t="shared" si="48"/>
        <v>Wednesday</v>
      </c>
      <c r="Q807">
        <f t="shared" si="49"/>
        <v>1008</v>
      </c>
      <c r="R807" t="str">
        <f t="shared" si="50"/>
        <v>Weekday</v>
      </c>
      <c r="S807" t="str">
        <f t="shared" si="51"/>
        <v>Fairly Active</v>
      </c>
    </row>
    <row r="808" spans="1:19" x14ac:dyDescent="0.25">
      <c r="A808">
        <v>4388161847</v>
      </c>
      <c r="B808" s="4">
        <v>42648</v>
      </c>
      <c r="C808">
        <v>10299</v>
      </c>
      <c r="D808" s="1">
        <v>7.9200000762939498</v>
      </c>
      <c r="E808" s="1">
        <v>7.9200000762939498</v>
      </c>
      <c r="F808" s="1">
        <v>0</v>
      </c>
      <c r="G808" s="1">
        <v>0.81000000238418601</v>
      </c>
      <c r="H808" s="1">
        <v>0.64999997615814198</v>
      </c>
      <c r="I808" s="1">
        <v>6.46000003814697</v>
      </c>
      <c r="J808" s="1">
        <v>0</v>
      </c>
      <c r="K808">
        <v>13</v>
      </c>
      <c r="L808">
        <v>14</v>
      </c>
      <c r="M808">
        <v>267</v>
      </c>
      <c r="N808">
        <v>648</v>
      </c>
      <c r="O808">
        <v>3061</v>
      </c>
      <c r="P808" t="str">
        <f t="shared" si="48"/>
        <v>Wednesday</v>
      </c>
      <c r="Q808">
        <f t="shared" si="49"/>
        <v>942</v>
      </c>
      <c r="R808" t="str">
        <f t="shared" si="50"/>
        <v>Weekday</v>
      </c>
      <c r="S808" t="str">
        <f t="shared" si="51"/>
        <v>Very_Active</v>
      </c>
    </row>
    <row r="809" spans="1:19" x14ac:dyDescent="0.25">
      <c r="A809">
        <v>8053475328</v>
      </c>
      <c r="B809" s="4">
        <v>42488</v>
      </c>
      <c r="C809">
        <v>15447</v>
      </c>
      <c r="D809" s="1">
        <v>12.3999996185303</v>
      </c>
      <c r="E809" s="1">
        <v>12.3999996185303</v>
      </c>
      <c r="F809" s="1">
        <v>0</v>
      </c>
      <c r="G809" s="1">
        <v>9.6700000762939506</v>
      </c>
      <c r="H809" s="1">
        <v>0.38999998569488498</v>
      </c>
      <c r="I809" s="1">
        <v>2.3499999046325701</v>
      </c>
      <c r="J809" s="1">
        <v>0</v>
      </c>
      <c r="K809">
        <v>90</v>
      </c>
      <c r="L809">
        <v>9</v>
      </c>
      <c r="M809">
        <v>153</v>
      </c>
      <c r="N809">
        <v>1188</v>
      </c>
      <c r="O809">
        <v>3062</v>
      </c>
      <c r="P809" t="str">
        <f t="shared" si="48"/>
        <v>Thursday</v>
      </c>
      <c r="Q809">
        <f t="shared" si="49"/>
        <v>1440</v>
      </c>
      <c r="R809" t="str">
        <f t="shared" si="50"/>
        <v>Weekday</v>
      </c>
      <c r="S809" t="str">
        <f t="shared" si="51"/>
        <v>Very_Active</v>
      </c>
    </row>
    <row r="810" spans="1:19" x14ac:dyDescent="0.25">
      <c r="A810">
        <v>4702921684</v>
      </c>
      <c r="B810" s="4">
        <v>42485</v>
      </c>
      <c r="C810">
        <v>9167</v>
      </c>
      <c r="D810" s="1">
        <v>7.4299998283386204</v>
      </c>
      <c r="E810" s="1">
        <v>7.4299998283386204</v>
      </c>
      <c r="F810" s="1">
        <v>0</v>
      </c>
      <c r="G810" s="1">
        <v>0.490000009536743</v>
      </c>
      <c r="H810" s="1">
        <v>0.81999999284744296</v>
      </c>
      <c r="I810" s="1">
        <v>6.1100001335143999</v>
      </c>
      <c r="J810" s="1">
        <v>0</v>
      </c>
      <c r="K810">
        <v>6</v>
      </c>
      <c r="L810">
        <v>15</v>
      </c>
      <c r="M810">
        <v>270</v>
      </c>
      <c r="N810">
        <v>730</v>
      </c>
      <c r="O810">
        <v>3064</v>
      </c>
      <c r="P810" t="str">
        <f t="shared" si="48"/>
        <v>Monday</v>
      </c>
      <c r="Q810">
        <f t="shared" si="49"/>
        <v>1021</v>
      </c>
      <c r="R810" t="str">
        <f t="shared" si="50"/>
        <v>Weekday</v>
      </c>
      <c r="S810" t="str">
        <f t="shared" si="51"/>
        <v>Fairly Active</v>
      </c>
    </row>
    <row r="811" spans="1:19" x14ac:dyDescent="0.25">
      <c r="A811">
        <v>4388161847</v>
      </c>
      <c r="B811" s="4">
        <v>42475</v>
      </c>
      <c r="C811">
        <v>8758</v>
      </c>
      <c r="D811" s="1">
        <v>6.7300000190734899</v>
      </c>
      <c r="E811" s="1">
        <v>6.7300000190734899</v>
      </c>
      <c r="F811" s="1">
        <v>0</v>
      </c>
      <c r="G811" s="1">
        <v>0</v>
      </c>
      <c r="H811" s="1">
        <v>0</v>
      </c>
      <c r="I811" s="1">
        <v>6.7300000190734899</v>
      </c>
      <c r="J811" s="1">
        <v>0</v>
      </c>
      <c r="K811">
        <v>0</v>
      </c>
      <c r="L811">
        <v>0</v>
      </c>
      <c r="M811">
        <v>299</v>
      </c>
      <c r="N811">
        <v>837</v>
      </c>
      <c r="O811">
        <v>3066</v>
      </c>
      <c r="P811" t="str">
        <f t="shared" si="48"/>
        <v>Friday</v>
      </c>
      <c r="Q811">
        <f t="shared" si="49"/>
        <v>1136</v>
      </c>
      <c r="R811" t="str">
        <f t="shared" si="50"/>
        <v>Weekday</v>
      </c>
      <c r="S811" t="str">
        <f t="shared" si="51"/>
        <v>Fairly Active</v>
      </c>
    </row>
    <row r="812" spans="1:19" x14ac:dyDescent="0.25">
      <c r="A812">
        <v>4702921684</v>
      </c>
      <c r="B812" s="4">
        <v>42679</v>
      </c>
      <c r="C812">
        <v>9810</v>
      </c>
      <c r="D812" s="1">
        <v>7.96000003814697</v>
      </c>
      <c r="E812" s="1">
        <v>7.96000003814697</v>
      </c>
      <c r="F812" s="1">
        <v>0</v>
      </c>
      <c r="G812" s="1">
        <v>0.77999997138977095</v>
      </c>
      <c r="H812" s="1">
        <v>2.1600000858306898</v>
      </c>
      <c r="I812" s="1">
        <v>4.9800000190734899</v>
      </c>
      <c r="J812" s="1">
        <v>0</v>
      </c>
      <c r="K812">
        <v>10</v>
      </c>
      <c r="L812">
        <v>41</v>
      </c>
      <c r="M812">
        <v>235</v>
      </c>
      <c r="N812">
        <v>784</v>
      </c>
      <c r="O812">
        <v>3069</v>
      </c>
      <c r="P812" t="str">
        <f t="shared" si="48"/>
        <v>Saturday</v>
      </c>
      <c r="Q812">
        <f t="shared" si="49"/>
        <v>1070</v>
      </c>
      <c r="R812" t="str">
        <f t="shared" si="50"/>
        <v>Weekend</v>
      </c>
      <c r="S812" t="str">
        <f t="shared" si="51"/>
        <v>Fairly Active</v>
      </c>
    </row>
    <row r="813" spans="1:19" x14ac:dyDescent="0.25">
      <c r="A813">
        <v>4388161847</v>
      </c>
      <c r="B813" s="4">
        <v>42481</v>
      </c>
      <c r="C813">
        <v>10055</v>
      </c>
      <c r="D813" s="1">
        <v>7.7300000190734899</v>
      </c>
      <c r="E813" s="1">
        <v>7.7300000190734899</v>
      </c>
      <c r="F813" s="1">
        <v>0</v>
      </c>
      <c r="G813" s="1">
        <v>0.37000000476837203</v>
      </c>
      <c r="H813" s="1">
        <v>0.38999998569488498</v>
      </c>
      <c r="I813" s="1">
        <v>6.9800000190734899</v>
      </c>
      <c r="J813" s="1">
        <v>0</v>
      </c>
      <c r="K813">
        <v>7</v>
      </c>
      <c r="L813">
        <v>12</v>
      </c>
      <c r="M813">
        <v>272</v>
      </c>
      <c r="N813">
        <v>853</v>
      </c>
      <c r="O813">
        <v>3069</v>
      </c>
      <c r="P813" t="str">
        <f t="shared" si="48"/>
        <v>Thursday</v>
      </c>
      <c r="Q813">
        <f t="shared" si="49"/>
        <v>1144</v>
      </c>
      <c r="R813" t="str">
        <f t="shared" si="50"/>
        <v>Weekday</v>
      </c>
      <c r="S813" t="str">
        <f t="shared" si="51"/>
        <v>Very_Active</v>
      </c>
    </row>
    <row r="814" spans="1:19" x14ac:dyDescent="0.25">
      <c r="A814">
        <v>4388161847</v>
      </c>
      <c r="B814" s="4">
        <v>42476</v>
      </c>
      <c r="C814">
        <v>6580</v>
      </c>
      <c r="D814" s="1">
        <v>5.0599999427795401</v>
      </c>
      <c r="E814" s="1">
        <v>5.0599999427795401</v>
      </c>
      <c r="F814" s="1">
        <v>0</v>
      </c>
      <c r="G814" s="1">
        <v>0.20999999344348899</v>
      </c>
      <c r="H814" s="1">
        <v>0.40000000596046398</v>
      </c>
      <c r="I814" s="1">
        <v>4.4499998092651403</v>
      </c>
      <c r="J814" s="1">
        <v>0</v>
      </c>
      <c r="K814">
        <v>6</v>
      </c>
      <c r="L814">
        <v>9</v>
      </c>
      <c r="M814">
        <v>253</v>
      </c>
      <c r="N814">
        <v>609</v>
      </c>
      <c r="O814">
        <v>3073</v>
      </c>
      <c r="P814" t="str">
        <f t="shared" si="48"/>
        <v>Saturday</v>
      </c>
      <c r="Q814">
        <f t="shared" si="49"/>
        <v>877</v>
      </c>
      <c r="R814" t="str">
        <f t="shared" si="50"/>
        <v>Weekend</v>
      </c>
      <c r="S814" t="str">
        <f t="shared" si="51"/>
        <v>Lightly Active</v>
      </c>
    </row>
    <row r="815" spans="1:19" x14ac:dyDescent="0.25">
      <c r="A815">
        <v>4388161847</v>
      </c>
      <c r="B815" s="4">
        <v>42487</v>
      </c>
      <c r="C815">
        <v>11193</v>
      </c>
      <c r="D815" s="1">
        <v>8.6099996566772496</v>
      </c>
      <c r="E815" s="1">
        <v>8.6099996566772496</v>
      </c>
      <c r="F815" s="1">
        <v>0</v>
      </c>
      <c r="G815" s="1">
        <v>0.69999998807907104</v>
      </c>
      <c r="H815" s="1">
        <v>2.5099999904632599</v>
      </c>
      <c r="I815" s="1">
        <v>5.3899998664856001</v>
      </c>
      <c r="J815" s="1">
        <v>0</v>
      </c>
      <c r="K815">
        <v>11</v>
      </c>
      <c r="L815">
        <v>48</v>
      </c>
      <c r="M815">
        <v>241</v>
      </c>
      <c r="N815">
        <v>684</v>
      </c>
      <c r="O815">
        <v>3074</v>
      </c>
      <c r="P815" t="str">
        <f t="shared" si="48"/>
        <v>Wednesday</v>
      </c>
      <c r="Q815">
        <f t="shared" si="49"/>
        <v>984</v>
      </c>
      <c r="R815" t="str">
        <f t="shared" si="50"/>
        <v>Weekday</v>
      </c>
      <c r="S815" t="str">
        <f t="shared" si="51"/>
        <v>Very_Active</v>
      </c>
    </row>
    <row r="816" spans="1:19" x14ac:dyDescent="0.25">
      <c r="A816">
        <v>4388161847</v>
      </c>
      <c r="B816" s="4">
        <v>42480</v>
      </c>
      <c r="C816">
        <v>10553</v>
      </c>
      <c r="D816" s="1">
        <v>8.1199998855590803</v>
      </c>
      <c r="E816" s="1">
        <v>8.1199998855590803</v>
      </c>
      <c r="F816" s="1">
        <v>0</v>
      </c>
      <c r="G816" s="1">
        <v>1.1000000238418599</v>
      </c>
      <c r="H816" s="1">
        <v>1.7200000286102299</v>
      </c>
      <c r="I816" s="1">
        <v>5.28999996185303</v>
      </c>
      <c r="J816" s="1">
        <v>0</v>
      </c>
      <c r="K816">
        <v>19</v>
      </c>
      <c r="L816">
        <v>42</v>
      </c>
      <c r="M816">
        <v>228</v>
      </c>
      <c r="N816">
        <v>696</v>
      </c>
      <c r="O816">
        <v>3083</v>
      </c>
      <c r="P816" t="str">
        <f t="shared" si="48"/>
        <v>Wednesday</v>
      </c>
      <c r="Q816">
        <f t="shared" si="49"/>
        <v>985</v>
      </c>
      <c r="R816" t="str">
        <f t="shared" si="50"/>
        <v>Weekday</v>
      </c>
      <c r="S816" t="str">
        <f t="shared" si="51"/>
        <v>Very_Active</v>
      </c>
    </row>
    <row r="817" spans="1:19" x14ac:dyDescent="0.25">
      <c r="A817">
        <v>5577150313</v>
      </c>
      <c r="B817" s="4">
        <v>42486</v>
      </c>
      <c r="C817">
        <v>5325</v>
      </c>
      <c r="D817" s="1">
        <v>3.9800000190734899</v>
      </c>
      <c r="E817" s="1">
        <v>3.9800000190734899</v>
      </c>
      <c r="F817" s="1">
        <v>0</v>
      </c>
      <c r="G817" s="1">
        <v>0.85000002384185802</v>
      </c>
      <c r="H817" s="1">
        <v>0.64999997615814198</v>
      </c>
      <c r="I817" s="1">
        <v>2.4700000286102299</v>
      </c>
      <c r="J817" s="1">
        <v>0</v>
      </c>
      <c r="K817">
        <v>38</v>
      </c>
      <c r="L817">
        <v>32</v>
      </c>
      <c r="M817">
        <v>181</v>
      </c>
      <c r="N817">
        <v>759</v>
      </c>
      <c r="O817">
        <v>3088</v>
      </c>
      <c r="P817" t="str">
        <f t="shared" si="48"/>
        <v>Tuesday</v>
      </c>
      <c r="Q817">
        <f t="shared" si="49"/>
        <v>1010</v>
      </c>
      <c r="R817" t="str">
        <f t="shared" si="50"/>
        <v>Weekday</v>
      </c>
      <c r="S817" t="str">
        <f t="shared" si="51"/>
        <v>Lightly Active</v>
      </c>
    </row>
    <row r="818" spans="1:19" x14ac:dyDescent="0.25">
      <c r="A818">
        <v>4020332650</v>
      </c>
      <c r="B818" s="4">
        <v>42587</v>
      </c>
      <c r="C818">
        <v>5862</v>
      </c>
      <c r="D818" s="1">
        <v>4.1999998092651403</v>
      </c>
      <c r="E818" s="1">
        <v>4.1999998092651403</v>
      </c>
      <c r="F818" s="1">
        <v>0</v>
      </c>
      <c r="G818" s="1">
        <v>0</v>
      </c>
      <c r="H818" s="1">
        <v>0</v>
      </c>
      <c r="I818" s="1">
        <v>4.1500000953674299</v>
      </c>
      <c r="J818" s="1">
        <v>0</v>
      </c>
      <c r="K818">
        <v>0</v>
      </c>
      <c r="L818">
        <v>0</v>
      </c>
      <c r="M818">
        <v>263</v>
      </c>
      <c r="N818">
        <v>775</v>
      </c>
      <c r="O818">
        <v>3089</v>
      </c>
      <c r="P818" t="str">
        <f t="shared" si="48"/>
        <v>Friday</v>
      </c>
      <c r="Q818">
        <f t="shared" si="49"/>
        <v>1038</v>
      </c>
      <c r="R818" t="str">
        <f t="shared" si="50"/>
        <v>Weekday</v>
      </c>
      <c r="S818" t="str">
        <f t="shared" si="51"/>
        <v>Lightly Active</v>
      </c>
    </row>
    <row r="819" spans="1:19" x14ac:dyDescent="0.25">
      <c r="A819">
        <v>4388161847</v>
      </c>
      <c r="B819" s="4">
        <v>42473</v>
      </c>
      <c r="C819">
        <v>10993</v>
      </c>
      <c r="D819" s="1">
        <v>8.4499998092651403</v>
      </c>
      <c r="E819" s="1">
        <v>8.4499998092651403</v>
      </c>
      <c r="F819" s="1">
        <v>0</v>
      </c>
      <c r="G819" s="1">
        <v>5.9999998658895499E-2</v>
      </c>
      <c r="H819" s="1">
        <v>0.62999999523162797</v>
      </c>
      <c r="I819" s="1">
        <v>3.8800001144409202</v>
      </c>
      <c r="J819" s="1">
        <v>0</v>
      </c>
      <c r="K819">
        <v>1</v>
      </c>
      <c r="L819">
        <v>14</v>
      </c>
      <c r="M819">
        <v>150</v>
      </c>
      <c r="N819">
        <v>1275</v>
      </c>
      <c r="O819">
        <v>3092</v>
      </c>
      <c r="P819" t="str">
        <f t="shared" si="48"/>
        <v>Wednesday</v>
      </c>
      <c r="Q819">
        <f t="shared" si="49"/>
        <v>1440</v>
      </c>
      <c r="R819" t="str">
        <f t="shared" si="50"/>
        <v>Weekday</v>
      </c>
      <c r="S819" t="str">
        <f t="shared" si="51"/>
        <v>Very_Active</v>
      </c>
    </row>
    <row r="820" spans="1:19" x14ac:dyDescent="0.25">
      <c r="A820">
        <v>8583815059</v>
      </c>
      <c r="B820" s="4">
        <v>42486</v>
      </c>
      <c r="C820">
        <v>10499</v>
      </c>
      <c r="D820" s="1">
        <v>8.1899995803833008</v>
      </c>
      <c r="E820" s="1">
        <v>8.1899995803833008</v>
      </c>
      <c r="F820" s="1">
        <v>0</v>
      </c>
      <c r="G820" s="1">
        <v>7.0000000298023196E-2</v>
      </c>
      <c r="H820" s="1">
        <v>4.2199997901916504</v>
      </c>
      <c r="I820" s="1">
        <v>3.8900001049041699</v>
      </c>
      <c r="J820" s="1">
        <v>0</v>
      </c>
      <c r="K820">
        <v>1</v>
      </c>
      <c r="L820">
        <v>91</v>
      </c>
      <c r="M820">
        <v>214</v>
      </c>
      <c r="N820">
        <v>1134</v>
      </c>
      <c r="O820">
        <v>3093</v>
      </c>
      <c r="P820" t="str">
        <f t="shared" si="48"/>
        <v>Tuesday</v>
      </c>
      <c r="Q820">
        <f t="shared" si="49"/>
        <v>1440</v>
      </c>
      <c r="R820" t="str">
        <f t="shared" si="50"/>
        <v>Weekday</v>
      </c>
      <c r="S820" t="str">
        <f t="shared" si="51"/>
        <v>Very_Active</v>
      </c>
    </row>
    <row r="821" spans="1:19" x14ac:dyDescent="0.25">
      <c r="A821">
        <v>7007744171</v>
      </c>
      <c r="B821" s="4">
        <v>42480</v>
      </c>
      <c r="C821">
        <v>15566</v>
      </c>
      <c r="D821" s="1">
        <v>11.310000419616699</v>
      </c>
      <c r="E821" s="1">
        <v>10.4099998474121</v>
      </c>
      <c r="F821" s="1">
        <v>4.9248409271240199</v>
      </c>
      <c r="G821" s="1">
        <v>4.78999996185303</v>
      </c>
      <c r="H821" s="1">
        <v>0.67000001668930098</v>
      </c>
      <c r="I821" s="1">
        <v>5.8600001335143999</v>
      </c>
      <c r="J821" s="1">
        <v>0</v>
      </c>
      <c r="K821">
        <v>60</v>
      </c>
      <c r="L821">
        <v>33</v>
      </c>
      <c r="M821">
        <v>347</v>
      </c>
      <c r="N821">
        <v>1000</v>
      </c>
      <c r="O821">
        <v>3096</v>
      </c>
      <c r="P821" t="str">
        <f t="shared" si="48"/>
        <v>Wednesday</v>
      </c>
      <c r="Q821">
        <f t="shared" si="49"/>
        <v>1440</v>
      </c>
      <c r="R821" t="str">
        <f t="shared" si="50"/>
        <v>Weekday</v>
      </c>
      <c r="S821" t="str">
        <f t="shared" si="51"/>
        <v>Very_Active</v>
      </c>
    </row>
    <row r="822" spans="1:19" x14ac:dyDescent="0.25">
      <c r="A822">
        <v>8792009665</v>
      </c>
      <c r="B822" s="4">
        <v>42489</v>
      </c>
      <c r="C822">
        <v>8360</v>
      </c>
      <c r="D822" s="1">
        <v>5.3499999046325701</v>
      </c>
      <c r="E822" s="1">
        <v>5.3499999046325701</v>
      </c>
      <c r="F822" s="1">
        <v>0</v>
      </c>
      <c r="G822" s="1">
        <v>0.140000000596046</v>
      </c>
      <c r="H822" s="1">
        <v>0.28000000119209301</v>
      </c>
      <c r="I822" s="1">
        <v>4.9299998283386204</v>
      </c>
      <c r="J822" s="1">
        <v>0</v>
      </c>
      <c r="K822">
        <v>6</v>
      </c>
      <c r="L822">
        <v>14</v>
      </c>
      <c r="M822">
        <v>380</v>
      </c>
      <c r="N822">
        <v>634</v>
      </c>
      <c r="O822">
        <v>3101</v>
      </c>
      <c r="P822" t="str">
        <f t="shared" si="48"/>
        <v>Friday</v>
      </c>
      <c r="Q822">
        <f t="shared" si="49"/>
        <v>1034</v>
      </c>
      <c r="R822" t="str">
        <f t="shared" si="50"/>
        <v>Weekday</v>
      </c>
      <c r="S822" t="str">
        <f t="shared" si="51"/>
        <v>Fairly Active</v>
      </c>
    </row>
    <row r="823" spans="1:19" x14ac:dyDescent="0.25">
      <c r="A823">
        <v>8053475328</v>
      </c>
      <c r="B823" s="4">
        <v>42481</v>
      </c>
      <c r="C823">
        <v>16057</v>
      </c>
      <c r="D823" s="1">
        <v>12.5100002288818</v>
      </c>
      <c r="E823" s="1">
        <v>12.5100002288818</v>
      </c>
      <c r="F823" s="1">
        <v>0</v>
      </c>
      <c r="G823" s="1">
        <v>9.6700000762939506</v>
      </c>
      <c r="H823" s="1">
        <v>0.25</v>
      </c>
      <c r="I823" s="1">
        <v>2.5799999237060498</v>
      </c>
      <c r="J823" s="1">
        <v>0</v>
      </c>
      <c r="K823">
        <v>100</v>
      </c>
      <c r="L823">
        <v>6</v>
      </c>
      <c r="M823">
        <v>170</v>
      </c>
      <c r="N823">
        <v>1164</v>
      </c>
      <c r="O823">
        <v>3103</v>
      </c>
      <c r="P823" t="str">
        <f t="shared" si="48"/>
        <v>Thursday</v>
      </c>
      <c r="Q823">
        <f t="shared" si="49"/>
        <v>1440</v>
      </c>
      <c r="R823" t="str">
        <f t="shared" si="50"/>
        <v>Weekday</v>
      </c>
      <c r="S823" t="str">
        <f t="shared" si="51"/>
        <v>Very_Active</v>
      </c>
    </row>
    <row r="824" spans="1:19" x14ac:dyDescent="0.25">
      <c r="A824">
        <v>1644430081</v>
      </c>
      <c r="B824" s="4">
        <v>42488</v>
      </c>
      <c r="C824">
        <v>9405</v>
      </c>
      <c r="D824" s="1">
        <v>6.8400001525878897</v>
      </c>
      <c r="E824" s="1">
        <v>6.8400001525878897</v>
      </c>
      <c r="F824" s="1">
        <v>0</v>
      </c>
      <c r="G824" s="1">
        <v>0.20000000298023199</v>
      </c>
      <c r="H824" s="1">
        <v>2.3199999332428001</v>
      </c>
      <c r="I824" s="1">
        <v>4.3099999427795401</v>
      </c>
      <c r="J824" s="1">
        <v>0</v>
      </c>
      <c r="K824">
        <v>3</v>
      </c>
      <c r="L824">
        <v>53</v>
      </c>
      <c r="M824">
        <v>227</v>
      </c>
      <c r="N824">
        <v>1157</v>
      </c>
      <c r="O824">
        <v>3108</v>
      </c>
      <c r="P824" t="str">
        <f t="shared" si="48"/>
        <v>Thursday</v>
      </c>
      <c r="Q824">
        <f t="shared" si="49"/>
        <v>1440</v>
      </c>
      <c r="R824" t="str">
        <f t="shared" si="50"/>
        <v>Weekday</v>
      </c>
      <c r="S824" t="str">
        <f t="shared" si="51"/>
        <v>Fairly Active</v>
      </c>
    </row>
    <row r="825" spans="1:19" x14ac:dyDescent="0.25">
      <c r="A825">
        <v>8378563200</v>
      </c>
      <c r="B825" s="4">
        <v>42465</v>
      </c>
      <c r="C825">
        <v>7875</v>
      </c>
      <c r="D825" s="1">
        <v>6.2399997711181596</v>
      </c>
      <c r="E825" s="1">
        <v>6.2399997711181596</v>
      </c>
      <c r="F825" s="1">
        <v>0</v>
      </c>
      <c r="G825" s="1">
        <v>1.5599999427795399</v>
      </c>
      <c r="H825" s="1">
        <v>0.490000009536743</v>
      </c>
      <c r="I825" s="1">
        <v>4.1999998092651403</v>
      </c>
      <c r="J825" s="1">
        <v>0</v>
      </c>
      <c r="K825">
        <v>19</v>
      </c>
      <c r="L825">
        <v>10</v>
      </c>
      <c r="M825">
        <v>167</v>
      </c>
      <c r="N825">
        <v>680</v>
      </c>
      <c r="O825">
        <v>3110</v>
      </c>
      <c r="P825" t="str">
        <f t="shared" si="48"/>
        <v>Tuesday</v>
      </c>
      <c r="Q825">
        <f t="shared" si="49"/>
        <v>876</v>
      </c>
      <c r="R825" t="str">
        <f t="shared" si="50"/>
        <v>Weekday</v>
      </c>
      <c r="S825" t="str">
        <f t="shared" si="51"/>
        <v>Fairly Active</v>
      </c>
    </row>
    <row r="826" spans="1:19" x14ac:dyDescent="0.25">
      <c r="A826">
        <v>8053475328</v>
      </c>
      <c r="B826" s="4">
        <v>42479</v>
      </c>
      <c r="C826">
        <v>15929</v>
      </c>
      <c r="D826" s="1">
        <v>12.4799995422363</v>
      </c>
      <c r="E826" s="1">
        <v>12.4799995422363</v>
      </c>
      <c r="F826" s="1">
        <v>0</v>
      </c>
      <c r="G826" s="1">
        <v>9.2200002670288104</v>
      </c>
      <c r="H826" s="1">
        <v>0.31000000238418601</v>
      </c>
      <c r="I826" s="1">
        <v>2.9500000476837198</v>
      </c>
      <c r="J826" s="1">
        <v>0</v>
      </c>
      <c r="K826">
        <v>90</v>
      </c>
      <c r="L826">
        <v>7</v>
      </c>
      <c r="M826">
        <v>191</v>
      </c>
      <c r="N826">
        <v>1152</v>
      </c>
      <c r="O826">
        <v>3114</v>
      </c>
      <c r="P826" t="str">
        <f t="shared" si="48"/>
        <v>Tuesday</v>
      </c>
      <c r="Q826">
        <f t="shared" si="49"/>
        <v>1440</v>
      </c>
      <c r="R826" t="str">
        <f t="shared" si="50"/>
        <v>Weekday</v>
      </c>
      <c r="S826" t="str">
        <f t="shared" si="51"/>
        <v>Very_Active</v>
      </c>
    </row>
    <row r="827" spans="1:19" x14ac:dyDescent="0.25">
      <c r="A827">
        <v>4702921684</v>
      </c>
      <c r="B827" s="4">
        <v>42490</v>
      </c>
      <c r="C827">
        <v>10144</v>
      </c>
      <c r="D827" s="1">
        <v>8.2299995422363299</v>
      </c>
      <c r="E827" s="1">
        <v>8.2299995422363299</v>
      </c>
      <c r="F827" s="1">
        <v>0</v>
      </c>
      <c r="G827" s="1">
        <v>0.31999999284744302</v>
      </c>
      <c r="H827" s="1">
        <v>2.0299999713897701</v>
      </c>
      <c r="I827" s="1">
        <v>5.8800001144409197</v>
      </c>
      <c r="J827" s="1">
        <v>0</v>
      </c>
      <c r="K827">
        <v>4</v>
      </c>
      <c r="L827">
        <v>36</v>
      </c>
      <c r="M827">
        <v>263</v>
      </c>
      <c r="N827">
        <v>728</v>
      </c>
      <c r="O827">
        <v>3115</v>
      </c>
      <c r="P827" t="str">
        <f t="shared" si="48"/>
        <v>Saturday</v>
      </c>
      <c r="Q827">
        <f t="shared" si="49"/>
        <v>1031</v>
      </c>
      <c r="R827" t="str">
        <f t="shared" si="50"/>
        <v>Weekend</v>
      </c>
      <c r="S827" t="str">
        <f t="shared" si="51"/>
        <v>Very_Active</v>
      </c>
    </row>
    <row r="828" spans="1:19" x14ac:dyDescent="0.25">
      <c r="A828">
        <v>1644430081</v>
      </c>
      <c r="B828" s="4">
        <v>42486</v>
      </c>
      <c r="C828">
        <v>9919</v>
      </c>
      <c r="D828" s="1">
        <v>7.21000003814697</v>
      </c>
      <c r="E828" s="1">
        <v>7.21000003814697</v>
      </c>
      <c r="F828" s="1">
        <v>0</v>
      </c>
      <c r="G828" s="1">
        <v>0.80000001192092896</v>
      </c>
      <c r="H828" s="1">
        <v>1.7200000286102299</v>
      </c>
      <c r="I828" s="1">
        <v>4.6900000572204599</v>
      </c>
      <c r="J828" s="1">
        <v>0</v>
      </c>
      <c r="K828">
        <v>11</v>
      </c>
      <c r="L828">
        <v>41</v>
      </c>
      <c r="M828">
        <v>223</v>
      </c>
      <c r="N828">
        <v>1165</v>
      </c>
      <c r="O828">
        <v>3123</v>
      </c>
      <c r="P828" t="str">
        <f t="shared" si="48"/>
        <v>Tuesday</v>
      </c>
      <c r="Q828">
        <f t="shared" si="49"/>
        <v>1440</v>
      </c>
      <c r="R828" t="str">
        <f t="shared" si="50"/>
        <v>Weekday</v>
      </c>
      <c r="S828" t="str">
        <f t="shared" si="51"/>
        <v>Fairly Active</v>
      </c>
    </row>
    <row r="829" spans="1:19" x14ac:dyDescent="0.25">
      <c r="A829">
        <v>8053475328</v>
      </c>
      <c r="B829" s="4">
        <v>42478</v>
      </c>
      <c r="C829">
        <v>17076</v>
      </c>
      <c r="D829" s="1">
        <v>12.6599998474121</v>
      </c>
      <c r="E829" s="1">
        <v>12.6599998474121</v>
      </c>
      <c r="F829" s="1">
        <v>0</v>
      </c>
      <c r="G829" s="1">
        <v>9.0799999237060494</v>
      </c>
      <c r="H829" s="1">
        <v>0.230000004172325</v>
      </c>
      <c r="I829" s="1">
        <v>3.3499999046325701</v>
      </c>
      <c r="J829" s="1">
        <v>0</v>
      </c>
      <c r="K829">
        <v>102</v>
      </c>
      <c r="L829">
        <v>6</v>
      </c>
      <c r="M829">
        <v>195</v>
      </c>
      <c r="N829">
        <v>1137</v>
      </c>
      <c r="O829">
        <v>3133</v>
      </c>
      <c r="P829" t="str">
        <f t="shared" si="48"/>
        <v>Monday</v>
      </c>
      <c r="Q829">
        <f t="shared" si="49"/>
        <v>1440</v>
      </c>
      <c r="R829" t="str">
        <f t="shared" si="50"/>
        <v>Weekday</v>
      </c>
      <c r="S829" t="str">
        <f t="shared" si="51"/>
        <v>Very_Active</v>
      </c>
    </row>
    <row r="830" spans="1:19" x14ac:dyDescent="0.25">
      <c r="A830">
        <v>8053475328</v>
      </c>
      <c r="B830" s="4">
        <v>42473</v>
      </c>
      <c r="C830">
        <v>16433</v>
      </c>
      <c r="D830" s="1">
        <v>13.3500003814697</v>
      </c>
      <c r="E830" s="1">
        <v>13.3500003814697</v>
      </c>
      <c r="F830" s="1">
        <v>0</v>
      </c>
      <c r="G830" s="1">
        <v>10.430000305175801</v>
      </c>
      <c r="H830" s="1">
        <v>0.46999999880790699</v>
      </c>
      <c r="I830" s="1">
        <v>2.4500000476837198</v>
      </c>
      <c r="J830" s="1">
        <v>0</v>
      </c>
      <c r="K830">
        <v>95</v>
      </c>
      <c r="L830">
        <v>12</v>
      </c>
      <c r="M830">
        <v>156</v>
      </c>
      <c r="N830">
        <v>1177</v>
      </c>
      <c r="O830">
        <v>3140</v>
      </c>
      <c r="P830" t="str">
        <f t="shared" si="48"/>
        <v>Wednesday</v>
      </c>
      <c r="Q830">
        <f t="shared" si="49"/>
        <v>1440</v>
      </c>
      <c r="R830" t="str">
        <f t="shared" si="50"/>
        <v>Weekday</v>
      </c>
      <c r="S830" t="str">
        <f t="shared" si="51"/>
        <v>Very_Active</v>
      </c>
    </row>
    <row r="831" spans="1:19" x14ac:dyDescent="0.25">
      <c r="A831">
        <v>8583815059</v>
      </c>
      <c r="B831" s="4">
        <v>42487</v>
      </c>
      <c r="C831">
        <v>12474</v>
      </c>
      <c r="D831" s="1">
        <v>9.7299995422363299</v>
      </c>
      <c r="E831" s="1">
        <v>9.7299995422363299</v>
      </c>
      <c r="F831" s="1">
        <v>0</v>
      </c>
      <c r="G831" s="1">
        <v>6.5999999046325701</v>
      </c>
      <c r="H831" s="1">
        <v>0.270000010728836</v>
      </c>
      <c r="I831" s="1">
        <v>2.8699998855590798</v>
      </c>
      <c r="J831" s="1">
        <v>0</v>
      </c>
      <c r="K831">
        <v>77</v>
      </c>
      <c r="L831">
        <v>5</v>
      </c>
      <c r="M831">
        <v>129</v>
      </c>
      <c r="N831">
        <v>1229</v>
      </c>
      <c r="O831">
        <v>3142</v>
      </c>
      <c r="P831" t="str">
        <f t="shared" si="48"/>
        <v>Wednesday</v>
      </c>
      <c r="Q831">
        <f t="shared" si="49"/>
        <v>1440</v>
      </c>
      <c r="R831" t="str">
        <f t="shared" si="50"/>
        <v>Weekday</v>
      </c>
      <c r="S831" t="str">
        <f t="shared" si="51"/>
        <v>Very_Active</v>
      </c>
    </row>
    <row r="832" spans="1:19" x14ac:dyDescent="0.25">
      <c r="A832">
        <v>4702921684</v>
      </c>
      <c r="B832" s="4">
        <v>42434</v>
      </c>
      <c r="C832">
        <v>9454</v>
      </c>
      <c r="D832" s="1">
        <v>7.6700000762939498</v>
      </c>
      <c r="E832" s="1">
        <v>7.6700000762939498</v>
      </c>
      <c r="F832" s="1">
        <v>0</v>
      </c>
      <c r="G832" s="1">
        <v>0</v>
      </c>
      <c r="H832" s="1">
        <v>0</v>
      </c>
      <c r="I832" s="1">
        <v>7.6700000762939498</v>
      </c>
      <c r="J832" s="1">
        <v>0</v>
      </c>
      <c r="K832">
        <v>0</v>
      </c>
      <c r="L832">
        <v>0</v>
      </c>
      <c r="M832">
        <v>313</v>
      </c>
      <c r="N832">
        <v>729</v>
      </c>
      <c r="O832">
        <v>3145</v>
      </c>
      <c r="P832" t="str">
        <f t="shared" si="48"/>
        <v>Saturday</v>
      </c>
      <c r="Q832">
        <f t="shared" si="49"/>
        <v>1042</v>
      </c>
      <c r="R832" t="str">
        <f t="shared" si="50"/>
        <v>Weekend</v>
      </c>
      <c r="S832" t="str">
        <f t="shared" si="51"/>
        <v>Fairly Active</v>
      </c>
    </row>
    <row r="833" spans="1:19" x14ac:dyDescent="0.25">
      <c r="A833">
        <v>4388161847</v>
      </c>
      <c r="B833" s="4">
        <v>42405</v>
      </c>
      <c r="C833">
        <v>10096</v>
      </c>
      <c r="D833" s="1">
        <v>8.3999996185302699</v>
      </c>
      <c r="E833" s="1">
        <v>8.3999996185302699</v>
      </c>
      <c r="F833" s="1">
        <v>0</v>
      </c>
      <c r="G833" s="1">
        <v>3.7699999809265101</v>
      </c>
      <c r="H833" s="1">
        <v>7.9999998211860698E-2</v>
      </c>
      <c r="I833" s="1">
        <v>4.5500001907348597</v>
      </c>
      <c r="J833" s="1">
        <v>0</v>
      </c>
      <c r="K833">
        <v>33</v>
      </c>
      <c r="L833">
        <v>4</v>
      </c>
      <c r="M833">
        <v>204</v>
      </c>
      <c r="N833">
        <v>935</v>
      </c>
      <c r="O833">
        <v>3147</v>
      </c>
      <c r="P833" t="str">
        <f t="shared" si="48"/>
        <v>Friday</v>
      </c>
      <c r="Q833">
        <f t="shared" si="49"/>
        <v>1176</v>
      </c>
      <c r="R833" t="str">
        <f t="shared" si="50"/>
        <v>Weekday</v>
      </c>
      <c r="S833" t="str">
        <f t="shared" si="51"/>
        <v>Very_Active</v>
      </c>
    </row>
    <row r="834" spans="1:19" x14ac:dyDescent="0.25">
      <c r="A834">
        <v>5577150313</v>
      </c>
      <c r="B834" s="4">
        <v>42483</v>
      </c>
      <c r="C834">
        <v>7638</v>
      </c>
      <c r="D834" s="1">
        <v>5.71000003814697</v>
      </c>
      <c r="E834" s="1">
        <v>5.71000003814697</v>
      </c>
      <c r="F834" s="1">
        <v>0</v>
      </c>
      <c r="G834" s="1">
        <v>1.21000003814697</v>
      </c>
      <c r="H834" s="1">
        <v>0.36000001430511502</v>
      </c>
      <c r="I834" s="1">
        <v>4.1399998664856001</v>
      </c>
      <c r="J834" s="1">
        <v>0</v>
      </c>
      <c r="K834">
        <v>24</v>
      </c>
      <c r="L834">
        <v>24</v>
      </c>
      <c r="M834">
        <v>223</v>
      </c>
      <c r="N834">
        <v>627</v>
      </c>
      <c r="O834">
        <v>3152</v>
      </c>
      <c r="P834" t="str">
        <f t="shared" ref="P834:P897" si="52">TEXT(B834,"dddd")</f>
        <v>Saturday</v>
      </c>
      <c r="Q834">
        <f t="shared" ref="Q834:Q897" si="53">SUM(K834:N834)</f>
        <v>898</v>
      </c>
      <c r="R834" t="str">
        <f t="shared" ref="R834:R897" si="54">IF(WEEKDAY(B834,2)&lt;=5,"Weekday","Weekend")</f>
        <v>Weekend</v>
      </c>
      <c r="S834" t="str">
        <f t="shared" ref="S834:S897" si="55">IF(C834&lt;5000,"Sedentary",IF(C834&lt;7500,"Lightly Active",IF(C834&lt;10000,"Fairly Active","Very_Active")))</f>
        <v>Fairly Active</v>
      </c>
    </row>
    <row r="835" spans="1:19" x14ac:dyDescent="0.25">
      <c r="A835">
        <v>2022484408</v>
      </c>
      <c r="B835" s="4">
        <v>42481</v>
      </c>
      <c r="C835">
        <v>12453</v>
      </c>
      <c r="D835" s="1">
        <v>8.7399997711181605</v>
      </c>
      <c r="E835" s="1">
        <v>8.7399997711181605</v>
      </c>
      <c r="F835" s="1">
        <v>0</v>
      </c>
      <c r="G835" s="1">
        <v>3.3299999237060498</v>
      </c>
      <c r="H835" s="1">
        <v>1.1100000143051101</v>
      </c>
      <c r="I835" s="1">
        <v>4.3099999427795401</v>
      </c>
      <c r="J835" s="1">
        <v>0</v>
      </c>
      <c r="K835">
        <v>104</v>
      </c>
      <c r="L835">
        <v>53</v>
      </c>
      <c r="M835">
        <v>255</v>
      </c>
      <c r="N835">
        <v>1028</v>
      </c>
      <c r="O835">
        <v>3158</v>
      </c>
      <c r="P835" t="str">
        <f t="shared" si="52"/>
        <v>Thursday</v>
      </c>
      <c r="Q835">
        <f t="shared" si="53"/>
        <v>1440</v>
      </c>
      <c r="R835" t="str">
        <f t="shared" si="54"/>
        <v>Weekday</v>
      </c>
      <c r="S835" t="str">
        <f t="shared" si="55"/>
        <v>Very_Active</v>
      </c>
    </row>
    <row r="836" spans="1:19" x14ac:dyDescent="0.25">
      <c r="A836">
        <v>4388161847</v>
      </c>
      <c r="B836" s="4">
        <v>42465</v>
      </c>
      <c r="C836">
        <v>12375</v>
      </c>
      <c r="D836" s="1">
        <v>9.5200004577636701</v>
      </c>
      <c r="E836" s="1">
        <v>9.5200004577636701</v>
      </c>
      <c r="F836" s="1">
        <v>0</v>
      </c>
      <c r="G836" s="1">
        <v>2.78999996185303</v>
      </c>
      <c r="H836" s="1">
        <v>0.93000000715255704</v>
      </c>
      <c r="I836" s="1">
        <v>5.8000001907348597</v>
      </c>
      <c r="J836" s="1">
        <v>0</v>
      </c>
      <c r="K836">
        <v>35</v>
      </c>
      <c r="L836">
        <v>21</v>
      </c>
      <c r="M836">
        <v>251</v>
      </c>
      <c r="N836">
        <v>632</v>
      </c>
      <c r="O836">
        <v>3162</v>
      </c>
      <c r="P836" t="str">
        <f t="shared" si="52"/>
        <v>Tuesday</v>
      </c>
      <c r="Q836">
        <f t="shared" si="53"/>
        <v>939</v>
      </c>
      <c r="R836" t="str">
        <f t="shared" si="54"/>
        <v>Weekday</v>
      </c>
      <c r="S836" t="str">
        <f t="shared" si="55"/>
        <v>Very_Active</v>
      </c>
    </row>
    <row r="837" spans="1:19" x14ac:dyDescent="0.25">
      <c r="A837">
        <v>8583815059</v>
      </c>
      <c r="B837" s="4">
        <v>42490</v>
      </c>
      <c r="C837">
        <v>10085</v>
      </c>
      <c r="D837" s="1">
        <v>7.8699998855590803</v>
      </c>
      <c r="E837" s="1">
        <v>7.8699998855590803</v>
      </c>
      <c r="F837" s="1">
        <v>0</v>
      </c>
      <c r="G837" s="1">
        <v>0.15000000596046401</v>
      </c>
      <c r="H837" s="1">
        <v>1.2799999713897701</v>
      </c>
      <c r="I837" s="1">
        <v>6.4299998283386204</v>
      </c>
      <c r="J837" s="1">
        <v>0</v>
      </c>
      <c r="K837">
        <v>2</v>
      </c>
      <c r="L837">
        <v>28</v>
      </c>
      <c r="M837">
        <v>317</v>
      </c>
      <c r="N837">
        <v>1093</v>
      </c>
      <c r="O837">
        <v>3164</v>
      </c>
      <c r="P837" t="str">
        <f t="shared" si="52"/>
        <v>Saturday</v>
      </c>
      <c r="Q837">
        <f t="shared" si="53"/>
        <v>1440</v>
      </c>
      <c r="R837" t="str">
        <f t="shared" si="54"/>
        <v>Weekend</v>
      </c>
      <c r="S837" t="str">
        <f t="shared" si="55"/>
        <v>Very_Active</v>
      </c>
    </row>
    <row r="838" spans="1:19" x14ac:dyDescent="0.25">
      <c r="A838">
        <v>4702921684</v>
      </c>
      <c r="B838" s="4">
        <v>42489</v>
      </c>
      <c r="C838">
        <v>9930</v>
      </c>
      <c r="D838" s="1">
        <v>8.0500001907348597</v>
      </c>
      <c r="E838" s="1">
        <v>8.0500001907348597</v>
      </c>
      <c r="F838" s="1">
        <v>0</v>
      </c>
      <c r="G838" s="1">
        <v>1.0599999427795399</v>
      </c>
      <c r="H838" s="1">
        <v>0.92000001668930098</v>
      </c>
      <c r="I838" s="1">
        <v>6.0700001716613796</v>
      </c>
      <c r="J838" s="1">
        <v>0</v>
      </c>
      <c r="K838">
        <v>12</v>
      </c>
      <c r="L838">
        <v>19</v>
      </c>
      <c r="M838">
        <v>267</v>
      </c>
      <c r="N838">
        <v>692</v>
      </c>
      <c r="O838">
        <v>3165</v>
      </c>
      <c r="P838" t="str">
        <f t="shared" si="52"/>
        <v>Friday</v>
      </c>
      <c r="Q838">
        <f t="shared" si="53"/>
        <v>990</v>
      </c>
      <c r="R838" t="str">
        <f t="shared" si="54"/>
        <v>Weekday</v>
      </c>
      <c r="S838" t="str">
        <f t="shared" si="55"/>
        <v>Fairly Active</v>
      </c>
    </row>
    <row r="839" spans="1:19" x14ac:dyDescent="0.25">
      <c r="A839">
        <v>6290855005</v>
      </c>
      <c r="B839" s="4">
        <v>42477</v>
      </c>
      <c r="C839">
        <v>7851</v>
      </c>
      <c r="D839" s="1">
        <v>5.9400000572204599</v>
      </c>
      <c r="E839" s="1">
        <v>5.9400000572204599</v>
      </c>
      <c r="F839" s="1">
        <v>0</v>
      </c>
      <c r="G839" s="1">
        <v>1.1399999856948899</v>
      </c>
      <c r="H839" s="1">
        <v>0.79000002145767201</v>
      </c>
      <c r="I839" s="1">
        <v>4</v>
      </c>
      <c r="J839" s="1">
        <v>0</v>
      </c>
      <c r="K839">
        <v>31</v>
      </c>
      <c r="L839">
        <v>12</v>
      </c>
      <c r="M839">
        <v>225</v>
      </c>
      <c r="N839">
        <v>1172</v>
      </c>
      <c r="O839">
        <v>3171</v>
      </c>
      <c r="P839" t="str">
        <f t="shared" si="52"/>
        <v>Sunday</v>
      </c>
      <c r="Q839">
        <f t="shared" si="53"/>
        <v>1440</v>
      </c>
      <c r="R839" t="str">
        <f t="shared" si="54"/>
        <v>Weekend</v>
      </c>
      <c r="S839" t="str">
        <f t="shared" si="55"/>
        <v>Fairly Active</v>
      </c>
    </row>
    <row r="840" spans="1:19" x14ac:dyDescent="0.25">
      <c r="A840">
        <v>4702921684</v>
      </c>
      <c r="B840" s="4">
        <v>42648</v>
      </c>
      <c r="C840">
        <v>10613</v>
      </c>
      <c r="D840" s="1">
        <v>8.6099996566772496</v>
      </c>
      <c r="E840" s="1">
        <v>8.6099996566772496</v>
      </c>
      <c r="F840" s="1">
        <v>0</v>
      </c>
      <c r="G840" s="1">
        <v>7.9999998211860698E-2</v>
      </c>
      <c r="H840" s="1">
        <v>1.87999999523163</v>
      </c>
      <c r="I840" s="1">
        <v>6.6500000953674299</v>
      </c>
      <c r="J840" s="1">
        <v>0</v>
      </c>
      <c r="K840">
        <v>1</v>
      </c>
      <c r="L840">
        <v>37</v>
      </c>
      <c r="M840">
        <v>262</v>
      </c>
      <c r="N840">
        <v>701</v>
      </c>
      <c r="O840">
        <v>3172</v>
      </c>
      <c r="P840" t="str">
        <f t="shared" si="52"/>
        <v>Wednesday</v>
      </c>
      <c r="Q840">
        <f t="shared" si="53"/>
        <v>1001</v>
      </c>
      <c r="R840" t="str">
        <f t="shared" si="54"/>
        <v>Weekday</v>
      </c>
      <c r="S840" t="str">
        <f t="shared" si="55"/>
        <v>Very_Active</v>
      </c>
    </row>
    <row r="841" spans="1:19" x14ac:dyDescent="0.25">
      <c r="A841">
        <v>7007744171</v>
      </c>
      <c r="B841" s="4">
        <v>42489</v>
      </c>
      <c r="C841">
        <v>20067</v>
      </c>
      <c r="D841" s="1">
        <v>14.300000190734901</v>
      </c>
      <c r="E841" s="1">
        <v>13.420000076293899</v>
      </c>
      <c r="F841" s="1">
        <v>4.9111461639404297</v>
      </c>
      <c r="G841" s="1">
        <v>4.3099999427795401</v>
      </c>
      <c r="H841" s="1">
        <v>2.0499999523162802</v>
      </c>
      <c r="I841" s="1">
        <v>7.9499998092651403</v>
      </c>
      <c r="J841" s="1">
        <v>0</v>
      </c>
      <c r="K841">
        <v>55</v>
      </c>
      <c r="L841">
        <v>42</v>
      </c>
      <c r="M841">
        <v>382</v>
      </c>
      <c r="N841">
        <v>961</v>
      </c>
      <c r="O841">
        <v>3180</v>
      </c>
      <c r="P841" t="str">
        <f t="shared" si="52"/>
        <v>Friday</v>
      </c>
      <c r="Q841">
        <f t="shared" si="53"/>
        <v>1440</v>
      </c>
      <c r="R841" t="str">
        <f t="shared" si="54"/>
        <v>Weekday</v>
      </c>
      <c r="S841" t="str">
        <f t="shared" si="55"/>
        <v>Very_Active</v>
      </c>
    </row>
    <row r="842" spans="1:19" x14ac:dyDescent="0.25">
      <c r="A842">
        <v>8053475328</v>
      </c>
      <c r="B842" s="4">
        <v>42708</v>
      </c>
      <c r="C842">
        <v>18060</v>
      </c>
      <c r="D842" s="1">
        <v>14.1199998855591</v>
      </c>
      <c r="E842" s="1">
        <v>14.1199998855591</v>
      </c>
      <c r="F842" s="1">
        <v>0</v>
      </c>
      <c r="G842" s="1">
        <v>11.6400003433228</v>
      </c>
      <c r="H842" s="1">
        <v>0.38999998569488498</v>
      </c>
      <c r="I842" s="1">
        <v>2.0999999046325701</v>
      </c>
      <c r="J842" s="1">
        <v>0</v>
      </c>
      <c r="K842">
        <v>116</v>
      </c>
      <c r="L842">
        <v>8</v>
      </c>
      <c r="M842">
        <v>123</v>
      </c>
      <c r="N842">
        <v>1193</v>
      </c>
      <c r="O842">
        <v>3186</v>
      </c>
      <c r="P842" t="str">
        <f t="shared" si="52"/>
        <v>Sunday</v>
      </c>
      <c r="Q842">
        <f t="shared" si="53"/>
        <v>1440</v>
      </c>
      <c r="R842" t="str">
        <f t="shared" si="54"/>
        <v>Weekend</v>
      </c>
      <c r="S842" t="str">
        <f t="shared" si="55"/>
        <v>Very_Active</v>
      </c>
    </row>
    <row r="843" spans="1:19" x14ac:dyDescent="0.25">
      <c r="A843">
        <v>5577150313</v>
      </c>
      <c r="B843" s="4">
        <v>42480</v>
      </c>
      <c r="C843">
        <v>8330</v>
      </c>
      <c r="D843" s="1">
        <v>6.2199997901916504</v>
      </c>
      <c r="E843" s="1">
        <v>6.2199997901916504</v>
      </c>
      <c r="F843" s="1">
        <v>0</v>
      </c>
      <c r="G843" s="1">
        <v>4.1199998855590803</v>
      </c>
      <c r="H843" s="1">
        <v>0.34000000357627902</v>
      </c>
      <c r="I843" s="1">
        <v>1.7599999904632599</v>
      </c>
      <c r="J843" s="1">
        <v>0</v>
      </c>
      <c r="K843">
        <v>87</v>
      </c>
      <c r="L843">
        <v>16</v>
      </c>
      <c r="M843">
        <v>113</v>
      </c>
      <c r="N843">
        <v>773</v>
      </c>
      <c r="O843">
        <v>3192</v>
      </c>
      <c r="P843" t="str">
        <f t="shared" si="52"/>
        <v>Wednesday</v>
      </c>
      <c r="Q843">
        <f t="shared" si="53"/>
        <v>989</v>
      </c>
      <c r="R843" t="str">
        <f t="shared" si="54"/>
        <v>Weekday</v>
      </c>
      <c r="S843" t="str">
        <f t="shared" si="55"/>
        <v>Fairly Active</v>
      </c>
    </row>
    <row r="844" spans="1:19" x14ac:dyDescent="0.25">
      <c r="A844">
        <v>1644430081</v>
      </c>
      <c r="B844" s="4">
        <v>42708</v>
      </c>
      <c r="C844">
        <v>10694</v>
      </c>
      <c r="D844" s="1">
        <v>7.7699999809265101</v>
      </c>
      <c r="E844" s="1">
        <v>7.7699999809265101</v>
      </c>
      <c r="F844" s="1">
        <v>0</v>
      </c>
      <c r="G844" s="1">
        <v>0.140000000596046</v>
      </c>
      <c r="H844" s="1">
        <v>2.2999999523162802</v>
      </c>
      <c r="I844" s="1">
        <v>5.3299999237060502</v>
      </c>
      <c r="J844" s="1">
        <v>0</v>
      </c>
      <c r="K844">
        <v>2</v>
      </c>
      <c r="L844">
        <v>51</v>
      </c>
      <c r="M844">
        <v>256</v>
      </c>
      <c r="N844">
        <v>1131</v>
      </c>
      <c r="O844">
        <v>3199</v>
      </c>
      <c r="P844" t="str">
        <f t="shared" si="52"/>
        <v>Sunday</v>
      </c>
      <c r="Q844">
        <f t="shared" si="53"/>
        <v>1440</v>
      </c>
      <c r="R844" t="str">
        <f t="shared" si="54"/>
        <v>Weekend</v>
      </c>
      <c r="S844" t="str">
        <f t="shared" si="55"/>
        <v>Very_Active</v>
      </c>
    </row>
    <row r="845" spans="1:19" x14ac:dyDescent="0.25">
      <c r="A845">
        <v>8583815059</v>
      </c>
      <c r="B845" s="4">
        <v>42434</v>
      </c>
      <c r="C845">
        <v>12015</v>
      </c>
      <c r="D845" s="1">
        <v>9.3699998855590803</v>
      </c>
      <c r="E845" s="1">
        <v>9.3699998855590803</v>
      </c>
      <c r="F845" s="1">
        <v>0</v>
      </c>
      <c r="G845" s="1">
        <v>0</v>
      </c>
      <c r="H845" s="1">
        <v>0</v>
      </c>
      <c r="I845" s="1">
        <v>0</v>
      </c>
      <c r="J845" s="1">
        <v>0</v>
      </c>
      <c r="K845">
        <v>0</v>
      </c>
      <c r="L845">
        <v>0</v>
      </c>
      <c r="M845">
        <v>0</v>
      </c>
      <c r="N845">
        <v>1440</v>
      </c>
      <c r="O845">
        <v>3212</v>
      </c>
      <c r="P845" t="str">
        <f t="shared" si="52"/>
        <v>Saturday</v>
      </c>
      <c r="Q845">
        <f t="shared" si="53"/>
        <v>1440</v>
      </c>
      <c r="R845" t="str">
        <f t="shared" si="54"/>
        <v>Weekend</v>
      </c>
      <c r="S845" t="str">
        <f t="shared" si="55"/>
        <v>Very_Active</v>
      </c>
    </row>
    <row r="846" spans="1:19" x14ac:dyDescent="0.25">
      <c r="A846">
        <v>8053475328</v>
      </c>
      <c r="B846" s="4">
        <v>42477</v>
      </c>
      <c r="C846">
        <v>18827</v>
      </c>
      <c r="D846" s="1">
        <v>13.689999580383301</v>
      </c>
      <c r="E846" s="1">
        <v>13.689999580383301</v>
      </c>
      <c r="F846" s="1">
        <v>0</v>
      </c>
      <c r="G846" s="1">
        <v>9.2399997711181605</v>
      </c>
      <c r="H846" s="1">
        <v>0.80000001192092896</v>
      </c>
      <c r="I846" s="1">
        <v>3.6400001049041699</v>
      </c>
      <c r="J846" s="1">
        <v>0</v>
      </c>
      <c r="K846">
        <v>111</v>
      </c>
      <c r="L846">
        <v>21</v>
      </c>
      <c r="M846">
        <v>195</v>
      </c>
      <c r="N846">
        <v>1113</v>
      </c>
      <c r="O846">
        <v>3213</v>
      </c>
      <c r="P846" t="str">
        <f t="shared" si="52"/>
        <v>Sunday</v>
      </c>
      <c r="Q846">
        <f t="shared" si="53"/>
        <v>1440</v>
      </c>
      <c r="R846" t="str">
        <f t="shared" si="54"/>
        <v>Weekend</v>
      </c>
      <c r="S846" t="str">
        <f t="shared" si="55"/>
        <v>Very_Active</v>
      </c>
    </row>
    <row r="847" spans="1:19" x14ac:dyDescent="0.25">
      <c r="A847">
        <v>1644430081</v>
      </c>
      <c r="B847" s="4">
        <v>42474</v>
      </c>
      <c r="C847">
        <v>11037</v>
      </c>
      <c r="D847" s="1">
        <v>8.0200004577636701</v>
      </c>
      <c r="E847" s="1">
        <v>8.0200004577636701</v>
      </c>
      <c r="F847" s="1">
        <v>0</v>
      </c>
      <c r="G847" s="1">
        <v>0.36000001430511502</v>
      </c>
      <c r="H847" s="1">
        <v>2.5599999427795401</v>
      </c>
      <c r="I847" s="1">
        <v>5.0999999046325701</v>
      </c>
      <c r="J847" s="1">
        <v>0</v>
      </c>
      <c r="K847">
        <v>5</v>
      </c>
      <c r="L847">
        <v>58</v>
      </c>
      <c r="M847">
        <v>252</v>
      </c>
      <c r="N847">
        <v>1125</v>
      </c>
      <c r="O847">
        <v>3226</v>
      </c>
      <c r="P847" t="str">
        <f t="shared" si="52"/>
        <v>Thursday</v>
      </c>
      <c r="Q847">
        <f t="shared" si="53"/>
        <v>1440</v>
      </c>
      <c r="R847" t="str">
        <f t="shared" si="54"/>
        <v>Weekday</v>
      </c>
      <c r="S847" t="str">
        <f t="shared" si="55"/>
        <v>Very_Active</v>
      </c>
    </row>
    <row r="848" spans="1:19" x14ac:dyDescent="0.25">
      <c r="A848">
        <v>8583815059</v>
      </c>
      <c r="B848" s="4">
        <v>42495</v>
      </c>
      <c r="C848">
        <v>12427</v>
      </c>
      <c r="D848" s="1">
        <v>9.6899995803833008</v>
      </c>
      <c r="E848" s="1">
        <v>9.6899995803833008</v>
      </c>
      <c r="F848" s="1">
        <v>0</v>
      </c>
      <c r="G848" s="1">
        <v>0</v>
      </c>
      <c r="H848" s="1">
        <v>0</v>
      </c>
      <c r="I848" s="1">
        <v>1.1799999475479099</v>
      </c>
      <c r="J848" s="1">
        <v>0</v>
      </c>
      <c r="K848">
        <v>0</v>
      </c>
      <c r="L848">
        <v>0</v>
      </c>
      <c r="M848">
        <v>70</v>
      </c>
      <c r="N848">
        <v>1370</v>
      </c>
      <c r="O848">
        <v>3266</v>
      </c>
      <c r="P848" t="str">
        <f t="shared" si="52"/>
        <v>Thursday</v>
      </c>
      <c r="Q848">
        <f t="shared" si="53"/>
        <v>1440</v>
      </c>
      <c r="R848" t="str">
        <f t="shared" si="54"/>
        <v>Weekday</v>
      </c>
      <c r="S848" t="str">
        <f t="shared" si="55"/>
        <v>Very_Active</v>
      </c>
    </row>
    <row r="849" spans="1:19" x14ac:dyDescent="0.25">
      <c r="A849">
        <v>4388161847</v>
      </c>
      <c r="B849" s="4">
        <v>42478</v>
      </c>
      <c r="C849">
        <v>11009</v>
      </c>
      <c r="D849" s="1">
        <v>9.1000003814697301</v>
      </c>
      <c r="E849" s="1">
        <v>9.1000003814697301</v>
      </c>
      <c r="F849" s="1">
        <v>0</v>
      </c>
      <c r="G849" s="1">
        <v>3.5599999427795401</v>
      </c>
      <c r="H849" s="1">
        <v>0.40000000596046398</v>
      </c>
      <c r="I849" s="1">
        <v>5.1399998664856001</v>
      </c>
      <c r="J849" s="1">
        <v>0</v>
      </c>
      <c r="K849">
        <v>27</v>
      </c>
      <c r="L849">
        <v>8</v>
      </c>
      <c r="M849">
        <v>239</v>
      </c>
      <c r="N849">
        <v>1017</v>
      </c>
      <c r="O849">
        <v>3274</v>
      </c>
      <c r="P849" t="str">
        <f t="shared" si="52"/>
        <v>Monday</v>
      </c>
      <c r="Q849">
        <f t="shared" si="53"/>
        <v>1291</v>
      </c>
      <c r="R849" t="str">
        <f t="shared" si="54"/>
        <v>Weekday</v>
      </c>
      <c r="S849" t="str">
        <f t="shared" si="55"/>
        <v>Very_Active</v>
      </c>
    </row>
    <row r="850" spans="1:19" x14ac:dyDescent="0.25">
      <c r="A850">
        <v>4388161847</v>
      </c>
      <c r="B850" s="4">
        <v>42490</v>
      </c>
      <c r="C850">
        <v>12533</v>
      </c>
      <c r="D850" s="1">
        <v>9.6400003433227504</v>
      </c>
      <c r="E850" s="1">
        <v>9.6400003433227504</v>
      </c>
      <c r="F850" s="1">
        <v>0</v>
      </c>
      <c r="G850" s="1">
        <v>0.69999998807907104</v>
      </c>
      <c r="H850" s="1">
        <v>2</v>
      </c>
      <c r="I850" s="1">
        <v>6.9400000572204599</v>
      </c>
      <c r="J850" s="1">
        <v>0</v>
      </c>
      <c r="K850">
        <v>14</v>
      </c>
      <c r="L850">
        <v>43</v>
      </c>
      <c r="M850">
        <v>300</v>
      </c>
      <c r="N850">
        <v>537</v>
      </c>
      <c r="O850">
        <v>3283</v>
      </c>
      <c r="P850" t="str">
        <f t="shared" si="52"/>
        <v>Saturday</v>
      </c>
      <c r="Q850">
        <f t="shared" si="53"/>
        <v>894</v>
      </c>
      <c r="R850" t="str">
        <f t="shared" si="54"/>
        <v>Weekend</v>
      </c>
      <c r="S850" t="str">
        <f t="shared" si="55"/>
        <v>Very_Active</v>
      </c>
    </row>
    <row r="851" spans="1:19" x14ac:dyDescent="0.25">
      <c r="A851">
        <v>4702921684</v>
      </c>
      <c r="B851" s="4">
        <v>42587</v>
      </c>
      <c r="C851">
        <v>12857</v>
      </c>
      <c r="D851" s="1">
        <v>10.430000305175801</v>
      </c>
      <c r="E851" s="1">
        <v>10.430000305175801</v>
      </c>
      <c r="F851" s="1">
        <v>0</v>
      </c>
      <c r="G851" s="1">
        <v>0.68000000715255704</v>
      </c>
      <c r="H851" s="1">
        <v>6.21000003814697</v>
      </c>
      <c r="I851" s="1">
        <v>3.53999996185303</v>
      </c>
      <c r="J851" s="1">
        <v>0</v>
      </c>
      <c r="K851">
        <v>9</v>
      </c>
      <c r="L851">
        <v>125</v>
      </c>
      <c r="M851">
        <v>192</v>
      </c>
      <c r="N851">
        <v>1019</v>
      </c>
      <c r="O851">
        <v>3287</v>
      </c>
      <c r="P851" t="str">
        <f t="shared" si="52"/>
        <v>Friday</v>
      </c>
      <c r="Q851">
        <f t="shared" si="53"/>
        <v>1345</v>
      </c>
      <c r="R851" t="str">
        <f t="shared" si="54"/>
        <v>Weekday</v>
      </c>
      <c r="S851" t="str">
        <f t="shared" si="55"/>
        <v>Very_Active</v>
      </c>
    </row>
    <row r="852" spans="1:19" x14ac:dyDescent="0.25">
      <c r="A852">
        <v>4388161847</v>
      </c>
      <c r="B852" s="4">
        <v>42485</v>
      </c>
      <c r="C852">
        <v>12961</v>
      </c>
      <c r="D852" s="1">
        <v>9.9700002670288104</v>
      </c>
      <c r="E852" s="1">
        <v>9.9700002670288104</v>
      </c>
      <c r="F852" s="1">
        <v>0</v>
      </c>
      <c r="G852" s="1">
        <v>0.730000019073486</v>
      </c>
      <c r="H852" s="1">
        <v>1.3999999761581401</v>
      </c>
      <c r="I852" s="1">
        <v>7.8400001525878897</v>
      </c>
      <c r="J852" s="1">
        <v>0</v>
      </c>
      <c r="K852">
        <v>11</v>
      </c>
      <c r="L852">
        <v>31</v>
      </c>
      <c r="M852">
        <v>301</v>
      </c>
      <c r="N852">
        <v>1054</v>
      </c>
      <c r="O852">
        <v>3288</v>
      </c>
      <c r="P852" t="str">
        <f t="shared" si="52"/>
        <v>Monday</v>
      </c>
      <c r="Q852">
        <f t="shared" si="53"/>
        <v>1397</v>
      </c>
      <c r="R852" t="str">
        <f t="shared" si="54"/>
        <v>Weekday</v>
      </c>
      <c r="S852" t="str">
        <f t="shared" si="55"/>
        <v>Very_Active</v>
      </c>
    </row>
    <row r="853" spans="1:19" x14ac:dyDescent="0.25">
      <c r="A853">
        <v>4388161847</v>
      </c>
      <c r="B853" s="4">
        <v>42434</v>
      </c>
      <c r="C853">
        <v>12727</v>
      </c>
      <c r="D853" s="1">
        <v>9.7899999618530291</v>
      </c>
      <c r="E853" s="1">
        <v>9.7899999618530291</v>
      </c>
      <c r="F853" s="1">
        <v>0</v>
      </c>
      <c r="G853" s="1">
        <v>1.12999999523163</v>
      </c>
      <c r="H853" s="1">
        <v>0.77999997138977095</v>
      </c>
      <c r="I853" s="1">
        <v>7.8800001144409197</v>
      </c>
      <c r="J853" s="1">
        <v>0</v>
      </c>
      <c r="K853">
        <v>18</v>
      </c>
      <c r="L853">
        <v>18</v>
      </c>
      <c r="M853">
        <v>306</v>
      </c>
      <c r="N853">
        <v>984</v>
      </c>
      <c r="O853">
        <v>3290</v>
      </c>
      <c r="P853" t="str">
        <f t="shared" si="52"/>
        <v>Saturday</v>
      </c>
      <c r="Q853">
        <f t="shared" si="53"/>
        <v>1326</v>
      </c>
      <c r="R853" t="str">
        <f t="shared" si="54"/>
        <v>Weekend</v>
      </c>
      <c r="S853" t="str">
        <f t="shared" si="55"/>
        <v>Very_Active</v>
      </c>
    </row>
    <row r="854" spans="1:19" x14ac:dyDescent="0.25">
      <c r="A854">
        <v>5577150313</v>
      </c>
      <c r="B854" s="4">
        <v>42487</v>
      </c>
      <c r="C854">
        <v>6805</v>
      </c>
      <c r="D854" s="1">
        <v>5.1399998664856001</v>
      </c>
      <c r="E854" s="1">
        <v>5.1399998664856001</v>
      </c>
      <c r="F854" s="1">
        <v>0</v>
      </c>
      <c r="G854" s="1">
        <v>1.8099999427795399</v>
      </c>
      <c r="H854" s="1">
        <v>0.40000000596046398</v>
      </c>
      <c r="I854" s="1">
        <v>2.9300000667571999</v>
      </c>
      <c r="J854" s="1">
        <v>0</v>
      </c>
      <c r="K854">
        <v>63</v>
      </c>
      <c r="L854">
        <v>16</v>
      </c>
      <c r="M854">
        <v>190</v>
      </c>
      <c r="N854">
        <v>773</v>
      </c>
      <c r="O854">
        <v>3294</v>
      </c>
      <c r="P854" t="str">
        <f t="shared" si="52"/>
        <v>Wednesday</v>
      </c>
      <c r="Q854">
        <f t="shared" si="53"/>
        <v>1042</v>
      </c>
      <c r="R854" t="str">
        <f t="shared" si="54"/>
        <v>Weekday</v>
      </c>
      <c r="S854" t="str">
        <f t="shared" si="55"/>
        <v>Lightly Active</v>
      </c>
    </row>
    <row r="855" spans="1:19" x14ac:dyDescent="0.25">
      <c r="A855">
        <v>1644430081</v>
      </c>
      <c r="B855" s="4">
        <v>42479</v>
      </c>
      <c r="C855">
        <v>11256</v>
      </c>
      <c r="D855" s="1">
        <v>8.1800003051757795</v>
      </c>
      <c r="E855" s="1">
        <v>8.1800003051757795</v>
      </c>
      <c r="F855" s="1">
        <v>0</v>
      </c>
      <c r="G855" s="1">
        <v>0.36000001430511502</v>
      </c>
      <c r="H855" s="1">
        <v>2.5299999713897701</v>
      </c>
      <c r="I855" s="1">
        <v>5.3000001907348597</v>
      </c>
      <c r="J855" s="1">
        <v>0</v>
      </c>
      <c r="K855">
        <v>5</v>
      </c>
      <c r="L855">
        <v>58</v>
      </c>
      <c r="M855">
        <v>278</v>
      </c>
      <c r="N855">
        <v>1099</v>
      </c>
      <c r="O855">
        <v>3300</v>
      </c>
      <c r="P855" t="str">
        <f t="shared" si="52"/>
        <v>Tuesday</v>
      </c>
      <c r="Q855">
        <f t="shared" si="53"/>
        <v>1440</v>
      </c>
      <c r="R855" t="str">
        <f t="shared" si="54"/>
        <v>Weekday</v>
      </c>
      <c r="S855" t="str">
        <f t="shared" si="55"/>
        <v>Very_Active</v>
      </c>
    </row>
    <row r="856" spans="1:19" x14ac:dyDescent="0.25">
      <c r="A856">
        <v>4388161847</v>
      </c>
      <c r="B856" s="4">
        <v>42483</v>
      </c>
      <c r="C856">
        <v>13236</v>
      </c>
      <c r="D856" s="1">
        <v>10.180000305175801</v>
      </c>
      <c r="E856" s="1">
        <v>10.180000305175801</v>
      </c>
      <c r="F856" s="1">
        <v>0</v>
      </c>
      <c r="G856" s="1">
        <v>4.5</v>
      </c>
      <c r="H856" s="1">
        <v>0.31999999284744302</v>
      </c>
      <c r="I856" s="1">
        <v>5.3499999046325701</v>
      </c>
      <c r="J856" s="1">
        <v>0</v>
      </c>
      <c r="K856">
        <v>58</v>
      </c>
      <c r="L856">
        <v>5</v>
      </c>
      <c r="M856">
        <v>215</v>
      </c>
      <c r="N856">
        <v>749</v>
      </c>
      <c r="O856">
        <v>3306</v>
      </c>
      <c r="P856" t="str">
        <f t="shared" si="52"/>
        <v>Saturday</v>
      </c>
      <c r="Q856">
        <f t="shared" si="53"/>
        <v>1027</v>
      </c>
      <c r="R856" t="str">
        <f t="shared" si="54"/>
        <v>Weekend</v>
      </c>
      <c r="S856" t="str">
        <f t="shared" si="55"/>
        <v>Very_Active</v>
      </c>
    </row>
    <row r="857" spans="1:19" x14ac:dyDescent="0.25">
      <c r="A857">
        <v>1644430081</v>
      </c>
      <c r="B857" s="4">
        <v>42434</v>
      </c>
      <c r="C857">
        <v>12850</v>
      </c>
      <c r="D857" s="1">
        <v>9.3400001525878906</v>
      </c>
      <c r="E857" s="1">
        <v>9.3400001525878906</v>
      </c>
      <c r="F857" s="1">
        <v>0</v>
      </c>
      <c r="G857" s="1">
        <v>0.72000002861022905</v>
      </c>
      <c r="H857" s="1">
        <v>4.0900001525878897</v>
      </c>
      <c r="I857" s="1">
        <v>4.53999996185303</v>
      </c>
      <c r="J857" s="1">
        <v>0</v>
      </c>
      <c r="K857">
        <v>10</v>
      </c>
      <c r="L857">
        <v>94</v>
      </c>
      <c r="M857">
        <v>221</v>
      </c>
      <c r="N857">
        <v>1115</v>
      </c>
      <c r="O857">
        <v>3324</v>
      </c>
      <c r="P857" t="str">
        <f t="shared" si="52"/>
        <v>Saturday</v>
      </c>
      <c r="Q857">
        <f t="shared" si="53"/>
        <v>1440</v>
      </c>
      <c r="R857" t="str">
        <f t="shared" si="54"/>
        <v>Weekend</v>
      </c>
      <c r="S857" t="str">
        <f t="shared" si="55"/>
        <v>Very_Active</v>
      </c>
    </row>
    <row r="858" spans="1:19" x14ac:dyDescent="0.25">
      <c r="A858">
        <v>6290855005</v>
      </c>
      <c r="B858" s="4">
        <v>42374</v>
      </c>
      <c r="C858">
        <v>9837</v>
      </c>
      <c r="D858" s="1">
        <v>7.4400000572204599</v>
      </c>
      <c r="E858" s="1">
        <v>7.4400000572204599</v>
      </c>
      <c r="F858" s="1">
        <v>0</v>
      </c>
      <c r="G858" s="1">
        <v>0.66000002622604403</v>
      </c>
      <c r="H858" s="1">
        <v>2.75</v>
      </c>
      <c r="I858" s="1">
        <v>4</v>
      </c>
      <c r="J858" s="1">
        <v>1.9999999552965199E-2</v>
      </c>
      <c r="K858">
        <v>8</v>
      </c>
      <c r="L858">
        <v>95</v>
      </c>
      <c r="M858">
        <v>282</v>
      </c>
      <c r="N858">
        <v>1055</v>
      </c>
      <c r="O858">
        <v>3327</v>
      </c>
      <c r="P858" t="str">
        <f t="shared" si="52"/>
        <v>Tuesday</v>
      </c>
      <c r="Q858">
        <f t="shared" si="53"/>
        <v>1440</v>
      </c>
      <c r="R858" t="str">
        <f t="shared" si="54"/>
        <v>Weekday</v>
      </c>
      <c r="S858" t="str">
        <f t="shared" si="55"/>
        <v>Fairly Active</v>
      </c>
    </row>
    <row r="859" spans="1:19" x14ac:dyDescent="0.25">
      <c r="A859">
        <v>1644430081</v>
      </c>
      <c r="B859" s="4">
        <v>42526</v>
      </c>
      <c r="C859">
        <v>9787</v>
      </c>
      <c r="D859" s="1">
        <v>7.1199998855590803</v>
      </c>
      <c r="E859" s="1">
        <v>7.1199998855590803</v>
      </c>
      <c r="F859" s="1">
        <v>0</v>
      </c>
      <c r="G859" s="1">
        <v>0.81999999284744296</v>
      </c>
      <c r="H859" s="1">
        <v>0.270000010728836</v>
      </c>
      <c r="I859" s="1">
        <v>6.0100002288818404</v>
      </c>
      <c r="J859" s="1">
        <v>1.9999999552965199E-2</v>
      </c>
      <c r="K859">
        <v>11</v>
      </c>
      <c r="L859">
        <v>6</v>
      </c>
      <c r="M859">
        <v>369</v>
      </c>
      <c r="N859">
        <v>1054</v>
      </c>
      <c r="O859">
        <v>3328</v>
      </c>
      <c r="P859" t="str">
        <f t="shared" si="52"/>
        <v>Sunday</v>
      </c>
      <c r="Q859">
        <f t="shared" si="53"/>
        <v>1440</v>
      </c>
      <c r="R859" t="str">
        <f t="shared" si="54"/>
        <v>Weekend</v>
      </c>
      <c r="S859" t="str">
        <f t="shared" si="55"/>
        <v>Fairly Active</v>
      </c>
    </row>
    <row r="860" spans="1:19" x14ac:dyDescent="0.25">
      <c r="A860">
        <v>4702921684</v>
      </c>
      <c r="B860" s="4">
        <v>42476</v>
      </c>
      <c r="C860">
        <v>11140</v>
      </c>
      <c r="D860" s="1">
        <v>9.0299997329711896</v>
      </c>
      <c r="E860" s="1">
        <v>9.0299997329711896</v>
      </c>
      <c r="F860" s="1">
        <v>0</v>
      </c>
      <c r="G860" s="1">
        <v>0.239999994635582</v>
      </c>
      <c r="H860" s="1">
        <v>1.25</v>
      </c>
      <c r="I860" s="1">
        <v>7.53999996185303</v>
      </c>
      <c r="J860" s="1">
        <v>0</v>
      </c>
      <c r="K860">
        <v>3</v>
      </c>
      <c r="L860">
        <v>24</v>
      </c>
      <c r="M860">
        <v>335</v>
      </c>
      <c r="N860">
        <v>556</v>
      </c>
      <c r="O860">
        <v>3328</v>
      </c>
      <c r="P860" t="str">
        <f t="shared" si="52"/>
        <v>Saturday</v>
      </c>
      <c r="Q860">
        <f t="shared" si="53"/>
        <v>918</v>
      </c>
      <c r="R860" t="str">
        <f t="shared" si="54"/>
        <v>Weekend</v>
      </c>
      <c r="S860" t="str">
        <f t="shared" si="55"/>
        <v>Very_Active</v>
      </c>
    </row>
    <row r="861" spans="1:19" x14ac:dyDescent="0.25">
      <c r="A861">
        <v>5577150313</v>
      </c>
      <c r="B861" s="4">
        <v>42482</v>
      </c>
      <c r="C861">
        <v>9172</v>
      </c>
      <c r="D861" s="1">
        <v>6.8499999046325701</v>
      </c>
      <c r="E861" s="1">
        <v>6.8499999046325701</v>
      </c>
      <c r="F861" s="1">
        <v>0</v>
      </c>
      <c r="G861" s="1">
        <v>2.4200000762939502</v>
      </c>
      <c r="H861" s="1">
        <v>0.79000002145767201</v>
      </c>
      <c r="I861" s="1">
        <v>3.2999999523162802</v>
      </c>
      <c r="J861" s="1">
        <v>0</v>
      </c>
      <c r="K861">
        <v>62</v>
      </c>
      <c r="L861">
        <v>30</v>
      </c>
      <c r="M861">
        <v>200</v>
      </c>
      <c r="N861">
        <v>823</v>
      </c>
      <c r="O861">
        <v>3329</v>
      </c>
      <c r="P861" t="str">
        <f t="shared" si="52"/>
        <v>Friday</v>
      </c>
      <c r="Q861">
        <f t="shared" si="53"/>
        <v>1115</v>
      </c>
      <c r="R861" t="str">
        <f t="shared" si="54"/>
        <v>Weekday</v>
      </c>
      <c r="S861" t="str">
        <f t="shared" si="55"/>
        <v>Fairly Active</v>
      </c>
    </row>
    <row r="862" spans="1:19" x14ac:dyDescent="0.25">
      <c r="A862">
        <v>8053475328</v>
      </c>
      <c r="B862" s="4">
        <v>42556</v>
      </c>
      <c r="C862">
        <v>19769</v>
      </c>
      <c r="D862" s="1">
        <v>15.670000076293899</v>
      </c>
      <c r="E862" s="1">
        <v>15.670000076293899</v>
      </c>
      <c r="F862" s="1">
        <v>0</v>
      </c>
      <c r="G862" s="1">
        <v>12.439999580383301</v>
      </c>
      <c r="H862" s="1">
        <v>0.87999999523162797</v>
      </c>
      <c r="I862" s="1">
        <v>2.3499999046325701</v>
      </c>
      <c r="J862" s="1">
        <v>0</v>
      </c>
      <c r="K862">
        <v>121</v>
      </c>
      <c r="L862">
        <v>20</v>
      </c>
      <c r="M862">
        <v>148</v>
      </c>
      <c r="N862">
        <v>1076</v>
      </c>
      <c r="O862">
        <v>3331</v>
      </c>
      <c r="P862" t="str">
        <f t="shared" si="52"/>
        <v>Tuesday</v>
      </c>
      <c r="Q862">
        <f t="shared" si="53"/>
        <v>1365</v>
      </c>
      <c r="R862" t="str">
        <f t="shared" si="54"/>
        <v>Weekday</v>
      </c>
      <c r="S862" t="str">
        <f t="shared" si="55"/>
        <v>Very_Active</v>
      </c>
    </row>
    <row r="863" spans="1:19" x14ac:dyDescent="0.25">
      <c r="A863">
        <v>8378563200</v>
      </c>
      <c r="B863" s="4">
        <v>42476</v>
      </c>
      <c r="C863">
        <v>11207</v>
      </c>
      <c r="D863" s="1">
        <v>8.8900003433227504</v>
      </c>
      <c r="E863" s="1">
        <v>8.8900003433227504</v>
      </c>
      <c r="F863" s="1">
        <v>0</v>
      </c>
      <c r="G863" s="1">
        <v>5.3699998855590803</v>
      </c>
      <c r="H863" s="1">
        <v>1.0700000524520901</v>
      </c>
      <c r="I863" s="1">
        <v>2.4400000572204599</v>
      </c>
      <c r="J863" s="1">
        <v>0</v>
      </c>
      <c r="K863">
        <v>64</v>
      </c>
      <c r="L863">
        <v>21</v>
      </c>
      <c r="M863">
        <v>142</v>
      </c>
      <c r="N863">
        <v>563</v>
      </c>
      <c r="O863">
        <v>3363</v>
      </c>
      <c r="P863" t="str">
        <f t="shared" si="52"/>
        <v>Saturday</v>
      </c>
      <c r="Q863">
        <f t="shared" si="53"/>
        <v>790</v>
      </c>
      <c r="R863" t="str">
        <f t="shared" si="54"/>
        <v>Weekend</v>
      </c>
      <c r="S863" t="str">
        <f t="shared" si="55"/>
        <v>Very_Active</v>
      </c>
    </row>
    <row r="864" spans="1:19" x14ac:dyDescent="0.25">
      <c r="A864">
        <v>8378563200</v>
      </c>
      <c r="B864" s="4">
        <v>42374</v>
      </c>
      <c r="C864">
        <v>11419</v>
      </c>
      <c r="D864" s="1">
        <v>9.0600004196166992</v>
      </c>
      <c r="E864" s="1">
        <v>9.0600004196166992</v>
      </c>
      <c r="F864" s="1">
        <v>0</v>
      </c>
      <c r="G864" s="1">
        <v>6.0300002098083496</v>
      </c>
      <c r="H864" s="1">
        <v>0.56000000238418601</v>
      </c>
      <c r="I864" s="1">
        <v>2.4700000286102299</v>
      </c>
      <c r="J864" s="1">
        <v>0</v>
      </c>
      <c r="K864">
        <v>71</v>
      </c>
      <c r="L864">
        <v>10</v>
      </c>
      <c r="M864">
        <v>127</v>
      </c>
      <c r="N864">
        <v>669</v>
      </c>
      <c r="O864">
        <v>3369</v>
      </c>
      <c r="P864" t="str">
        <f t="shared" si="52"/>
        <v>Tuesday</v>
      </c>
      <c r="Q864">
        <f t="shared" si="53"/>
        <v>877</v>
      </c>
      <c r="R864" t="str">
        <f t="shared" si="54"/>
        <v>Weekday</v>
      </c>
      <c r="S864" t="str">
        <f t="shared" si="55"/>
        <v>Very_Active</v>
      </c>
    </row>
    <row r="865" spans="1:19" x14ac:dyDescent="0.25">
      <c r="A865">
        <v>5577150313</v>
      </c>
      <c r="B865" s="4">
        <v>42485</v>
      </c>
      <c r="C865">
        <v>6393</v>
      </c>
      <c r="D865" s="1">
        <v>4.7800002098083496</v>
      </c>
      <c r="E865" s="1">
        <v>4.7800002098083496</v>
      </c>
      <c r="F865" s="1">
        <v>0</v>
      </c>
      <c r="G865" s="1">
        <v>1.3500000238418599</v>
      </c>
      <c r="H865" s="1">
        <v>0.67000001668930098</v>
      </c>
      <c r="I865" s="1">
        <v>2.7599999904632599</v>
      </c>
      <c r="J865" s="1">
        <v>0</v>
      </c>
      <c r="K865">
        <v>61</v>
      </c>
      <c r="L865">
        <v>38</v>
      </c>
      <c r="M865">
        <v>214</v>
      </c>
      <c r="N865">
        <v>743</v>
      </c>
      <c r="O865">
        <v>3374</v>
      </c>
      <c r="P865" t="str">
        <f t="shared" si="52"/>
        <v>Monday</v>
      </c>
      <c r="Q865">
        <f t="shared" si="53"/>
        <v>1056</v>
      </c>
      <c r="R865" t="str">
        <f t="shared" si="54"/>
        <v>Weekday</v>
      </c>
      <c r="S865" t="str">
        <f t="shared" si="55"/>
        <v>Lightly Active</v>
      </c>
    </row>
    <row r="866" spans="1:19" x14ac:dyDescent="0.25">
      <c r="A866">
        <v>4702921684</v>
      </c>
      <c r="B866" s="4">
        <v>42477</v>
      </c>
      <c r="C866">
        <v>12692</v>
      </c>
      <c r="D866" s="1">
        <v>10.289999961853001</v>
      </c>
      <c r="E866" s="1">
        <v>10.289999961853001</v>
      </c>
      <c r="F866" s="1">
        <v>0</v>
      </c>
      <c r="G866" s="1">
        <v>0.95999997854232799</v>
      </c>
      <c r="H866" s="1">
        <v>3.46000003814697</v>
      </c>
      <c r="I866" s="1">
        <v>5.8800001144409197</v>
      </c>
      <c r="J866" s="1">
        <v>0</v>
      </c>
      <c r="K866">
        <v>12</v>
      </c>
      <c r="L866">
        <v>66</v>
      </c>
      <c r="M866">
        <v>302</v>
      </c>
      <c r="N866">
        <v>437</v>
      </c>
      <c r="O866">
        <v>3394</v>
      </c>
      <c r="P866" t="str">
        <f t="shared" si="52"/>
        <v>Sunday</v>
      </c>
      <c r="Q866">
        <f t="shared" si="53"/>
        <v>817</v>
      </c>
      <c r="R866" t="str">
        <f t="shared" si="54"/>
        <v>Weekend</v>
      </c>
      <c r="S866" t="str">
        <f t="shared" si="55"/>
        <v>Very_Active</v>
      </c>
    </row>
    <row r="867" spans="1:19" x14ac:dyDescent="0.25">
      <c r="A867">
        <v>8053475328</v>
      </c>
      <c r="B867" s="4">
        <v>42485</v>
      </c>
      <c r="C867">
        <v>20500</v>
      </c>
      <c r="D867" s="1">
        <v>15.689999580383301</v>
      </c>
      <c r="E867" s="1">
        <v>15.689999580383301</v>
      </c>
      <c r="F867" s="1">
        <v>0</v>
      </c>
      <c r="G867" s="1">
        <v>11.3699998855591</v>
      </c>
      <c r="H867" s="1">
        <v>0.46000000834464999</v>
      </c>
      <c r="I867" s="1">
        <v>3.8599998950958301</v>
      </c>
      <c r="J867" s="1">
        <v>0</v>
      </c>
      <c r="K867">
        <v>118</v>
      </c>
      <c r="L867">
        <v>9</v>
      </c>
      <c r="M867">
        <v>209</v>
      </c>
      <c r="N867">
        <v>1104</v>
      </c>
      <c r="O867">
        <v>3403</v>
      </c>
      <c r="P867" t="str">
        <f t="shared" si="52"/>
        <v>Monday</v>
      </c>
      <c r="Q867">
        <f t="shared" si="53"/>
        <v>1440</v>
      </c>
      <c r="R867" t="str">
        <f t="shared" si="54"/>
        <v>Weekday</v>
      </c>
      <c r="S867" t="str">
        <f t="shared" si="55"/>
        <v>Very_Active</v>
      </c>
    </row>
    <row r="868" spans="1:19" x14ac:dyDescent="0.25">
      <c r="A868">
        <v>1644430081</v>
      </c>
      <c r="B868" s="4">
        <v>42556</v>
      </c>
      <c r="C868">
        <v>13372</v>
      </c>
      <c r="D868" s="1">
        <v>9.7200002670288104</v>
      </c>
      <c r="E868" s="1">
        <v>9.7200002670288104</v>
      </c>
      <c r="F868" s="1">
        <v>0</v>
      </c>
      <c r="G868" s="1">
        <v>3.2599999904632599</v>
      </c>
      <c r="H868" s="1">
        <v>0.79000002145767201</v>
      </c>
      <c r="I868" s="1">
        <v>5.6700000762939498</v>
      </c>
      <c r="J868" s="1">
        <v>9.9999997764825804E-3</v>
      </c>
      <c r="K868">
        <v>41</v>
      </c>
      <c r="L868">
        <v>17</v>
      </c>
      <c r="M868">
        <v>243</v>
      </c>
      <c r="N868">
        <v>1139</v>
      </c>
      <c r="O868">
        <v>3404</v>
      </c>
      <c r="P868" t="str">
        <f t="shared" si="52"/>
        <v>Tuesday</v>
      </c>
      <c r="Q868">
        <f t="shared" si="53"/>
        <v>1440</v>
      </c>
      <c r="R868" t="str">
        <f t="shared" si="54"/>
        <v>Weekday</v>
      </c>
      <c r="S868" t="str">
        <f t="shared" si="55"/>
        <v>Very_Active</v>
      </c>
    </row>
    <row r="869" spans="1:19" x14ac:dyDescent="0.25">
      <c r="A869">
        <v>5577150313</v>
      </c>
      <c r="B869" s="4">
        <v>42708</v>
      </c>
      <c r="C869">
        <v>8135</v>
      </c>
      <c r="D869" s="1">
        <v>6.0799999237060502</v>
      </c>
      <c r="E869" s="1">
        <v>6.0799999237060502</v>
      </c>
      <c r="F869" s="1">
        <v>0</v>
      </c>
      <c r="G869" s="1">
        <v>3.5999999046325701</v>
      </c>
      <c r="H869" s="1">
        <v>0.37999999523162797</v>
      </c>
      <c r="I869" s="1">
        <v>2.0999999046325701</v>
      </c>
      <c r="J869" s="1">
        <v>0</v>
      </c>
      <c r="K869">
        <v>86</v>
      </c>
      <c r="L869">
        <v>16</v>
      </c>
      <c r="M869">
        <v>140</v>
      </c>
      <c r="N869">
        <v>728</v>
      </c>
      <c r="O869">
        <v>3405</v>
      </c>
      <c r="P869" t="str">
        <f t="shared" si="52"/>
        <v>Sunday</v>
      </c>
      <c r="Q869">
        <f t="shared" si="53"/>
        <v>970</v>
      </c>
      <c r="R869" t="str">
        <f t="shared" si="54"/>
        <v>Weekend</v>
      </c>
      <c r="S869" t="str">
        <f t="shared" si="55"/>
        <v>Fairly Active</v>
      </c>
    </row>
    <row r="870" spans="1:19" x14ac:dyDescent="0.25">
      <c r="A870">
        <v>8053475328</v>
      </c>
      <c r="B870" s="4">
        <v>42475</v>
      </c>
      <c r="C870">
        <v>20669</v>
      </c>
      <c r="D870" s="1">
        <v>16.2399997711182</v>
      </c>
      <c r="E870" s="1">
        <v>16.2399997711182</v>
      </c>
      <c r="F870" s="1">
        <v>0</v>
      </c>
      <c r="G870" s="1">
        <v>13.2600002288818</v>
      </c>
      <c r="H870" s="1">
        <v>0.38999998569488498</v>
      </c>
      <c r="I870" s="1">
        <v>2.5899999141693102</v>
      </c>
      <c r="J870" s="1">
        <v>0</v>
      </c>
      <c r="K870">
        <v>132</v>
      </c>
      <c r="L870">
        <v>8</v>
      </c>
      <c r="M870">
        <v>158</v>
      </c>
      <c r="N870">
        <v>1142</v>
      </c>
      <c r="O870">
        <v>3410</v>
      </c>
      <c r="P870" t="str">
        <f t="shared" si="52"/>
        <v>Friday</v>
      </c>
      <c r="Q870">
        <f t="shared" si="53"/>
        <v>1440</v>
      </c>
      <c r="R870" t="str">
        <f t="shared" si="54"/>
        <v>Weekday</v>
      </c>
      <c r="S870" t="str">
        <f t="shared" si="55"/>
        <v>Very_Active</v>
      </c>
    </row>
    <row r="871" spans="1:19" x14ac:dyDescent="0.25">
      <c r="A871">
        <v>8053475328</v>
      </c>
      <c r="B871" s="4">
        <v>42474</v>
      </c>
      <c r="C871">
        <v>20159</v>
      </c>
      <c r="D871" s="1">
        <v>15.9700002670288</v>
      </c>
      <c r="E871" s="1">
        <v>15.9700002670288</v>
      </c>
      <c r="F871" s="1">
        <v>0</v>
      </c>
      <c r="G871" s="1">
        <v>12.3400001525879</v>
      </c>
      <c r="H871" s="1">
        <v>0.20999999344348899</v>
      </c>
      <c r="I871" s="1">
        <v>3.3599998950958301</v>
      </c>
      <c r="J871" s="1">
        <v>0</v>
      </c>
      <c r="K871">
        <v>119</v>
      </c>
      <c r="L871">
        <v>5</v>
      </c>
      <c r="M871">
        <v>193</v>
      </c>
      <c r="N871">
        <v>1123</v>
      </c>
      <c r="O871">
        <v>3411</v>
      </c>
      <c r="P871" t="str">
        <f t="shared" si="52"/>
        <v>Thursday</v>
      </c>
      <c r="Q871">
        <f t="shared" si="53"/>
        <v>1440</v>
      </c>
      <c r="R871" t="str">
        <f t="shared" si="54"/>
        <v>Weekday</v>
      </c>
      <c r="S871" t="str">
        <f t="shared" si="55"/>
        <v>Very_Active</v>
      </c>
    </row>
    <row r="872" spans="1:19" x14ac:dyDescent="0.25">
      <c r="A872">
        <v>4388161847</v>
      </c>
      <c r="B872" s="4">
        <v>42526</v>
      </c>
      <c r="C872">
        <v>13175</v>
      </c>
      <c r="D872" s="1">
        <v>10.1300001144409</v>
      </c>
      <c r="E872" s="1">
        <v>10.1300001144409</v>
      </c>
      <c r="F872" s="1">
        <v>0</v>
      </c>
      <c r="G872" s="1">
        <v>2.1099998950958301</v>
      </c>
      <c r="H872" s="1">
        <v>2.0899999141693102</v>
      </c>
      <c r="I872" s="1">
        <v>5.9299998283386204</v>
      </c>
      <c r="J872" s="1">
        <v>0</v>
      </c>
      <c r="K872">
        <v>33</v>
      </c>
      <c r="L872">
        <v>45</v>
      </c>
      <c r="M872">
        <v>262</v>
      </c>
      <c r="N872">
        <v>1100</v>
      </c>
      <c r="O872">
        <v>3425</v>
      </c>
      <c r="P872" t="str">
        <f t="shared" si="52"/>
        <v>Sunday</v>
      </c>
      <c r="Q872">
        <f t="shared" si="53"/>
        <v>1440</v>
      </c>
      <c r="R872" t="str">
        <f t="shared" si="54"/>
        <v>Weekend</v>
      </c>
      <c r="S872" t="str">
        <f t="shared" si="55"/>
        <v>Very_Active</v>
      </c>
    </row>
    <row r="873" spans="1:19" x14ac:dyDescent="0.25">
      <c r="A873">
        <v>8877689391</v>
      </c>
      <c r="B873" s="4">
        <v>42482</v>
      </c>
      <c r="C873">
        <v>18258</v>
      </c>
      <c r="D873" s="1">
        <v>16.309999465942401</v>
      </c>
      <c r="E873" s="1">
        <v>16.309999465942401</v>
      </c>
      <c r="F873" s="1">
        <v>0</v>
      </c>
      <c r="G873" s="1">
        <v>10.2299995422363</v>
      </c>
      <c r="H873" s="1">
        <v>2.9999999329447701E-2</v>
      </c>
      <c r="I873" s="1">
        <v>5.9699997901916504</v>
      </c>
      <c r="J873" s="1">
        <v>5.0000000745058101E-2</v>
      </c>
      <c r="K873">
        <v>61</v>
      </c>
      <c r="L873">
        <v>2</v>
      </c>
      <c r="M873">
        <v>236</v>
      </c>
      <c r="N873">
        <v>1141</v>
      </c>
      <c r="O873">
        <v>3427</v>
      </c>
      <c r="P873" t="str">
        <f t="shared" si="52"/>
        <v>Friday</v>
      </c>
      <c r="Q873">
        <f t="shared" si="53"/>
        <v>1440</v>
      </c>
      <c r="R873" t="str">
        <f t="shared" si="54"/>
        <v>Weekday</v>
      </c>
      <c r="S873" t="str">
        <f t="shared" si="55"/>
        <v>Very_Active</v>
      </c>
    </row>
    <row r="874" spans="1:19" x14ac:dyDescent="0.25">
      <c r="A874">
        <v>4020332650</v>
      </c>
      <c r="B874" s="4">
        <v>42495</v>
      </c>
      <c r="C874">
        <v>11728</v>
      </c>
      <c r="D874" s="1">
        <v>8.4300003051757795</v>
      </c>
      <c r="E874" s="1">
        <v>8.4300003051757795</v>
      </c>
      <c r="F874" s="1">
        <v>0</v>
      </c>
      <c r="G874" s="1">
        <v>2.6199998855590798</v>
      </c>
      <c r="H874" s="1">
        <v>1.6799999475479099</v>
      </c>
      <c r="I874" s="1">
        <v>4.03999996185303</v>
      </c>
      <c r="J874" s="1">
        <v>7.0000000298023196E-2</v>
      </c>
      <c r="K874">
        <v>38</v>
      </c>
      <c r="L874">
        <v>42</v>
      </c>
      <c r="M874">
        <v>196</v>
      </c>
      <c r="N874">
        <v>916</v>
      </c>
      <c r="O874">
        <v>3429</v>
      </c>
      <c r="P874" t="str">
        <f t="shared" si="52"/>
        <v>Thursday</v>
      </c>
      <c r="Q874">
        <f t="shared" si="53"/>
        <v>1192</v>
      </c>
      <c r="R874" t="str">
        <f t="shared" si="54"/>
        <v>Weekday</v>
      </c>
      <c r="S874" t="str">
        <f t="shared" si="55"/>
        <v>Very_Active</v>
      </c>
    </row>
    <row r="875" spans="1:19" x14ac:dyDescent="0.25">
      <c r="A875">
        <v>8877689391</v>
      </c>
      <c r="B875" s="4">
        <v>42484</v>
      </c>
      <c r="C875">
        <v>16674</v>
      </c>
      <c r="D875" s="1">
        <v>15.7399997711182</v>
      </c>
      <c r="E875" s="1">
        <v>15.7399997711182</v>
      </c>
      <c r="F875" s="1">
        <v>0</v>
      </c>
      <c r="G875" s="1">
        <v>11.0100002288818</v>
      </c>
      <c r="H875" s="1">
        <v>9.9999997764825804E-3</v>
      </c>
      <c r="I875" s="1">
        <v>4.6900000572204599</v>
      </c>
      <c r="J875" s="1">
        <v>0</v>
      </c>
      <c r="K875">
        <v>64</v>
      </c>
      <c r="L875">
        <v>1</v>
      </c>
      <c r="M875">
        <v>227</v>
      </c>
      <c r="N875">
        <v>1148</v>
      </c>
      <c r="O875">
        <v>3455</v>
      </c>
      <c r="P875" t="str">
        <f t="shared" si="52"/>
        <v>Sunday</v>
      </c>
      <c r="Q875">
        <f t="shared" si="53"/>
        <v>1440</v>
      </c>
      <c r="R875" t="str">
        <f t="shared" si="54"/>
        <v>Weekend</v>
      </c>
      <c r="S875" t="str">
        <f t="shared" si="55"/>
        <v>Very_Active</v>
      </c>
    </row>
    <row r="876" spans="1:19" x14ac:dyDescent="0.25">
      <c r="A876">
        <v>8877689391</v>
      </c>
      <c r="B876" s="4">
        <v>42465</v>
      </c>
      <c r="C876">
        <v>18193</v>
      </c>
      <c r="D876" s="1">
        <v>16.299999237060501</v>
      </c>
      <c r="E876" s="1">
        <v>16.299999237060501</v>
      </c>
      <c r="F876" s="1">
        <v>0</v>
      </c>
      <c r="G876" s="1">
        <v>10.420000076293899</v>
      </c>
      <c r="H876" s="1">
        <v>0.31000000238418601</v>
      </c>
      <c r="I876" s="1">
        <v>5.5300002098083496</v>
      </c>
      <c r="J876" s="1">
        <v>0</v>
      </c>
      <c r="K876">
        <v>66</v>
      </c>
      <c r="L876">
        <v>8</v>
      </c>
      <c r="M876">
        <v>212</v>
      </c>
      <c r="N876">
        <v>1154</v>
      </c>
      <c r="O876">
        <v>3477</v>
      </c>
      <c r="P876" t="str">
        <f t="shared" si="52"/>
        <v>Tuesday</v>
      </c>
      <c r="Q876">
        <f t="shared" si="53"/>
        <v>1440</v>
      </c>
      <c r="R876" t="str">
        <f t="shared" si="54"/>
        <v>Weekday</v>
      </c>
      <c r="S876" t="str">
        <f t="shared" si="55"/>
        <v>Very_Active</v>
      </c>
    </row>
    <row r="877" spans="1:19" x14ac:dyDescent="0.25">
      <c r="A877">
        <v>8378563200</v>
      </c>
      <c r="B877" s="4">
        <v>42405</v>
      </c>
      <c r="C877">
        <v>6064</v>
      </c>
      <c r="D877" s="1">
        <v>4.8099999427795401</v>
      </c>
      <c r="E877" s="1">
        <v>4.8099999427795401</v>
      </c>
      <c r="F877" s="1">
        <v>2.0921471118927002</v>
      </c>
      <c r="G877" s="1">
        <v>0.62999999523162797</v>
      </c>
      <c r="H877" s="1">
        <v>0.17000000178813901</v>
      </c>
      <c r="I877" s="1">
        <v>4.0100002288818404</v>
      </c>
      <c r="J877" s="1">
        <v>0</v>
      </c>
      <c r="K877">
        <v>63</v>
      </c>
      <c r="L877">
        <v>4</v>
      </c>
      <c r="M877">
        <v>142</v>
      </c>
      <c r="N877">
        <v>802</v>
      </c>
      <c r="O877">
        <v>3491</v>
      </c>
      <c r="P877" t="str">
        <f t="shared" si="52"/>
        <v>Friday</v>
      </c>
      <c r="Q877">
        <f t="shared" si="53"/>
        <v>1011</v>
      </c>
      <c r="R877" t="str">
        <f t="shared" si="54"/>
        <v>Weekday</v>
      </c>
      <c r="S877" t="str">
        <f t="shared" si="55"/>
        <v>Lightly Active</v>
      </c>
    </row>
    <row r="878" spans="1:19" x14ac:dyDescent="0.25">
      <c r="A878">
        <v>1644430081</v>
      </c>
      <c r="B878" s="4">
        <v>42476</v>
      </c>
      <c r="C878">
        <v>15300</v>
      </c>
      <c r="D878" s="1">
        <v>11.1199998855591</v>
      </c>
      <c r="E878" s="1">
        <v>11.1199998855591</v>
      </c>
      <c r="F878" s="1">
        <v>0</v>
      </c>
      <c r="G878" s="1">
        <v>4.0999999046325701</v>
      </c>
      <c r="H878" s="1">
        <v>1.87999999523163</v>
      </c>
      <c r="I878" s="1">
        <v>5.0900001525878897</v>
      </c>
      <c r="J878" s="1">
        <v>0</v>
      </c>
      <c r="K878">
        <v>51</v>
      </c>
      <c r="L878">
        <v>42</v>
      </c>
      <c r="M878">
        <v>212</v>
      </c>
      <c r="N878">
        <v>1135</v>
      </c>
      <c r="O878">
        <v>3493</v>
      </c>
      <c r="P878" t="str">
        <f t="shared" si="52"/>
        <v>Saturday</v>
      </c>
      <c r="Q878">
        <f t="shared" si="53"/>
        <v>1440</v>
      </c>
      <c r="R878" t="str">
        <f t="shared" si="54"/>
        <v>Weekend</v>
      </c>
      <c r="S878" t="str">
        <f t="shared" si="55"/>
        <v>Very_Active</v>
      </c>
    </row>
    <row r="879" spans="1:19" x14ac:dyDescent="0.25">
      <c r="A879">
        <v>5577150313</v>
      </c>
      <c r="B879" s="4">
        <v>42479</v>
      </c>
      <c r="C879">
        <v>12574</v>
      </c>
      <c r="D879" s="1">
        <v>9.4200000762939506</v>
      </c>
      <c r="E879" s="1">
        <v>9.4200000762939506</v>
      </c>
      <c r="F879" s="1">
        <v>0</v>
      </c>
      <c r="G879" s="1">
        <v>7.0199999809265101</v>
      </c>
      <c r="H879" s="1">
        <v>0.63999998569488503</v>
      </c>
      <c r="I879" s="1">
        <v>1.7599999904632599</v>
      </c>
      <c r="J879" s="1">
        <v>0</v>
      </c>
      <c r="K879">
        <v>108</v>
      </c>
      <c r="L879">
        <v>23</v>
      </c>
      <c r="M879">
        <v>111</v>
      </c>
      <c r="N879">
        <v>733</v>
      </c>
      <c r="O879">
        <v>3501</v>
      </c>
      <c r="P879" t="str">
        <f t="shared" si="52"/>
        <v>Tuesday</v>
      </c>
      <c r="Q879">
        <f t="shared" si="53"/>
        <v>975</v>
      </c>
      <c r="R879" t="str">
        <f t="shared" si="54"/>
        <v>Weekday</v>
      </c>
      <c r="S879" t="str">
        <f t="shared" si="55"/>
        <v>Very_Active</v>
      </c>
    </row>
    <row r="880" spans="1:19" x14ac:dyDescent="0.25">
      <c r="A880">
        <v>8583815059</v>
      </c>
      <c r="B880" s="4">
        <v>42489</v>
      </c>
      <c r="C880">
        <v>15168</v>
      </c>
      <c r="D880" s="1">
        <v>11.829999923706101</v>
      </c>
      <c r="E880" s="1">
        <v>11.829999923706101</v>
      </c>
      <c r="F880" s="1">
        <v>0</v>
      </c>
      <c r="G880" s="1">
        <v>3.9000000953674299</v>
      </c>
      <c r="H880" s="1">
        <v>3</v>
      </c>
      <c r="I880" s="1">
        <v>4.9200000762939498</v>
      </c>
      <c r="J880" s="1">
        <v>0</v>
      </c>
      <c r="K880">
        <v>46</v>
      </c>
      <c r="L880">
        <v>67</v>
      </c>
      <c r="M880">
        <v>258</v>
      </c>
      <c r="N880">
        <v>1069</v>
      </c>
      <c r="O880">
        <v>3513</v>
      </c>
      <c r="P880" t="str">
        <f t="shared" si="52"/>
        <v>Friday</v>
      </c>
      <c r="Q880">
        <f t="shared" si="53"/>
        <v>1440</v>
      </c>
      <c r="R880" t="str">
        <f t="shared" si="54"/>
        <v>Weekday</v>
      </c>
      <c r="S880" t="str">
        <f t="shared" si="55"/>
        <v>Very_Active</v>
      </c>
    </row>
    <row r="881" spans="1:19" x14ac:dyDescent="0.25">
      <c r="A881">
        <v>4702921684</v>
      </c>
      <c r="B881" s="4">
        <v>42484</v>
      </c>
      <c r="C881">
        <v>15050</v>
      </c>
      <c r="D881" s="1">
        <v>12.2200002670288</v>
      </c>
      <c r="E881" s="1">
        <v>12.2200002670288</v>
      </c>
      <c r="F881" s="1">
        <v>0</v>
      </c>
      <c r="G881" s="1">
        <v>1.20000004768372</v>
      </c>
      <c r="H881" s="1">
        <v>5.1199998855590803</v>
      </c>
      <c r="I881" s="1">
        <v>5.8800001144409197</v>
      </c>
      <c r="J881" s="1">
        <v>0</v>
      </c>
      <c r="K881">
        <v>15</v>
      </c>
      <c r="L881">
        <v>95</v>
      </c>
      <c r="M881">
        <v>281</v>
      </c>
      <c r="N881">
        <v>542</v>
      </c>
      <c r="O881">
        <v>3538</v>
      </c>
      <c r="P881" t="str">
        <f t="shared" si="52"/>
        <v>Sunday</v>
      </c>
      <c r="Q881">
        <f t="shared" si="53"/>
        <v>933</v>
      </c>
      <c r="R881" t="str">
        <f t="shared" si="54"/>
        <v>Weekend</v>
      </c>
      <c r="S881" t="str">
        <f t="shared" si="55"/>
        <v>Very_Active</v>
      </c>
    </row>
    <row r="882" spans="1:19" x14ac:dyDescent="0.25">
      <c r="A882">
        <v>5577150313</v>
      </c>
      <c r="B882" s="4">
        <v>42489</v>
      </c>
      <c r="C882">
        <v>7924</v>
      </c>
      <c r="D882" s="1">
        <v>5.9200000762939498</v>
      </c>
      <c r="E882" s="1">
        <v>5.9200000762939498</v>
      </c>
      <c r="F882" s="1">
        <v>0</v>
      </c>
      <c r="G882" s="1">
        <v>2.8399999141693102</v>
      </c>
      <c r="H882" s="1">
        <v>0.61000001430511497</v>
      </c>
      <c r="I882" s="1">
        <v>2.4700000286102299</v>
      </c>
      <c r="J882" s="1">
        <v>0</v>
      </c>
      <c r="K882">
        <v>97</v>
      </c>
      <c r="L882">
        <v>36</v>
      </c>
      <c r="M882">
        <v>165</v>
      </c>
      <c r="N882">
        <v>739</v>
      </c>
      <c r="O882">
        <v>3544</v>
      </c>
      <c r="P882" t="str">
        <f t="shared" si="52"/>
        <v>Friday</v>
      </c>
      <c r="Q882">
        <f t="shared" si="53"/>
        <v>1037</v>
      </c>
      <c r="R882" t="str">
        <f t="shared" si="54"/>
        <v>Weekday</v>
      </c>
      <c r="S882" t="str">
        <f t="shared" si="55"/>
        <v>Fairly Active</v>
      </c>
    </row>
    <row r="883" spans="1:19" x14ac:dyDescent="0.25">
      <c r="A883">
        <v>4388161847</v>
      </c>
      <c r="B883" s="4">
        <v>42482</v>
      </c>
      <c r="C883">
        <v>12139</v>
      </c>
      <c r="D883" s="1">
        <v>9.3400001525878906</v>
      </c>
      <c r="E883" s="1">
        <v>9.3400001525878906</v>
      </c>
      <c r="F883" s="1">
        <v>0</v>
      </c>
      <c r="G883" s="1">
        <v>3.2999999523162802</v>
      </c>
      <c r="H883" s="1">
        <v>1.1100000143051101</v>
      </c>
      <c r="I883" s="1">
        <v>4.9200000762939498</v>
      </c>
      <c r="J883" s="1">
        <v>0</v>
      </c>
      <c r="K883">
        <v>77</v>
      </c>
      <c r="L883">
        <v>25</v>
      </c>
      <c r="M883">
        <v>220</v>
      </c>
      <c r="N883">
        <v>945</v>
      </c>
      <c r="O883">
        <v>3544</v>
      </c>
      <c r="P883" t="str">
        <f t="shared" si="52"/>
        <v>Friday</v>
      </c>
      <c r="Q883">
        <f t="shared" si="53"/>
        <v>1267</v>
      </c>
      <c r="R883" t="str">
        <f t="shared" si="54"/>
        <v>Weekday</v>
      </c>
      <c r="S883" t="str">
        <f t="shared" si="55"/>
        <v>Very_Active</v>
      </c>
    </row>
    <row r="884" spans="1:19" x14ac:dyDescent="0.25">
      <c r="A884">
        <v>8877689391</v>
      </c>
      <c r="B884" s="4">
        <v>42477</v>
      </c>
      <c r="C884">
        <v>15118</v>
      </c>
      <c r="D884" s="1">
        <v>8.8699998855590803</v>
      </c>
      <c r="E884" s="1">
        <v>8.8699998855590803</v>
      </c>
      <c r="F884" s="1">
        <v>0</v>
      </c>
      <c r="G884" s="1">
        <v>0</v>
      </c>
      <c r="H884" s="1">
        <v>7.0000000298023196E-2</v>
      </c>
      <c r="I884" s="1">
        <v>8.7899999618530291</v>
      </c>
      <c r="J884" s="1">
        <v>0</v>
      </c>
      <c r="K884">
        <v>58</v>
      </c>
      <c r="L884">
        <v>15</v>
      </c>
      <c r="M884">
        <v>307</v>
      </c>
      <c r="N884">
        <v>1060</v>
      </c>
      <c r="O884">
        <v>3545</v>
      </c>
      <c r="P884" t="str">
        <f t="shared" si="52"/>
        <v>Sunday</v>
      </c>
      <c r="Q884">
        <f t="shared" si="53"/>
        <v>1440</v>
      </c>
      <c r="R884" t="str">
        <f t="shared" si="54"/>
        <v>Weekend</v>
      </c>
      <c r="S884" t="str">
        <f t="shared" si="55"/>
        <v>Very_Active</v>
      </c>
    </row>
    <row r="885" spans="1:19" x14ac:dyDescent="0.25">
      <c r="A885">
        <v>8053475328</v>
      </c>
      <c r="B885" s="4">
        <v>42483</v>
      </c>
      <c r="C885">
        <v>22359</v>
      </c>
      <c r="D885" s="1">
        <v>17.190000534057599</v>
      </c>
      <c r="E885" s="1">
        <v>17.190000534057599</v>
      </c>
      <c r="F885" s="1">
        <v>0</v>
      </c>
      <c r="G885" s="1">
        <v>12.539999961853001</v>
      </c>
      <c r="H885" s="1">
        <v>0.62999999523162797</v>
      </c>
      <c r="I885" s="1">
        <v>4.0199999809265101</v>
      </c>
      <c r="J885" s="1">
        <v>0</v>
      </c>
      <c r="K885">
        <v>125</v>
      </c>
      <c r="L885">
        <v>14</v>
      </c>
      <c r="M885">
        <v>223</v>
      </c>
      <c r="N885">
        <v>741</v>
      </c>
      <c r="O885">
        <v>3554</v>
      </c>
      <c r="P885" t="str">
        <f t="shared" si="52"/>
        <v>Saturday</v>
      </c>
      <c r="Q885">
        <f t="shared" si="53"/>
        <v>1103</v>
      </c>
      <c r="R885" t="str">
        <f t="shared" si="54"/>
        <v>Weekend</v>
      </c>
      <c r="S885" t="str">
        <f t="shared" si="55"/>
        <v>Very_Active</v>
      </c>
    </row>
    <row r="886" spans="1:19" x14ac:dyDescent="0.25">
      <c r="A886">
        <v>8877689391</v>
      </c>
      <c r="B886" s="4">
        <v>42473</v>
      </c>
      <c r="C886">
        <v>15337</v>
      </c>
      <c r="D886" s="1">
        <v>9.5799999237060494</v>
      </c>
      <c r="E886" s="1">
        <v>9.5799999237060494</v>
      </c>
      <c r="F886" s="1">
        <v>0</v>
      </c>
      <c r="G886" s="1">
        <v>3.5499999523162802</v>
      </c>
      <c r="H886" s="1">
        <v>0.37999999523162797</v>
      </c>
      <c r="I886" s="1">
        <v>5.6399998664856001</v>
      </c>
      <c r="J886" s="1">
        <v>0</v>
      </c>
      <c r="K886">
        <v>108</v>
      </c>
      <c r="L886">
        <v>18</v>
      </c>
      <c r="M886">
        <v>216</v>
      </c>
      <c r="N886">
        <v>1098</v>
      </c>
      <c r="O886">
        <v>3566</v>
      </c>
      <c r="P886" t="str">
        <f t="shared" si="52"/>
        <v>Wednesday</v>
      </c>
      <c r="Q886">
        <f t="shared" si="53"/>
        <v>1440</v>
      </c>
      <c r="R886" t="str">
        <f t="shared" si="54"/>
        <v>Weekday</v>
      </c>
      <c r="S886" t="str">
        <f t="shared" si="55"/>
        <v>Very_Active</v>
      </c>
    </row>
    <row r="887" spans="1:19" x14ac:dyDescent="0.25">
      <c r="A887">
        <v>8053475328</v>
      </c>
      <c r="B887" s="4">
        <v>42484</v>
      </c>
      <c r="C887">
        <v>22988</v>
      </c>
      <c r="D887" s="1">
        <v>17.950000762939499</v>
      </c>
      <c r="E887" s="1">
        <v>17.950000762939499</v>
      </c>
      <c r="F887" s="1">
        <v>0</v>
      </c>
      <c r="G887" s="1">
        <v>13.1300001144409</v>
      </c>
      <c r="H887" s="1">
        <v>1.54999995231628</v>
      </c>
      <c r="I887" s="1">
        <v>3.2599999904632599</v>
      </c>
      <c r="J887" s="1">
        <v>0</v>
      </c>
      <c r="K887">
        <v>129</v>
      </c>
      <c r="L887">
        <v>33</v>
      </c>
      <c r="M887">
        <v>182</v>
      </c>
      <c r="N887">
        <v>1096</v>
      </c>
      <c r="O887">
        <v>3577</v>
      </c>
      <c r="P887" t="str">
        <f t="shared" si="52"/>
        <v>Sunday</v>
      </c>
      <c r="Q887">
        <f t="shared" si="53"/>
        <v>1440</v>
      </c>
      <c r="R887" t="str">
        <f t="shared" si="54"/>
        <v>Weekend</v>
      </c>
      <c r="S887" t="str">
        <f t="shared" si="55"/>
        <v>Very_Active</v>
      </c>
    </row>
    <row r="888" spans="1:19" x14ac:dyDescent="0.25">
      <c r="A888">
        <v>5577150313</v>
      </c>
      <c r="B888" s="4">
        <v>42488</v>
      </c>
      <c r="C888">
        <v>9841</v>
      </c>
      <c r="D888" s="1">
        <v>7.4299998283386204</v>
      </c>
      <c r="E888" s="1">
        <v>7.4299998283386204</v>
      </c>
      <c r="F888" s="1">
        <v>0</v>
      </c>
      <c r="G888" s="1">
        <v>3.25</v>
      </c>
      <c r="H888" s="1">
        <v>1.16999995708466</v>
      </c>
      <c r="I888" s="1">
        <v>3.0099999904632599</v>
      </c>
      <c r="J888" s="1">
        <v>0</v>
      </c>
      <c r="K888">
        <v>99</v>
      </c>
      <c r="L888">
        <v>51</v>
      </c>
      <c r="M888">
        <v>141</v>
      </c>
      <c r="N888">
        <v>692</v>
      </c>
      <c r="O888">
        <v>3580</v>
      </c>
      <c r="P888" t="str">
        <f t="shared" si="52"/>
        <v>Thursday</v>
      </c>
      <c r="Q888">
        <f t="shared" si="53"/>
        <v>983</v>
      </c>
      <c r="R888" t="str">
        <f t="shared" si="54"/>
        <v>Weekday</v>
      </c>
      <c r="S888" t="str">
        <f t="shared" si="55"/>
        <v>Fairly Active</v>
      </c>
    </row>
    <row r="889" spans="1:19" x14ac:dyDescent="0.25">
      <c r="A889">
        <v>8378563200</v>
      </c>
      <c r="B889" s="4">
        <v>42648</v>
      </c>
      <c r="C889">
        <v>6582</v>
      </c>
      <c r="D889" s="1">
        <v>5.2199997901916504</v>
      </c>
      <c r="E889" s="1">
        <v>5.2199997901916504</v>
      </c>
      <c r="F889" s="1">
        <v>2.2530810832977299</v>
      </c>
      <c r="G889" s="1">
        <v>0.66000002622604403</v>
      </c>
      <c r="H889" s="1">
        <v>0.63999998569488503</v>
      </c>
      <c r="I889" s="1">
        <v>3.9200000762939502</v>
      </c>
      <c r="J889" s="1">
        <v>0</v>
      </c>
      <c r="K889">
        <v>63</v>
      </c>
      <c r="L889">
        <v>13</v>
      </c>
      <c r="M889">
        <v>152</v>
      </c>
      <c r="N889">
        <v>840</v>
      </c>
      <c r="O889">
        <v>3586</v>
      </c>
      <c r="P889" t="str">
        <f t="shared" si="52"/>
        <v>Wednesday</v>
      </c>
      <c r="Q889">
        <f t="shared" si="53"/>
        <v>1068</v>
      </c>
      <c r="R889" t="str">
        <f t="shared" si="54"/>
        <v>Weekday</v>
      </c>
      <c r="S889" t="str">
        <f t="shared" si="55"/>
        <v>Lightly Active</v>
      </c>
    </row>
    <row r="890" spans="1:19" x14ac:dyDescent="0.25">
      <c r="A890">
        <v>8053475328</v>
      </c>
      <c r="B890" s="4">
        <v>42587</v>
      </c>
      <c r="C890">
        <v>22026</v>
      </c>
      <c r="D890" s="1">
        <v>17.649999618530298</v>
      </c>
      <c r="E890" s="1">
        <v>17.649999618530298</v>
      </c>
      <c r="F890" s="1">
        <v>0</v>
      </c>
      <c r="G890" s="1">
        <v>13.3999996185303</v>
      </c>
      <c r="H890" s="1">
        <v>0.58999997377395597</v>
      </c>
      <c r="I890" s="1">
        <v>3.6600000858306898</v>
      </c>
      <c r="J890" s="1">
        <v>0</v>
      </c>
      <c r="K890">
        <v>125</v>
      </c>
      <c r="L890">
        <v>14</v>
      </c>
      <c r="M890">
        <v>228</v>
      </c>
      <c r="N890">
        <v>1073</v>
      </c>
      <c r="O890">
        <v>3589</v>
      </c>
      <c r="P890" t="str">
        <f t="shared" si="52"/>
        <v>Friday</v>
      </c>
      <c r="Q890">
        <f t="shared" si="53"/>
        <v>1440</v>
      </c>
      <c r="R890" t="str">
        <f t="shared" si="54"/>
        <v>Weekday</v>
      </c>
      <c r="S890" t="str">
        <f t="shared" si="55"/>
        <v>Very_Active</v>
      </c>
    </row>
    <row r="891" spans="1:19" x14ac:dyDescent="0.25">
      <c r="A891">
        <v>5577150313</v>
      </c>
      <c r="B891" s="4">
        <v>42478</v>
      </c>
      <c r="C891">
        <v>9893</v>
      </c>
      <c r="D891" s="1">
        <v>7.3899998664856001</v>
      </c>
      <c r="E891" s="1">
        <v>7.3899998664856001</v>
      </c>
      <c r="F891" s="1">
        <v>0</v>
      </c>
      <c r="G891" s="1">
        <v>4.8600001335143999</v>
      </c>
      <c r="H891" s="1">
        <v>0.72000002861022905</v>
      </c>
      <c r="I891" s="1">
        <v>1.8200000524520901</v>
      </c>
      <c r="J891" s="1">
        <v>0</v>
      </c>
      <c r="K891">
        <v>114</v>
      </c>
      <c r="L891">
        <v>32</v>
      </c>
      <c r="M891">
        <v>130</v>
      </c>
      <c r="N891">
        <v>623</v>
      </c>
      <c r="O891">
        <v>3625</v>
      </c>
      <c r="P891" t="str">
        <f t="shared" si="52"/>
        <v>Monday</v>
      </c>
      <c r="Q891">
        <f t="shared" si="53"/>
        <v>899</v>
      </c>
      <c r="R891" t="str">
        <f t="shared" si="54"/>
        <v>Weekday</v>
      </c>
      <c r="S891" t="str">
        <f t="shared" si="55"/>
        <v>Fairly Active</v>
      </c>
    </row>
    <row r="892" spans="1:19" x14ac:dyDescent="0.25">
      <c r="A892">
        <v>8378563200</v>
      </c>
      <c r="B892" s="4">
        <v>42708</v>
      </c>
      <c r="C892">
        <v>7626</v>
      </c>
      <c r="D892" s="1">
        <v>6.0500001907348597</v>
      </c>
      <c r="E892" s="1">
        <v>6.0500001907348597</v>
      </c>
      <c r="F892" s="1">
        <v>2.2530810832977299</v>
      </c>
      <c r="G892" s="1">
        <v>0.82999998331069902</v>
      </c>
      <c r="H892" s="1">
        <v>0.70999997854232799</v>
      </c>
      <c r="I892" s="1">
        <v>4.5</v>
      </c>
      <c r="J892" s="1">
        <v>0</v>
      </c>
      <c r="K892">
        <v>65</v>
      </c>
      <c r="L892">
        <v>15</v>
      </c>
      <c r="M892">
        <v>156</v>
      </c>
      <c r="N892">
        <v>723</v>
      </c>
      <c r="O892">
        <v>3635</v>
      </c>
      <c r="P892" t="str">
        <f t="shared" si="52"/>
        <v>Sunday</v>
      </c>
      <c r="Q892">
        <f t="shared" si="53"/>
        <v>959</v>
      </c>
      <c r="R892" t="str">
        <f t="shared" si="54"/>
        <v>Weekend</v>
      </c>
      <c r="S892" t="str">
        <f t="shared" si="55"/>
        <v>Fairly Active</v>
      </c>
    </row>
    <row r="893" spans="1:19" x14ac:dyDescent="0.25">
      <c r="A893">
        <v>8378563200</v>
      </c>
      <c r="B893" s="4">
        <v>42526</v>
      </c>
      <c r="C893">
        <v>7045</v>
      </c>
      <c r="D893" s="1">
        <v>5.5900001525878897</v>
      </c>
      <c r="E893" s="1">
        <v>5.5900001525878897</v>
      </c>
      <c r="F893" s="1">
        <v>2.0921471118927002</v>
      </c>
      <c r="G893" s="1">
        <v>1.54999995231628</v>
      </c>
      <c r="H893" s="1">
        <v>0.25</v>
      </c>
      <c r="I893" s="1">
        <v>3.7799999713897701</v>
      </c>
      <c r="J893" s="1">
        <v>0</v>
      </c>
      <c r="K893">
        <v>74</v>
      </c>
      <c r="L893">
        <v>5</v>
      </c>
      <c r="M893">
        <v>166</v>
      </c>
      <c r="N893">
        <v>831</v>
      </c>
      <c r="O893">
        <v>3644</v>
      </c>
      <c r="P893" t="str">
        <f t="shared" si="52"/>
        <v>Sunday</v>
      </c>
      <c r="Q893">
        <f t="shared" si="53"/>
        <v>1076</v>
      </c>
      <c r="R893" t="str">
        <f t="shared" si="54"/>
        <v>Weekend</v>
      </c>
      <c r="S893" t="str">
        <f t="shared" si="55"/>
        <v>Lightly Active</v>
      </c>
    </row>
    <row r="894" spans="1:19" x14ac:dyDescent="0.25">
      <c r="A894">
        <v>4020332650</v>
      </c>
      <c r="B894" s="4">
        <v>42708</v>
      </c>
      <c r="C894">
        <v>8539</v>
      </c>
      <c r="D894" s="1">
        <v>6.1199998855590803</v>
      </c>
      <c r="E894" s="1">
        <v>6.1199998855590803</v>
      </c>
      <c r="F894" s="1">
        <v>0</v>
      </c>
      <c r="G894" s="1">
        <v>0.15000000596046401</v>
      </c>
      <c r="H894" s="1">
        <v>0.239999994635582</v>
      </c>
      <c r="I894" s="1">
        <v>5.6799998283386204</v>
      </c>
      <c r="J894" s="1">
        <v>0</v>
      </c>
      <c r="K894">
        <v>4</v>
      </c>
      <c r="L894">
        <v>15</v>
      </c>
      <c r="M894">
        <v>331</v>
      </c>
      <c r="N894">
        <v>712</v>
      </c>
      <c r="O894">
        <v>3654</v>
      </c>
      <c r="P894" t="str">
        <f t="shared" si="52"/>
        <v>Sunday</v>
      </c>
      <c r="Q894">
        <f t="shared" si="53"/>
        <v>1062</v>
      </c>
      <c r="R894" t="str">
        <f t="shared" si="54"/>
        <v>Weekend</v>
      </c>
      <c r="S894" t="str">
        <f t="shared" si="55"/>
        <v>Fairly Active</v>
      </c>
    </row>
    <row r="895" spans="1:19" x14ac:dyDescent="0.25">
      <c r="A895">
        <v>8877689391</v>
      </c>
      <c r="B895" s="4">
        <v>42481</v>
      </c>
      <c r="C895">
        <v>19377</v>
      </c>
      <c r="D895" s="1">
        <v>17.620000839233398</v>
      </c>
      <c r="E895" s="1">
        <v>17.620000839233398</v>
      </c>
      <c r="F895" s="1">
        <v>0</v>
      </c>
      <c r="G895" s="1">
        <v>12.289999961853001</v>
      </c>
      <c r="H895" s="1">
        <v>0.41999998688697798</v>
      </c>
      <c r="I895" s="1">
        <v>4.8899998664856001</v>
      </c>
      <c r="J895" s="1">
        <v>0</v>
      </c>
      <c r="K895">
        <v>82</v>
      </c>
      <c r="L895">
        <v>13</v>
      </c>
      <c r="M895">
        <v>226</v>
      </c>
      <c r="N895">
        <v>1119</v>
      </c>
      <c r="O895">
        <v>3659</v>
      </c>
      <c r="P895" t="str">
        <f t="shared" si="52"/>
        <v>Thursday</v>
      </c>
      <c r="Q895">
        <f t="shared" si="53"/>
        <v>1440</v>
      </c>
      <c r="R895" t="str">
        <f t="shared" si="54"/>
        <v>Weekday</v>
      </c>
      <c r="S895" t="str">
        <f t="shared" si="55"/>
        <v>Very_Active</v>
      </c>
    </row>
    <row r="896" spans="1:19" x14ac:dyDescent="0.25">
      <c r="A896">
        <v>8378563200</v>
      </c>
      <c r="B896" s="4">
        <v>42475</v>
      </c>
      <c r="C896">
        <v>14461</v>
      </c>
      <c r="D896" s="1">
        <v>11.4700002670288</v>
      </c>
      <c r="E896" s="1">
        <v>11.4700002670288</v>
      </c>
      <c r="F896" s="1">
        <v>0</v>
      </c>
      <c r="G896" s="1">
        <v>4.9099998474121103</v>
      </c>
      <c r="H896" s="1">
        <v>1.1499999761581401</v>
      </c>
      <c r="I896" s="1">
        <v>5.4099998474121103</v>
      </c>
      <c r="J896" s="1">
        <v>0</v>
      </c>
      <c r="K896">
        <v>60</v>
      </c>
      <c r="L896">
        <v>23</v>
      </c>
      <c r="M896">
        <v>190</v>
      </c>
      <c r="N896">
        <v>729</v>
      </c>
      <c r="O896">
        <v>3666</v>
      </c>
      <c r="P896" t="str">
        <f t="shared" si="52"/>
        <v>Friday</v>
      </c>
      <c r="Q896">
        <f t="shared" si="53"/>
        <v>1002</v>
      </c>
      <c r="R896" t="str">
        <f t="shared" si="54"/>
        <v>Weekday</v>
      </c>
      <c r="S896" t="str">
        <f t="shared" si="55"/>
        <v>Very_Active</v>
      </c>
    </row>
    <row r="897" spans="1:19" x14ac:dyDescent="0.25">
      <c r="A897">
        <v>8877689391</v>
      </c>
      <c r="B897" s="4">
        <v>42479</v>
      </c>
      <c r="C897">
        <v>18785</v>
      </c>
      <c r="D897" s="1">
        <v>17.399999618530298</v>
      </c>
      <c r="E897" s="1">
        <v>17.399999618530298</v>
      </c>
      <c r="F897" s="1">
        <v>0</v>
      </c>
      <c r="G897" s="1">
        <v>12.1499996185303</v>
      </c>
      <c r="H897" s="1">
        <v>0.18000000715255701</v>
      </c>
      <c r="I897" s="1">
        <v>5.0300002098083496</v>
      </c>
      <c r="J897" s="1">
        <v>0</v>
      </c>
      <c r="K897">
        <v>82</v>
      </c>
      <c r="L897">
        <v>13</v>
      </c>
      <c r="M897">
        <v>214</v>
      </c>
      <c r="N897">
        <v>1131</v>
      </c>
      <c r="O897">
        <v>3676</v>
      </c>
      <c r="P897" t="str">
        <f t="shared" si="52"/>
        <v>Tuesday</v>
      </c>
      <c r="Q897">
        <f t="shared" si="53"/>
        <v>1440</v>
      </c>
      <c r="R897" t="str">
        <f t="shared" si="54"/>
        <v>Weekday</v>
      </c>
      <c r="S897" t="str">
        <f t="shared" si="55"/>
        <v>Very_Active</v>
      </c>
    </row>
    <row r="898" spans="1:19" x14ac:dyDescent="0.25">
      <c r="A898">
        <v>8877689391</v>
      </c>
      <c r="B898" s="4">
        <v>42480</v>
      </c>
      <c r="C898">
        <v>19948</v>
      </c>
      <c r="D898" s="1">
        <v>18.110000610351602</v>
      </c>
      <c r="E898" s="1">
        <v>18.110000610351602</v>
      </c>
      <c r="F898" s="1">
        <v>0</v>
      </c>
      <c r="G898" s="1">
        <v>11.0200004577637</v>
      </c>
      <c r="H898" s="1">
        <v>0.68999999761581399</v>
      </c>
      <c r="I898" s="1">
        <v>6.3400001525878897</v>
      </c>
      <c r="J898" s="1">
        <v>0</v>
      </c>
      <c r="K898">
        <v>73</v>
      </c>
      <c r="L898">
        <v>19</v>
      </c>
      <c r="M898">
        <v>225</v>
      </c>
      <c r="N898">
        <v>1123</v>
      </c>
      <c r="O898">
        <v>3679</v>
      </c>
      <c r="P898" t="str">
        <f t="shared" ref="P898:P942" si="56">TEXT(B898,"dddd")</f>
        <v>Wednesday</v>
      </c>
      <c r="Q898">
        <f t="shared" ref="Q898:Q942" si="57">SUM(K898:N898)</f>
        <v>1440</v>
      </c>
      <c r="R898" t="str">
        <f t="shared" ref="R898:R942" si="58">IF(WEEKDAY(B898,2)&lt;=5,"Weekday","Weekend")</f>
        <v>Weekday</v>
      </c>
      <c r="S898" t="str">
        <f t="shared" ref="S898:S942" si="59">IF(C898&lt;5000,"Sedentary",IF(C898&lt;7500,"Lightly Active",IF(C898&lt;10000,"Fairly Active","Very_Active")))</f>
        <v>Very_Active</v>
      </c>
    </row>
    <row r="899" spans="1:19" x14ac:dyDescent="0.25">
      <c r="A899">
        <v>4702921684</v>
      </c>
      <c r="B899" s="4">
        <v>42556</v>
      </c>
      <c r="C899">
        <v>14370</v>
      </c>
      <c r="D899" s="1">
        <v>11.6499996185303</v>
      </c>
      <c r="E899" s="1">
        <v>11.6499996185303</v>
      </c>
      <c r="F899" s="1">
        <v>0</v>
      </c>
      <c r="G899" s="1">
        <v>0.37000000476837203</v>
      </c>
      <c r="H899" s="1">
        <v>2.3099999427795401</v>
      </c>
      <c r="I899" s="1">
        <v>8.9700002670288104</v>
      </c>
      <c r="J899" s="1">
        <v>0</v>
      </c>
      <c r="K899">
        <v>5</v>
      </c>
      <c r="L899">
        <v>46</v>
      </c>
      <c r="M899">
        <v>439</v>
      </c>
      <c r="N899">
        <v>577</v>
      </c>
      <c r="O899">
        <v>3683</v>
      </c>
      <c r="P899" t="str">
        <f t="shared" si="56"/>
        <v>Tuesday</v>
      </c>
      <c r="Q899">
        <f t="shared" si="57"/>
        <v>1067</v>
      </c>
      <c r="R899" t="str">
        <f t="shared" si="58"/>
        <v>Weekday</v>
      </c>
      <c r="S899" t="str">
        <f t="shared" si="59"/>
        <v>Very_Active</v>
      </c>
    </row>
    <row r="900" spans="1:19" x14ac:dyDescent="0.25">
      <c r="A900">
        <v>4702921684</v>
      </c>
      <c r="B900" s="4">
        <v>42483</v>
      </c>
      <c r="C900">
        <v>15126</v>
      </c>
      <c r="D900" s="1">
        <v>12.2700004577637</v>
      </c>
      <c r="E900" s="1">
        <v>12.2700004577637</v>
      </c>
      <c r="F900" s="1">
        <v>0</v>
      </c>
      <c r="G900" s="1">
        <v>0.75999999046325695</v>
      </c>
      <c r="H900" s="1">
        <v>3.2400000095367401</v>
      </c>
      <c r="I900" s="1">
        <v>8.2700004577636701</v>
      </c>
      <c r="J900" s="1">
        <v>0</v>
      </c>
      <c r="K900">
        <v>9</v>
      </c>
      <c r="L900">
        <v>66</v>
      </c>
      <c r="M900">
        <v>408</v>
      </c>
      <c r="N900">
        <v>469</v>
      </c>
      <c r="O900">
        <v>3691</v>
      </c>
      <c r="P900" t="str">
        <f t="shared" si="56"/>
        <v>Saturday</v>
      </c>
      <c r="Q900">
        <f t="shared" si="57"/>
        <v>952</v>
      </c>
      <c r="R900" t="str">
        <f t="shared" si="58"/>
        <v>Weekend</v>
      </c>
      <c r="S900" t="str">
        <f t="shared" si="59"/>
        <v>Very_Active</v>
      </c>
    </row>
    <row r="901" spans="1:19" x14ac:dyDescent="0.25">
      <c r="A901">
        <v>8877689391</v>
      </c>
      <c r="B901" s="4">
        <v>42618</v>
      </c>
      <c r="C901">
        <v>20226</v>
      </c>
      <c r="D901" s="1">
        <v>18.25</v>
      </c>
      <c r="E901" s="1">
        <v>18.25</v>
      </c>
      <c r="F901" s="1">
        <v>0</v>
      </c>
      <c r="G901" s="1">
        <v>11.1000003814697</v>
      </c>
      <c r="H901" s="1">
        <v>0.80000001192092896</v>
      </c>
      <c r="I901" s="1">
        <v>6.2399997711181596</v>
      </c>
      <c r="J901" s="1">
        <v>5.0000000745058101E-2</v>
      </c>
      <c r="K901">
        <v>73</v>
      </c>
      <c r="L901">
        <v>19</v>
      </c>
      <c r="M901">
        <v>217</v>
      </c>
      <c r="N901">
        <v>1131</v>
      </c>
      <c r="O901">
        <v>3710</v>
      </c>
      <c r="P901" t="str">
        <f t="shared" si="56"/>
        <v>Monday</v>
      </c>
      <c r="Q901">
        <f t="shared" si="57"/>
        <v>1440</v>
      </c>
      <c r="R901" t="str">
        <f t="shared" si="58"/>
        <v>Weekday</v>
      </c>
      <c r="S901" t="str">
        <f t="shared" si="59"/>
        <v>Very_Active</v>
      </c>
    </row>
    <row r="902" spans="1:19" x14ac:dyDescent="0.25">
      <c r="A902">
        <v>8378563200</v>
      </c>
      <c r="B902" s="4">
        <v>42618</v>
      </c>
      <c r="C902">
        <v>8382</v>
      </c>
      <c r="D902" s="1">
        <v>6.6500000953674299</v>
      </c>
      <c r="E902" s="1">
        <v>6.6500000953674299</v>
      </c>
      <c r="F902" s="1">
        <v>2.0921471118927002</v>
      </c>
      <c r="G902" s="1">
        <v>1.2699999809265099</v>
      </c>
      <c r="H902" s="1">
        <v>0.66000002622604403</v>
      </c>
      <c r="I902" s="1">
        <v>4.7199997901916504</v>
      </c>
      <c r="J902" s="1">
        <v>0</v>
      </c>
      <c r="K902">
        <v>71</v>
      </c>
      <c r="L902">
        <v>13</v>
      </c>
      <c r="M902">
        <v>171</v>
      </c>
      <c r="N902">
        <v>772</v>
      </c>
      <c r="O902">
        <v>3721</v>
      </c>
      <c r="P902" t="str">
        <f t="shared" si="56"/>
        <v>Monday</v>
      </c>
      <c r="Q902">
        <f t="shared" si="57"/>
        <v>1027</v>
      </c>
      <c r="R902" t="str">
        <f t="shared" si="58"/>
        <v>Weekday</v>
      </c>
      <c r="S902" t="str">
        <f t="shared" si="59"/>
        <v>Fairly Active</v>
      </c>
    </row>
    <row r="903" spans="1:19" x14ac:dyDescent="0.25">
      <c r="A903">
        <v>6775888955</v>
      </c>
      <c r="B903" s="4">
        <v>42480</v>
      </c>
      <c r="C903">
        <v>10771</v>
      </c>
      <c r="D903" s="1">
        <v>7.7199997901916504</v>
      </c>
      <c r="E903" s="1">
        <v>7.7199997901916504</v>
      </c>
      <c r="F903" s="1">
        <v>0</v>
      </c>
      <c r="G903" s="1">
        <v>3.7699999809265101</v>
      </c>
      <c r="H903" s="1">
        <v>1.7400000095367401</v>
      </c>
      <c r="I903" s="1">
        <v>2.2200000286102299</v>
      </c>
      <c r="J903" s="1">
        <v>0</v>
      </c>
      <c r="K903">
        <v>70</v>
      </c>
      <c r="L903">
        <v>113</v>
      </c>
      <c r="M903">
        <v>178</v>
      </c>
      <c r="N903">
        <v>1079</v>
      </c>
      <c r="O903">
        <v>3727</v>
      </c>
      <c r="P903" t="str">
        <f t="shared" si="56"/>
        <v>Wednesday</v>
      </c>
      <c r="Q903">
        <f t="shared" si="57"/>
        <v>1440</v>
      </c>
      <c r="R903" t="str">
        <f t="shared" si="58"/>
        <v>Weekday</v>
      </c>
      <c r="S903" t="str">
        <f t="shared" si="59"/>
        <v>Very_Active</v>
      </c>
    </row>
    <row r="904" spans="1:19" x14ac:dyDescent="0.25">
      <c r="A904">
        <v>8378563200</v>
      </c>
      <c r="B904" s="4">
        <v>42486</v>
      </c>
      <c r="C904">
        <v>16208</v>
      </c>
      <c r="D904" s="1">
        <v>12.8500003814697</v>
      </c>
      <c r="E904" s="1">
        <v>12.8500003814697</v>
      </c>
      <c r="F904" s="1">
        <v>0</v>
      </c>
      <c r="G904" s="1">
        <v>7.5100002288818404</v>
      </c>
      <c r="H904" s="1">
        <v>0.92000001668930098</v>
      </c>
      <c r="I904" s="1">
        <v>4.4200000762939498</v>
      </c>
      <c r="J904" s="1">
        <v>0</v>
      </c>
      <c r="K904">
        <v>90</v>
      </c>
      <c r="L904">
        <v>18</v>
      </c>
      <c r="M904">
        <v>161</v>
      </c>
      <c r="N904">
        <v>593</v>
      </c>
      <c r="O904">
        <v>3763</v>
      </c>
      <c r="P904" t="str">
        <f t="shared" si="56"/>
        <v>Tuesday</v>
      </c>
      <c r="Q904">
        <f t="shared" si="57"/>
        <v>862</v>
      </c>
      <c r="R904" t="str">
        <f t="shared" si="58"/>
        <v>Weekday</v>
      </c>
      <c r="S904" t="str">
        <f t="shared" si="59"/>
        <v>Very_Active</v>
      </c>
    </row>
    <row r="905" spans="1:19" x14ac:dyDescent="0.25">
      <c r="A905">
        <v>8378563200</v>
      </c>
      <c r="B905" s="4">
        <v>42495</v>
      </c>
      <c r="C905">
        <v>8567</v>
      </c>
      <c r="D905" s="1">
        <v>6.78999996185303</v>
      </c>
      <c r="E905" s="1">
        <v>6.78999996185303</v>
      </c>
      <c r="F905" s="1">
        <v>2.2530810832977299</v>
      </c>
      <c r="G905" s="1">
        <v>0.88999998569488503</v>
      </c>
      <c r="H905" s="1">
        <v>0.15999999642372101</v>
      </c>
      <c r="I905" s="1">
        <v>5.7399997711181596</v>
      </c>
      <c r="J905" s="1">
        <v>0</v>
      </c>
      <c r="K905">
        <v>66</v>
      </c>
      <c r="L905">
        <v>3</v>
      </c>
      <c r="M905">
        <v>214</v>
      </c>
      <c r="N905">
        <v>764</v>
      </c>
      <c r="O905">
        <v>3783</v>
      </c>
      <c r="P905" t="str">
        <f t="shared" si="56"/>
        <v>Thursday</v>
      </c>
      <c r="Q905">
        <f t="shared" si="57"/>
        <v>1047</v>
      </c>
      <c r="R905" t="str">
        <f t="shared" si="58"/>
        <v>Weekday</v>
      </c>
      <c r="S905" t="str">
        <f t="shared" si="59"/>
        <v>Fairly Active</v>
      </c>
    </row>
    <row r="906" spans="1:19" x14ac:dyDescent="0.25">
      <c r="A906">
        <v>8378563200</v>
      </c>
      <c r="B906" s="4">
        <v>42434</v>
      </c>
      <c r="C906">
        <v>8712</v>
      </c>
      <c r="D906" s="1">
        <v>6.9099998474121103</v>
      </c>
      <c r="E906" s="1">
        <v>6.9099998474121103</v>
      </c>
      <c r="F906" s="1">
        <v>2.2530810832977299</v>
      </c>
      <c r="G906" s="1">
        <v>1.3400000333786</v>
      </c>
      <c r="H906" s="1">
        <v>1.0599999427795399</v>
      </c>
      <c r="I906" s="1">
        <v>4.5</v>
      </c>
      <c r="J906" s="1">
        <v>0</v>
      </c>
      <c r="K906">
        <v>71</v>
      </c>
      <c r="L906">
        <v>20</v>
      </c>
      <c r="M906">
        <v>195</v>
      </c>
      <c r="N906">
        <v>822</v>
      </c>
      <c r="O906">
        <v>3784</v>
      </c>
      <c r="P906" t="str">
        <f t="shared" si="56"/>
        <v>Saturday</v>
      </c>
      <c r="Q906">
        <f t="shared" si="57"/>
        <v>1108</v>
      </c>
      <c r="R906" t="str">
        <f t="shared" si="58"/>
        <v>Weekend</v>
      </c>
      <c r="S906" t="str">
        <f t="shared" si="59"/>
        <v>Fairly Active</v>
      </c>
    </row>
    <row r="907" spans="1:19" x14ac:dyDescent="0.25">
      <c r="A907">
        <v>8378563200</v>
      </c>
      <c r="B907" s="4">
        <v>42480</v>
      </c>
      <c r="C907">
        <v>9388</v>
      </c>
      <c r="D907" s="1">
        <v>7.4400000572204599</v>
      </c>
      <c r="E907" s="1">
        <v>7.4400000572204599</v>
      </c>
      <c r="F907" s="1">
        <v>2.0921471118927002</v>
      </c>
      <c r="G907" s="1">
        <v>2.2300000190734899</v>
      </c>
      <c r="H907" s="1">
        <v>0.43999999761581399</v>
      </c>
      <c r="I907" s="1">
        <v>4.7800002098083496</v>
      </c>
      <c r="J907" s="1">
        <v>0</v>
      </c>
      <c r="K907">
        <v>82</v>
      </c>
      <c r="L907">
        <v>8</v>
      </c>
      <c r="M907">
        <v>169</v>
      </c>
      <c r="N907">
        <v>763</v>
      </c>
      <c r="O907">
        <v>3787</v>
      </c>
      <c r="P907" t="str">
        <f t="shared" si="56"/>
        <v>Wednesday</v>
      </c>
      <c r="Q907">
        <f t="shared" si="57"/>
        <v>1022</v>
      </c>
      <c r="R907" t="str">
        <f t="shared" si="58"/>
        <v>Weekday</v>
      </c>
      <c r="S907" t="str">
        <f t="shared" si="59"/>
        <v>Fairly Active</v>
      </c>
    </row>
    <row r="908" spans="1:19" x14ac:dyDescent="0.25">
      <c r="A908">
        <v>8378563200</v>
      </c>
      <c r="B908" s="4">
        <v>42679</v>
      </c>
      <c r="C908">
        <v>9143</v>
      </c>
      <c r="D908" s="1">
        <v>7.25</v>
      </c>
      <c r="E908" s="1">
        <v>7.25</v>
      </c>
      <c r="F908" s="1">
        <v>2.0921471118927002</v>
      </c>
      <c r="G908" s="1">
        <v>1.3899999856948899</v>
      </c>
      <c r="H908" s="1">
        <v>0.58999997377395597</v>
      </c>
      <c r="I908" s="1">
        <v>5.2699999809265101</v>
      </c>
      <c r="J908" s="1">
        <v>0</v>
      </c>
      <c r="K908">
        <v>72</v>
      </c>
      <c r="L908">
        <v>10</v>
      </c>
      <c r="M908">
        <v>184</v>
      </c>
      <c r="N908">
        <v>763</v>
      </c>
      <c r="O908">
        <v>3788</v>
      </c>
      <c r="P908" t="str">
        <f t="shared" si="56"/>
        <v>Saturday</v>
      </c>
      <c r="Q908">
        <f t="shared" si="57"/>
        <v>1029</v>
      </c>
      <c r="R908" t="str">
        <f t="shared" si="58"/>
        <v>Weekend</v>
      </c>
      <c r="S908" t="str">
        <f t="shared" si="59"/>
        <v>Fairly Active</v>
      </c>
    </row>
    <row r="909" spans="1:19" x14ac:dyDescent="0.25">
      <c r="A909">
        <v>8877689391</v>
      </c>
      <c r="B909" s="4">
        <v>42474</v>
      </c>
      <c r="C909">
        <v>21129</v>
      </c>
      <c r="D909" s="1">
        <v>18.9799995422363</v>
      </c>
      <c r="E909" s="1">
        <v>18.9799995422363</v>
      </c>
      <c r="F909" s="1">
        <v>0</v>
      </c>
      <c r="G909" s="1">
        <v>10.550000190734901</v>
      </c>
      <c r="H909" s="1">
        <v>0.58999997377395597</v>
      </c>
      <c r="I909" s="1">
        <v>7.75</v>
      </c>
      <c r="J909" s="1">
        <v>1.9999999552965199E-2</v>
      </c>
      <c r="K909">
        <v>68</v>
      </c>
      <c r="L909">
        <v>13</v>
      </c>
      <c r="M909">
        <v>298</v>
      </c>
      <c r="N909">
        <v>1061</v>
      </c>
      <c r="O909">
        <v>3793</v>
      </c>
      <c r="P909" t="str">
        <f t="shared" si="56"/>
        <v>Thursday</v>
      </c>
      <c r="Q909">
        <f t="shared" si="57"/>
        <v>1440</v>
      </c>
      <c r="R909" t="str">
        <f t="shared" si="58"/>
        <v>Weekday</v>
      </c>
      <c r="S909" t="str">
        <f t="shared" si="59"/>
        <v>Very_Active</v>
      </c>
    </row>
    <row r="910" spans="1:19" x14ac:dyDescent="0.25">
      <c r="A910">
        <v>5577150313</v>
      </c>
      <c r="B910" s="4">
        <v>42434</v>
      </c>
      <c r="C910">
        <v>11045</v>
      </c>
      <c r="D910" s="1">
        <v>8.25</v>
      </c>
      <c r="E910" s="1">
        <v>8.25</v>
      </c>
      <c r="F910" s="1">
        <v>0</v>
      </c>
      <c r="G910" s="1">
        <v>4.5199999809265101</v>
      </c>
      <c r="H910" s="1">
        <v>0.15000000596046401</v>
      </c>
      <c r="I910" s="1">
        <v>3.5699999332428001</v>
      </c>
      <c r="J910" s="1">
        <v>0</v>
      </c>
      <c r="K910">
        <v>97</v>
      </c>
      <c r="L910">
        <v>8</v>
      </c>
      <c r="M910">
        <v>212</v>
      </c>
      <c r="N910">
        <v>580</v>
      </c>
      <c r="O910">
        <v>3795</v>
      </c>
      <c r="P910" t="str">
        <f t="shared" si="56"/>
        <v>Saturday</v>
      </c>
      <c r="Q910">
        <f t="shared" si="57"/>
        <v>897</v>
      </c>
      <c r="R910" t="str">
        <f t="shared" si="58"/>
        <v>Weekend</v>
      </c>
      <c r="S910" t="str">
        <f t="shared" si="59"/>
        <v>Very_Active</v>
      </c>
    </row>
    <row r="911" spans="1:19" x14ac:dyDescent="0.25">
      <c r="A911">
        <v>8877689391</v>
      </c>
      <c r="B911" s="4">
        <v>42485</v>
      </c>
      <c r="C911">
        <v>12986</v>
      </c>
      <c r="D911" s="1">
        <v>8.7399997711181605</v>
      </c>
      <c r="E911" s="1">
        <v>8.7399997711181605</v>
      </c>
      <c r="F911" s="1">
        <v>0</v>
      </c>
      <c r="G911" s="1">
        <v>2.3699998855590798</v>
      </c>
      <c r="H911" s="1">
        <v>7.0000000298023196E-2</v>
      </c>
      <c r="I911" s="1">
        <v>6.2699999809265101</v>
      </c>
      <c r="J911" s="1">
        <v>9.9999997764825804E-3</v>
      </c>
      <c r="K911">
        <v>113</v>
      </c>
      <c r="L911">
        <v>8</v>
      </c>
      <c r="M911">
        <v>218</v>
      </c>
      <c r="N911">
        <v>1101</v>
      </c>
      <c r="O911">
        <v>3802</v>
      </c>
      <c r="P911" t="str">
        <f t="shared" si="56"/>
        <v>Monday</v>
      </c>
      <c r="Q911">
        <f t="shared" si="57"/>
        <v>1440</v>
      </c>
      <c r="R911" t="str">
        <f t="shared" si="58"/>
        <v>Weekday</v>
      </c>
      <c r="S911" t="str">
        <f t="shared" si="59"/>
        <v>Very_Active</v>
      </c>
    </row>
    <row r="912" spans="1:19" x14ac:dyDescent="0.25">
      <c r="A912">
        <v>8877689391</v>
      </c>
      <c r="B912" s="4">
        <v>42487</v>
      </c>
      <c r="C912">
        <v>23629</v>
      </c>
      <c r="D912" s="1">
        <v>20.649999618530298</v>
      </c>
      <c r="E912" s="1">
        <v>20.649999618530298</v>
      </c>
      <c r="F912" s="1">
        <v>0</v>
      </c>
      <c r="G912" s="1">
        <v>13.069999694824199</v>
      </c>
      <c r="H912" s="1">
        <v>0.43999999761581399</v>
      </c>
      <c r="I912" s="1">
        <v>7.0999999046325701</v>
      </c>
      <c r="J912" s="1">
        <v>0</v>
      </c>
      <c r="K912">
        <v>93</v>
      </c>
      <c r="L912">
        <v>8</v>
      </c>
      <c r="M912">
        <v>235</v>
      </c>
      <c r="N912">
        <v>1104</v>
      </c>
      <c r="O912">
        <v>3808</v>
      </c>
      <c r="P912" t="str">
        <f t="shared" si="56"/>
        <v>Wednesday</v>
      </c>
      <c r="Q912">
        <f t="shared" si="57"/>
        <v>1440</v>
      </c>
      <c r="R912" t="str">
        <f t="shared" si="58"/>
        <v>Weekday</v>
      </c>
      <c r="S912" t="str">
        <f t="shared" si="59"/>
        <v>Very_Active</v>
      </c>
    </row>
    <row r="913" spans="1:19" x14ac:dyDescent="0.25">
      <c r="A913">
        <v>8877689391</v>
      </c>
      <c r="B913" s="4">
        <v>42679</v>
      </c>
      <c r="C913">
        <v>21420</v>
      </c>
      <c r="D913" s="1">
        <v>19.559999465942401</v>
      </c>
      <c r="E913" s="1">
        <v>19.559999465942401</v>
      </c>
      <c r="F913" s="1">
        <v>0</v>
      </c>
      <c r="G913" s="1">
        <v>13.2200002670288</v>
      </c>
      <c r="H913" s="1">
        <v>0.40999999642372098</v>
      </c>
      <c r="I913" s="1">
        <v>5.8899998664856001</v>
      </c>
      <c r="J913" s="1">
        <v>0</v>
      </c>
      <c r="K913">
        <v>88</v>
      </c>
      <c r="L913">
        <v>12</v>
      </c>
      <c r="M913">
        <v>213</v>
      </c>
      <c r="N913">
        <v>1127</v>
      </c>
      <c r="O913">
        <v>3832</v>
      </c>
      <c r="P913" t="str">
        <f t="shared" si="56"/>
        <v>Saturday</v>
      </c>
      <c r="Q913">
        <f t="shared" si="57"/>
        <v>1440</v>
      </c>
      <c r="R913" t="str">
        <f t="shared" si="58"/>
        <v>Weekend</v>
      </c>
      <c r="S913" t="str">
        <f t="shared" si="59"/>
        <v>Very_Active</v>
      </c>
    </row>
    <row r="914" spans="1:19" x14ac:dyDescent="0.25">
      <c r="A914">
        <v>5577150313</v>
      </c>
      <c r="B914" s="4">
        <v>42648</v>
      </c>
      <c r="C914">
        <v>8869</v>
      </c>
      <c r="D914" s="1">
        <v>6.6500000953674299</v>
      </c>
      <c r="E914" s="1">
        <v>6.6500000953674299</v>
      </c>
      <c r="F914" s="1">
        <v>0</v>
      </c>
      <c r="G914" s="1">
        <v>2.5599999427795401</v>
      </c>
      <c r="H914" s="1">
        <v>0.75</v>
      </c>
      <c r="I914" s="1">
        <v>3.3499999046325701</v>
      </c>
      <c r="J914" s="1">
        <v>0</v>
      </c>
      <c r="K914">
        <v>104</v>
      </c>
      <c r="L914">
        <v>37</v>
      </c>
      <c r="M914">
        <v>194</v>
      </c>
      <c r="N914">
        <v>639</v>
      </c>
      <c r="O914">
        <v>3841</v>
      </c>
      <c r="P914" t="str">
        <f t="shared" si="56"/>
        <v>Wednesday</v>
      </c>
      <c r="Q914">
        <f t="shared" si="57"/>
        <v>974</v>
      </c>
      <c r="R914" t="str">
        <f t="shared" si="58"/>
        <v>Weekday</v>
      </c>
      <c r="S914" t="str">
        <f t="shared" si="59"/>
        <v>Fairly Active</v>
      </c>
    </row>
    <row r="915" spans="1:19" x14ac:dyDescent="0.25">
      <c r="A915">
        <v>1644430081</v>
      </c>
      <c r="B915" s="4">
        <v>42490</v>
      </c>
      <c r="C915">
        <v>18213</v>
      </c>
      <c r="D915" s="1">
        <v>13.2399997711182</v>
      </c>
      <c r="E915" s="1">
        <v>13.2399997711182</v>
      </c>
      <c r="F915" s="1">
        <v>0</v>
      </c>
      <c r="G915" s="1">
        <v>0.62999999523162797</v>
      </c>
      <c r="H915" s="1">
        <v>3.1400001049041699</v>
      </c>
      <c r="I915" s="1">
        <v>9.4600000381469709</v>
      </c>
      <c r="J915" s="1">
        <v>0</v>
      </c>
      <c r="K915">
        <v>9</v>
      </c>
      <c r="L915">
        <v>71</v>
      </c>
      <c r="M915">
        <v>402</v>
      </c>
      <c r="N915">
        <v>816</v>
      </c>
      <c r="O915">
        <v>3846</v>
      </c>
      <c r="P915" t="str">
        <f t="shared" si="56"/>
        <v>Saturday</v>
      </c>
      <c r="Q915">
        <f t="shared" si="57"/>
        <v>1298</v>
      </c>
      <c r="R915" t="str">
        <f t="shared" si="58"/>
        <v>Weekend</v>
      </c>
      <c r="S915" t="str">
        <f t="shared" si="59"/>
        <v>Very_Active</v>
      </c>
    </row>
    <row r="916" spans="1:19" x14ac:dyDescent="0.25">
      <c r="A916">
        <v>4020332650</v>
      </c>
      <c r="B916" s="4">
        <v>42465</v>
      </c>
      <c r="C916">
        <v>10252</v>
      </c>
      <c r="D916" s="1">
        <v>7.3499999046325701</v>
      </c>
      <c r="E916" s="1">
        <v>7.3499999046325701</v>
      </c>
      <c r="F916" s="1">
        <v>0</v>
      </c>
      <c r="G916" s="1">
        <v>0.67000001668930098</v>
      </c>
      <c r="H916" s="1">
        <v>1.03999996185303</v>
      </c>
      <c r="I916" s="1">
        <v>5.5799999237060502</v>
      </c>
      <c r="J916" s="1">
        <v>0</v>
      </c>
      <c r="K916">
        <v>13</v>
      </c>
      <c r="L916">
        <v>46</v>
      </c>
      <c r="M916">
        <v>346</v>
      </c>
      <c r="N916">
        <v>531</v>
      </c>
      <c r="O916">
        <v>3879</v>
      </c>
      <c r="P916" t="str">
        <f t="shared" si="56"/>
        <v>Tuesday</v>
      </c>
      <c r="Q916">
        <f t="shared" si="57"/>
        <v>936</v>
      </c>
      <c r="R916" t="str">
        <f t="shared" si="58"/>
        <v>Weekday</v>
      </c>
      <c r="S916" t="str">
        <f t="shared" si="59"/>
        <v>Very_Active</v>
      </c>
    </row>
    <row r="917" spans="1:19" x14ac:dyDescent="0.25">
      <c r="A917">
        <v>8877689391</v>
      </c>
      <c r="B917" s="4">
        <v>42483</v>
      </c>
      <c r="C917">
        <v>11200</v>
      </c>
      <c r="D917" s="1">
        <v>7.4299998283386204</v>
      </c>
      <c r="E917" s="1">
        <v>7.4299998283386204</v>
      </c>
      <c r="F917" s="1">
        <v>0</v>
      </c>
      <c r="G917" s="1">
        <v>0</v>
      </c>
      <c r="H917" s="1">
        <v>0</v>
      </c>
      <c r="I917" s="1">
        <v>7.4000000953674299</v>
      </c>
      <c r="J917" s="1">
        <v>9.9999997764825804E-3</v>
      </c>
      <c r="K917">
        <v>102</v>
      </c>
      <c r="L917">
        <v>6</v>
      </c>
      <c r="M917">
        <v>300</v>
      </c>
      <c r="N917">
        <v>1032</v>
      </c>
      <c r="O917">
        <v>3891</v>
      </c>
      <c r="P917" t="str">
        <f t="shared" si="56"/>
        <v>Saturday</v>
      </c>
      <c r="Q917">
        <f t="shared" si="57"/>
        <v>1440</v>
      </c>
      <c r="R917" t="str">
        <f t="shared" si="58"/>
        <v>Weekend</v>
      </c>
      <c r="S917" t="str">
        <f t="shared" si="59"/>
        <v>Very_Active</v>
      </c>
    </row>
    <row r="918" spans="1:19" x14ac:dyDescent="0.25">
      <c r="A918">
        <v>8877689391</v>
      </c>
      <c r="B918" s="4">
        <v>42708</v>
      </c>
      <c r="C918">
        <v>23186</v>
      </c>
      <c r="D918" s="1">
        <v>20.399999618530298</v>
      </c>
      <c r="E918" s="1">
        <v>20.399999618530298</v>
      </c>
      <c r="F918" s="1">
        <v>0</v>
      </c>
      <c r="G918" s="1">
        <v>12.2200002670288</v>
      </c>
      <c r="H918" s="1">
        <v>0.34000000357627902</v>
      </c>
      <c r="I918" s="1">
        <v>7.8200001716613796</v>
      </c>
      <c r="J918" s="1">
        <v>0</v>
      </c>
      <c r="K918">
        <v>85</v>
      </c>
      <c r="L918">
        <v>7</v>
      </c>
      <c r="M918">
        <v>312</v>
      </c>
      <c r="N918">
        <v>1036</v>
      </c>
      <c r="O918">
        <v>3921</v>
      </c>
      <c r="P918" t="str">
        <f t="shared" si="56"/>
        <v>Sunday</v>
      </c>
      <c r="Q918">
        <f t="shared" si="57"/>
        <v>1440</v>
      </c>
      <c r="R918" t="str">
        <f t="shared" si="58"/>
        <v>Weekend</v>
      </c>
      <c r="S918" t="str">
        <f t="shared" si="59"/>
        <v>Very_Active</v>
      </c>
    </row>
    <row r="919" spans="1:19" x14ac:dyDescent="0.25">
      <c r="A919">
        <v>8877689391</v>
      </c>
      <c r="B919" s="4">
        <v>42475</v>
      </c>
      <c r="C919">
        <v>13422</v>
      </c>
      <c r="D919" s="1">
        <v>7.1700000762939498</v>
      </c>
      <c r="E919" s="1">
        <v>7.1700000762939498</v>
      </c>
      <c r="F919" s="1">
        <v>0</v>
      </c>
      <c r="G919" s="1">
        <v>5.0000000745058101E-2</v>
      </c>
      <c r="H919" s="1">
        <v>5.0000000745058101E-2</v>
      </c>
      <c r="I919" s="1">
        <v>7.0100002288818404</v>
      </c>
      <c r="J919" s="1">
        <v>9.9999997764825804E-3</v>
      </c>
      <c r="K919">
        <v>106</v>
      </c>
      <c r="L919">
        <v>1</v>
      </c>
      <c r="M919">
        <v>281</v>
      </c>
      <c r="N919">
        <v>1052</v>
      </c>
      <c r="O919">
        <v>3934</v>
      </c>
      <c r="P919" t="str">
        <f t="shared" si="56"/>
        <v>Friday</v>
      </c>
      <c r="Q919">
        <f t="shared" si="57"/>
        <v>1440</v>
      </c>
      <c r="R919" t="str">
        <f t="shared" si="58"/>
        <v>Weekday</v>
      </c>
      <c r="S919" t="str">
        <f t="shared" si="59"/>
        <v>Very_Active</v>
      </c>
    </row>
    <row r="920" spans="1:19" x14ac:dyDescent="0.25">
      <c r="A920">
        <v>4388161847</v>
      </c>
      <c r="B920" s="4">
        <v>42587</v>
      </c>
      <c r="C920">
        <v>17298</v>
      </c>
      <c r="D920" s="1">
        <v>14.3800001144409</v>
      </c>
      <c r="E920" s="1">
        <v>14.3800001144409</v>
      </c>
      <c r="F920" s="1">
        <v>0</v>
      </c>
      <c r="G920" s="1">
        <v>9.8900003433227504</v>
      </c>
      <c r="H920" s="1">
        <v>1.2599999904632599</v>
      </c>
      <c r="I920" s="1">
        <v>3.2300000190734899</v>
      </c>
      <c r="J920" s="1">
        <v>0</v>
      </c>
      <c r="K920">
        <v>107</v>
      </c>
      <c r="L920">
        <v>38</v>
      </c>
      <c r="M920">
        <v>178</v>
      </c>
      <c r="N920">
        <v>576</v>
      </c>
      <c r="O920">
        <v>3934</v>
      </c>
      <c r="P920" t="str">
        <f t="shared" si="56"/>
        <v>Friday</v>
      </c>
      <c r="Q920">
        <f t="shared" si="57"/>
        <v>899</v>
      </c>
      <c r="R920" t="str">
        <f t="shared" si="58"/>
        <v>Weekday</v>
      </c>
      <c r="S920" t="str">
        <f t="shared" si="59"/>
        <v>Very_Active</v>
      </c>
    </row>
    <row r="921" spans="1:19" x14ac:dyDescent="0.25">
      <c r="A921">
        <v>5577150313</v>
      </c>
      <c r="B921" s="4">
        <v>42475</v>
      </c>
      <c r="C921">
        <v>12087</v>
      </c>
      <c r="D921" s="1">
        <v>9.0799999237060494</v>
      </c>
      <c r="E921" s="1">
        <v>9.0799999237060494</v>
      </c>
      <c r="F921" s="1">
        <v>0</v>
      </c>
      <c r="G921" s="1">
        <v>3.9200000762939502</v>
      </c>
      <c r="H921" s="1">
        <v>1.6000000238418599</v>
      </c>
      <c r="I921" s="1">
        <v>3.5599999427795401</v>
      </c>
      <c r="J921" s="1">
        <v>0</v>
      </c>
      <c r="K921">
        <v>115</v>
      </c>
      <c r="L921">
        <v>54</v>
      </c>
      <c r="M921">
        <v>199</v>
      </c>
      <c r="N921">
        <v>695</v>
      </c>
      <c r="O921">
        <v>4005</v>
      </c>
      <c r="P921" t="str">
        <f t="shared" si="56"/>
        <v>Friday</v>
      </c>
      <c r="Q921">
        <f t="shared" si="57"/>
        <v>1063</v>
      </c>
      <c r="R921" t="str">
        <f t="shared" si="58"/>
        <v>Weekday</v>
      </c>
      <c r="S921" t="str">
        <f t="shared" si="59"/>
        <v>Very_Active</v>
      </c>
    </row>
    <row r="922" spans="1:19" x14ac:dyDescent="0.25">
      <c r="A922">
        <v>8378563200</v>
      </c>
      <c r="B922" s="4">
        <v>42485</v>
      </c>
      <c r="C922">
        <v>12405</v>
      </c>
      <c r="D922" s="1">
        <v>9.8400001525878906</v>
      </c>
      <c r="E922" s="1">
        <v>9.8400001525878906</v>
      </c>
      <c r="F922" s="1">
        <v>2.0921471118927002</v>
      </c>
      <c r="G922" s="1">
        <v>5.0500001907348597</v>
      </c>
      <c r="H922" s="1">
        <v>0.87000000476837203</v>
      </c>
      <c r="I922" s="1">
        <v>3.9200000762939502</v>
      </c>
      <c r="J922" s="1">
        <v>0</v>
      </c>
      <c r="K922">
        <v>117</v>
      </c>
      <c r="L922">
        <v>16</v>
      </c>
      <c r="M922">
        <v>141</v>
      </c>
      <c r="N922">
        <v>692</v>
      </c>
      <c r="O922">
        <v>4005</v>
      </c>
      <c r="P922" t="str">
        <f t="shared" si="56"/>
        <v>Monday</v>
      </c>
      <c r="Q922">
        <f t="shared" si="57"/>
        <v>966</v>
      </c>
      <c r="R922" t="str">
        <f t="shared" si="58"/>
        <v>Weekday</v>
      </c>
      <c r="S922" t="str">
        <f t="shared" si="59"/>
        <v>Very_Active</v>
      </c>
    </row>
    <row r="923" spans="1:19" x14ac:dyDescent="0.25">
      <c r="A923">
        <v>8877689391</v>
      </c>
      <c r="B923" s="4">
        <v>42526</v>
      </c>
      <c r="C923">
        <v>21727</v>
      </c>
      <c r="D923" s="1">
        <v>19.340000152587901</v>
      </c>
      <c r="E923" s="1">
        <v>19.340000152587901</v>
      </c>
      <c r="F923" s="1">
        <v>0</v>
      </c>
      <c r="G923" s="1">
        <v>12.789999961853001</v>
      </c>
      <c r="H923" s="1">
        <v>0.28999999165535001</v>
      </c>
      <c r="I923" s="1">
        <v>6.1599998474121103</v>
      </c>
      <c r="J923" s="1">
        <v>0</v>
      </c>
      <c r="K923">
        <v>96</v>
      </c>
      <c r="L923">
        <v>17</v>
      </c>
      <c r="M923">
        <v>232</v>
      </c>
      <c r="N923">
        <v>1095</v>
      </c>
      <c r="O923">
        <v>4015</v>
      </c>
      <c r="P923" t="str">
        <f t="shared" si="56"/>
        <v>Sunday</v>
      </c>
      <c r="Q923">
        <f t="shared" si="57"/>
        <v>1440</v>
      </c>
      <c r="R923" t="str">
        <f t="shared" si="58"/>
        <v>Weekend</v>
      </c>
      <c r="S923" t="str">
        <f t="shared" si="59"/>
        <v>Very_Active</v>
      </c>
    </row>
    <row r="924" spans="1:19" x14ac:dyDescent="0.25">
      <c r="A924">
        <v>5577150313</v>
      </c>
      <c r="B924" s="4">
        <v>42481</v>
      </c>
      <c r="C924">
        <v>10830</v>
      </c>
      <c r="D924" s="1">
        <v>8.0900001525878906</v>
      </c>
      <c r="E924" s="1">
        <v>8.0900001525878906</v>
      </c>
      <c r="F924" s="1">
        <v>0</v>
      </c>
      <c r="G924" s="1">
        <v>3.6500000953674299</v>
      </c>
      <c r="H924" s="1">
        <v>1.6599999666214</v>
      </c>
      <c r="I924" s="1">
        <v>2.7799999713897701</v>
      </c>
      <c r="J924" s="1">
        <v>0</v>
      </c>
      <c r="K924">
        <v>110</v>
      </c>
      <c r="L924">
        <v>74</v>
      </c>
      <c r="M924">
        <v>175</v>
      </c>
      <c r="N924">
        <v>670</v>
      </c>
      <c r="O924">
        <v>4018</v>
      </c>
      <c r="P924" t="str">
        <f t="shared" si="56"/>
        <v>Thursday</v>
      </c>
      <c r="Q924">
        <f t="shared" si="57"/>
        <v>1029</v>
      </c>
      <c r="R924" t="str">
        <f t="shared" si="58"/>
        <v>Weekday</v>
      </c>
      <c r="S924" t="str">
        <f t="shared" si="59"/>
        <v>Very_Active</v>
      </c>
    </row>
    <row r="925" spans="1:19" x14ac:dyDescent="0.25">
      <c r="A925">
        <v>5577150313</v>
      </c>
      <c r="B925" s="4">
        <v>42474</v>
      </c>
      <c r="C925">
        <v>8596</v>
      </c>
      <c r="D925" s="1">
        <v>6.4200000762939498</v>
      </c>
      <c r="E925" s="1">
        <v>6.4200000762939498</v>
      </c>
      <c r="F925" s="1">
        <v>0</v>
      </c>
      <c r="G925" s="1">
        <v>3.3299999237060498</v>
      </c>
      <c r="H925" s="1">
        <v>0.31000000238418601</v>
      </c>
      <c r="I925" s="1">
        <v>2.7799999713897701</v>
      </c>
      <c r="J925" s="1">
        <v>0</v>
      </c>
      <c r="K925">
        <v>118</v>
      </c>
      <c r="L925">
        <v>30</v>
      </c>
      <c r="M925">
        <v>176</v>
      </c>
      <c r="N925">
        <v>662</v>
      </c>
      <c r="O925">
        <v>4022</v>
      </c>
      <c r="P925" t="str">
        <f t="shared" si="56"/>
        <v>Thursday</v>
      </c>
      <c r="Q925">
        <f t="shared" si="57"/>
        <v>986</v>
      </c>
      <c r="R925" t="str">
        <f t="shared" si="58"/>
        <v>Weekday</v>
      </c>
      <c r="S925" t="str">
        <f t="shared" si="59"/>
        <v>Fairly Active</v>
      </c>
    </row>
    <row r="926" spans="1:19" x14ac:dyDescent="0.25">
      <c r="A926">
        <v>4388161847</v>
      </c>
      <c r="B926" s="4">
        <v>42556</v>
      </c>
      <c r="C926">
        <v>22770</v>
      </c>
      <c r="D926" s="1">
        <v>17.540000915527301</v>
      </c>
      <c r="E926" s="1">
        <v>17.540000915527301</v>
      </c>
      <c r="F926" s="1">
        <v>0</v>
      </c>
      <c r="G926" s="1">
        <v>9.4499998092651403</v>
      </c>
      <c r="H926" s="1">
        <v>2.7699999809265101</v>
      </c>
      <c r="I926" s="1">
        <v>5.3299999237060502</v>
      </c>
      <c r="J926" s="1">
        <v>0</v>
      </c>
      <c r="K926">
        <v>120</v>
      </c>
      <c r="L926">
        <v>56</v>
      </c>
      <c r="M926">
        <v>260</v>
      </c>
      <c r="N926">
        <v>508</v>
      </c>
      <c r="O926">
        <v>4022</v>
      </c>
      <c r="P926" t="str">
        <f t="shared" si="56"/>
        <v>Tuesday</v>
      </c>
      <c r="Q926">
        <f t="shared" si="57"/>
        <v>944</v>
      </c>
      <c r="R926" t="str">
        <f t="shared" si="58"/>
        <v>Weekday</v>
      </c>
      <c r="S926" t="str">
        <f t="shared" si="59"/>
        <v>Very_Active</v>
      </c>
    </row>
    <row r="927" spans="1:19" x14ac:dyDescent="0.25">
      <c r="A927">
        <v>8378563200</v>
      </c>
      <c r="B927" s="4">
        <v>42482</v>
      </c>
      <c r="C927">
        <v>12200</v>
      </c>
      <c r="D927" s="1">
        <v>9.6700000762939506</v>
      </c>
      <c r="E927" s="1">
        <v>9.6700000762939506</v>
      </c>
      <c r="F927" s="1">
        <v>2.0921471118927002</v>
      </c>
      <c r="G927" s="1">
        <v>4.9099998474121103</v>
      </c>
      <c r="H927" s="1">
        <v>0.58999997377395597</v>
      </c>
      <c r="I927" s="1">
        <v>4.1799998283386204</v>
      </c>
      <c r="J927" s="1">
        <v>0</v>
      </c>
      <c r="K927">
        <v>113</v>
      </c>
      <c r="L927">
        <v>12</v>
      </c>
      <c r="M927">
        <v>159</v>
      </c>
      <c r="N927">
        <v>769</v>
      </c>
      <c r="O927">
        <v>4044</v>
      </c>
      <c r="P927" t="str">
        <f t="shared" si="56"/>
        <v>Friday</v>
      </c>
      <c r="Q927">
        <f t="shared" si="57"/>
        <v>1053</v>
      </c>
      <c r="R927" t="str">
        <f t="shared" si="58"/>
        <v>Weekday</v>
      </c>
      <c r="S927" t="str">
        <f t="shared" si="59"/>
        <v>Very_Active</v>
      </c>
    </row>
    <row r="928" spans="1:19" x14ac:dyDescent="0.25">
      <c r="A928">
        <v>8378563200</v>
      </c>
      <c r="B928" s="4">
        <v>42473</v>
      </c>
      <c r="C928">
        <v>12386</v>
      </c>
      <c r="D928" s="1">
        <v>9.8199996948242205</v>
      </c>
      <c r="E928" s="1">
        <v>9.8199996948242205</v>
      </c>
      <c r="F928" s="1">
        <v>2.0921471118927002</v>
      </c>
      <c r="G928" s="1">
        <v>4.96000003814697</v>
      </c>
      <c r="H928" s="1">
        <v>0.64999997615814198</v>
      </c>
      <c r="I928" s="1">
        <v>4.21000003814697</v>
      </c>
      <c r="J928" s="1">
        <v>0</v>
      </c>
      <c r="K928">
        <v>116</v>
      </c>
      <c r="L928">
        <v>14</v>
      </c>
      <c r="M928">
        <v>169</v>
      </c>
      <c r="N928">
        <v>680</v>
      </c>
      <c r="O928">
        <v>4079</v>
      </c>
      <c r="P928" t="str">
        <f t="shared" si="56"/>
        <v>Wednesday</v>
      </c>
      <c r="Q928">
        <f t="shared" si="57"/>
        <v>979</v>
      </c>
      <c r="R928" t="str">
        <f t="shared" si="58"/>
        <v>Weekday</v>
      </c>
      <c r="S928" t="str">
        <f t="shared" si="59"/>
        <v>Very_Active</v>
      </c>
    </row>
    <row r="929" spans="1:19" x14ac:dyDescent="0.25">
      <c r="A929">
        <v>8378563200</v>
      </c>
      <c r="B929" s="4">
        <v>42479</v>
      </c>
      <c r="C929">
        <v>13070</v>
      </c>
      <c r="D929" s="1">
        <v>10.3599996566772</v>
      </c>
      <c r="E929" s="1">
        <v>10.3599996566772</v>
      </c>
      <c r="F929" s="1">
        <v>2.2530810832977299</v>
      </c>
      <c r="G929" s="1">
        <v>5.3000001907348597</v>
      </c>
      <c r="H929" s="1">
        <v>0.87999999523162797</v>
      </c>
      <c r="I929" s="1">
        <v>4.1799998283386204</v>
      </c>
      <c r="J929" s="1">
        <v>0</v>
      </c>
      <c r="K929">
        <v>120</v>
      </c>
      <c r="L929">
        <v>19</v>
      </c>
      <c r="M929">
        <v>154</v>
      </c>
      <c r="N929">
        <v>737</v>
      </c>
      <c r="O929">
        <v>4092</v>
      </c>
      <c r="P929" t="str">
        <f t="shared" si="56"/>
        <v>Tuesday</v>
      </c>
      <c r="Q929">
        <f t="shared" si="57"/>
        <v>1030</v>
      </c>
      <c r="R929" t="str">
        <f t="shared" si="58"/>
        <v>Weekday</v>
      </c>
      <c r="S929" t="str">
        <f t="shared" si="59"/>
        <v>Very_Active</v>
      </c>
    </row>
    <row r="930" spans="1:19" x14ac:dyDescent="0.25">
      <c r="A930">
        <v>8877689391</v>
      </c>
      <c r="B930" s="4">
        <v>42556</v>
      </c>
      <c r="C930">
        <v>12332</v>
      </c>
      <c r="D930" s="1">
        <v>8.1300001144409197</v>
      </c>
      <c r="E930" s="1">
        <v>8.1300001144409197</v>
      </c>
      <c r="F930" s="1">
        <v>0</v>
      </c>
      <c r="G930" s="1">
        <v>7.9999998211860698E-2</v>
      </c>
      <c r="H930" s="1">
        <v>0.95999997854232799</v>
      </c>
      <c r="I930" s="1">
        <v>6.9899997711181596</v>
      </c>
      <c r="J930" s="1">
        <v>0</v>
      </c>
      <c r="K930">
        <v>105</v>
      </c>
      <c r="L930">
        <v>28</v>
      </c>
      <c r="M930">
        <v>271</v>
      </c>
      <c r="N930">
        <v>1036</v>
      </c>
      <c r="O930">
        <v>4142</v>
      </c>
      <c r="P930" t="str">
        <f t="shared" si="56"/>
        <v>Tuesday</v>
      </c>
      <c r="Q930">
        <f t="shared" si="57"/>
        <v>1440</v>
      </c>
      <c r="R930" t="str">
        <f t="shared" si="58"/>
        <v>Weekday</v>
      </c>
      <c r="S930" t="str">
        <f t="shared" si="59"/>
        <v>Very_Active</v>
      </c>
    </row>
    <row r="931" spans="1:19" x14ac:dyDescent="0.25">
      <c r="A931">
        <v>8378563200</v>
      </c>
      <c r="B931" s="4">
        <v>42478</v>
      </c>
      <c r="C931">
        <v>13630</v>
      </c>
      <c r="D931" s="1">
        <v>10.810000419616699</v>
      </c>
      <c r="E931" s="1">
        <v>10.810000419616699</v>
      </c>
      <c r="F931" s="1">
        <v>2.0921471118927002</v>
      </c>
      <c r="G931" s="1">
        <v>5.0500001907348597</v>
      </c>
      <c r="H931" s="1">
        <v>0.56000000238418601</v>
      </c>
      <c r="I931" s="1">
        <v>5.1999998092651403</v>
      </c>
      <c r="J931" s="1">
        <v>0</v>
      </c>
      <c r="K931">
        <v>117</v>
      </c>
      <c r="L931">
        <v>10</v>
      </c>
      <c r="M931">
        <v>174</v>
      </c>
      <c r="N931">
        <v>720</v>
      </c>
      <c r="O931">
        <v>4157</v>
      </c>
      <c r="P931" t="str">
        <f t="shared" si="56"/>
        <v>Monday</v>
      </c>
      <c r="Q931">
        <f t="shared" si="57"/>
        <v>1021</v>
      </c>
      <c r="R931" t="str">
        <f t="shared" si="58"/>
        <v>Weekday</v>
      </c>
      <c r="S931" t="str">
        <f t="shared" si="59"/>
        <v>Very_Active</v>
      </c>
    </row>
    <row r="932" spans="1:19" x14ac:dyDescent="0.25">
      <c r="A932">
        <v>8378563200</v>
      </c>
      <c r="B932" s="4">
        <v>42474</v>
      </c>
      <c r="C932">
        <v>13318</v>
      </c>
      <c r="D932" s="1">
        <v>10.560000419616699</v>
      </c>
      <c r="E932" s="1">
        <v>10.560000419616699</v>
      </c>
      <c r="F932" s="1">
        <v>2.2530810832977299</v>
      </c>
      <c r="G932" s="1">
        <v>5.6199998855590803</v>
      </c>
      <c r="H932" s="1">
        <v>1.0299999713897701</v>
      </c>
      <c r="I932" s="1">
        <v>3.9100000858306898</v>
      </c>
      <c r="J932" s="1">
        <v>0</v>
      </c>
      <c r="K932">
        <v>123</v>
      </c>
      <c r="L932">
        <v>21</v>
      </c>
      <c r="M932">
        <v>174</v>
      </c>
      <c r="N932">
        <v>699</v>
      </c>
      <c r="O932">
        <v>4163</v>
      </c>
      <c r="P932" t="str">
        <f t="shared" si="56"/>
        <v>Thursday</v>
      </c>
      <c r="Q932">
        <f t="shared" si="57"/>
        <v>1017</v>
      </c>
      <c r="R932" t="str">
        <f t="shared" si="58"/>
        <v>Weekday</v>
      </c>
      <c r="S932" t="str">
        <f t="shared" si="59"/>
        <v>Very_Active</v>
      </c>
    </row>
    <row r="933" spans="1:19" x14ac:dyDescent="0.25">
      <c r="A933">
        <v>8378563200</v>
      </c>
      <c r="B933" s="4">
        <v>42481</v>
      </c>
      <c r="C933">
        <v>15148</v>
      </c>
      <c r="D933" s="1">
        <v>12.0100002288818</v>
      </c>
      <c r="E933" s="1">
        <v>12.0100002288818</v>
      </c>
      <c r="F933" s="1">
        <v>2.2530810832977299</v>
      </c>
      <c r="G933" s="1">
        <v>6.9000000953674299</v>
      </c>
      <c r="H933" s="1">
        <v>0.81999999284744296</v>
      </c>
      <c r="I933" s="1">
        <v>4.28999996185303</v>
      </c>
      <c r="J933" s="1">
        <v>0</v>
      </c>
      <c r="K933">
        <v>137</v>
      </c>
      <c r="L933">
        <v>16</v>
      </c>
      <c r="M933">
        <v>145</v>
      </c>
      <c r="N933">
        <v>677</v>
      </c>
      <c r="O933">
        <v>4236</v>
      </c>
      <c r="P933" t="str">
        <f t="shared" si="56"/>
        <v>Thursday</v>
      </c>
      <c r="Q933">
        <f t="shared" si="57"/>
        <v>975</v>
      </c>
      <c r="R933" t="str">
        <f t="shared" si="58"/>
        <v>Weekday</v>
      </c>
      <c r="S933" t="str">
        <f t="shared" si="59"/>
        <v>Very_Active</v>
      </c>
    </row>
    <row r="934" spans="1:19" x14ac:dyDescent="0.25">
      <c r="A934">
        <v>5577150313</v>
      </c>
      <c r="B934" s="4">
        <v>42476</v>
      </c>
      <c r="C934">
        <v>14269</v>
      </c>
      <c r="D934" s="1">
        <v>10.6599998474121</v>
      </c>
      <c r="E934" s="1">
        <v>10.6599998474121</v>
      </c>
      <c r="F934" s="1">
        <v>0</v>
      </c>
      <c r="G934" s="1">
        <v>6.6399998664856001</v>
      </c>
      <c r="H934" s="1">
        <v>1.2799999713897701</v>
      </c>
      <c r="I934" s="1">
        <v>2.7300000190734899</v>
      </c>
      <c r="J934" s="1">
        <v>0</v>
      </c>
      <c r="K934">
        <v>184</v>
      </c>
      <c r="L934">
        <v>56</v>
      </c>
      <c r="M934">
        <v>158</v>
      </c>
      <c r="N934">
        <v>472</v>
      </c>
      <c r="O934">
        <v>4274</v>
      </c>
      <c r="P934" t="str">
        <f t="shared" si="56"/>
        <v>Saturday</v>
      </c>
      <c r="Q934">
        <f t="shared" si="57"/>
        <v>870</v>
      </c>
      <c r="R934" t="str">
        <f t="shared" si="58"/>
        <v>Weekend</v>
      </c>
      <c r="S934" t="str">
        <f t="shared" si="59"/>
        <v>Very_Active</v>
      </c>
    </row>
    <row r="935" spans="1:19" x14ac:dyDescent="0.25">
      <c r="A935">
        <v>5577150313</v>
      </c>
      <c r="B935" s="4">
        <v>42484</v>
      </c>
      <c r="C935">
        <v>15764</v>
      </c>
      <c r="D935" s="1">
        <v>11.7799997329712</v>
      </c>
      <c r="E935" s="1">
        <v>11.7799997329712</v>
      </c>
      <c r="F935" s="1">
        <v>0</v>
      </c>
      <c r="G935" s="1">
        <v>7.6500000953674299</v>
      </c>
      <c r="H935" s="1">
        <v>2.1500000953674299</v>
      </c>
      <c r="I935" s="1">
        <v>1.9800000190734901</v>
      </c>
      <c r="J935" s="1">
        <v>0</v>
      </c>
      <c r="K935">
        <v>210</v>
      </c>
      <c r="L935">
        <v>65</v>
      </c>
      <c r="M935">
        <v>141</v>
      </c>
      <c r="N935">
        <v>425</v>
      </c>
      <c r="O935">
        <v>4392</v>
      </c>
      <c r="P935" t="str">
        <f t="shared" si="56"/>
        <v>Sunday</v>
      </c>
      <c r="Q935">
        <f t="shared" si="57"/>
        <v>841</v>
      </c>
      <c r="R935" t="str">
        <f t="shared" si="58"/>
        <v>Weekend</v>
      </c>
      <c r="S935" t="str">
        <f t="shared" si="59"/>
        <v>Very_Active</v>
      </c>
    </row>
    <row r="936" spans="1:19" x14ac:dyDescent="0.25">
      <c r="A936">
        <v>8877689391</v>
      </c>
      <c r="B936" s="4">
        <v>42490</v>
      </c>
      <c r="C936">
        <v>27745</v>
      </c>
      <c r="D936" s="1">
        <v>26.719999313354499</v>
      </c>
      <c r="E936" s="1">
        <v>26.719999313354499</v>
      </c>
      <c r="F936" s="1">
        <v>0</v>
      </c>
      <c r="G936" s="1">
        <v>21.659999847412099</v>
      </c>
      <c r="H936" s="1">
        <v>7.9999998211860698E-2</v>
      </c>
      <c r="I936" s="1">
        <v>4.9299998283386204</v>
      </c>
      <c r="J936" s="1">
        <v>0</v>
      </c>
      <c r="K936">
        <v>124</v>
      </c>
      <c r="L936">
        <v>4</v>
      </c>
      <c r="M936">
        <v>223</v>
      </c>
      <c r="N936">
        <v>1089</v>
      </c>
      <c r="O936">
        <v>4398</v>
      </c>
      <c r="P936" t="str">
        <f t="shared" si="56"/>
        <v>Saturday</v>
      </c>
      <c r="Q936">
        <f t="shared" si="57"/>
        <v>1440</v>
      </c>
      <c r="R936" t="str">
        <f t="shared" si="58"/>
        <v>Weekend</v>
      </c>
      <c r="S936" t="str">
        <f t="shared" si="59"/>
        <v>Very_Active</v>
      </c>
    </row>
    <row r="937" spans="1:19" x14ac:dyDescent="0.25">
      <c r="A937">
        <v>5577150313</v>
      </c>
      <c r="B937" s="4">
        <v>42490</v>
      </c>
      <c r="C937">
        <v>12363</v>
      </c>
      <c r="D937" s="1">
        <v>9.2399997711181605</v>
      </c>
      <c r="E937" s="1">
        <v>9.2399997711181605</v>
      </c>
      <c r="F937" s="1">
        <v>0</v>
      </c>
      <c r="G937" s="1">
        <v>5.8299999237060502</v>
      </c>
      <c r="H937" s="1">
        <v>0.79000002145767201</v>
      </c>
      <c r="I937" s="1">
        <v>2.6099998950958301</v>
      </c>
      <c r="J937" s="1">
        <v>0</v>
      </c>
      <c r="K937">
        <v>207</v>
      </c>
      <c r="L937">
        <v>45</v>
      </c>
      <c r="M937">
        <v>163</v>
      </c>
      <c r="N937">
        <v>621</v>
      </c>
      <c r="O937">
        <v>4501</v>
      </c>
      <c r="P937" t="str">
        <f t="shared" si="56"/>
        <v>Saturday</v>
      </c>
      <c r="Q937">
        <f t="shared" si="57"/>
        <v>1036</v>
      </c>
      <c r="R937" t="str">
        <f t="shared" si="58"/>
        <v>Weekend</v>
      </c>
      <c r="S937" t="str">
        <f t="shared" si="59"/>
        <v>Very_Active</v>
      </c>
    </row>
    <row r="938" spans="1:19" x14ac:dyDescent="0.25">
      <c r="A938">
        <v>5577150313</v>
      </c>
      <c r="B938" s="4">
        <v>42374</v>
      </c>
      <c r="C938">
        <v>13368</v>
      </c>
      <c r="D938" s="1">
        <v>9.9899997711181605</v>
      </c>
      <c r="E938" s="1">
        <v>9.9899997711181605</v>
      </c>
      <c r="F938" s="1">
        <v>0</v>
      </c>
      <c r="G938" s="1">
        <v>5.3099999427795401</v>
      </c>
      <c r="H938" s="1">
        <v>1.4400000572204601</v>
      </c>
      <c r="I938" s="1">
        <v>3.2400000095367401</v>
      </c>
      <c r="J938" s="1">
        <v>0</v>
      </c>
      <c r="K938">
        <v>194</v>
      </c>
      <c r="L938">
        <v>72</v>
      </c>
      <c r="M938">
        <v>178</v>
      </c>
      <c r="N938">
        <v>499</v>
      </c>
      <c r="O938">
        <v>4546</v>
      </c>
      <c r="P938" t="str">
        <f t="shared" si="56"/>
        <v>Tuesday</v>
      </c>
      <c r="Q938">
        <f t="shared" si="57"/>
        <v>943</v>
      </c>
      <c r="R938" t="str">
        <f t="shared" si="58"/>
        <v>Weekday</v>
      </c>
      <c r="S938" t="str">
        <f t="shared" si="59"/>
        <v>Very_Active</v>
      </c>
    </row>
    <row r="939" spans="1:19" x14ac:dyDescent="0.25">
      <c r="A939">
        <v>8877689391</v>
      </c>
      <c r="B939" s="4">
        <v>42476</v>
      </c>
      <c r="C939">
        <v>29326</v>
      </c>
      <c r="D939" s="1">
        <v>25.290000915527301</v>
      </c>
      <c r="E939" s="1">
        <v>25.290000915527301</v>
      </c>
      <c r="F939" s="1">
        <v>0</v>
      </c>
      <c r="G939" s="1">
        <v>13.2399997711182</v>
      </c>
      <c r="H939" s="1">
        <v>1.21000003814697</v>
      </c>
      <c r="I939" s="1">
        <v>10.710000038146999</v>
      </c>
      <c r="J939" s="1">
        <v>0</v>
      </c>
      <c r="K939">
        <v>94</v>
      </c>
      <c r="L939">
        <v>29</v>
      </c>
      <c r="M939">
        <v>429</v>
      </c>
      <c r="N939">
        <v>888</v>
      </c>
      <c r="O939">
        <v>4547</v>
      </c>
      <c r="P939" t="str">
        <f t="shared" si="56"/>
        <v>Saturday</v>
      </c>
      <c r="Q939">
        <f t="shared" si="57"/>
        <v>1440</v>
      </c>
      <c r="R939" t="str">
        <f t="shared" si="58"/>
        <v>Weekend</v>
      </c>
      <c r="S939" t="str">
        <f t="shared" si="59"/>
        <v>Very_Active</v>
      </c>
    </row>
    <row r="940" spans="1:19" x14ac:dyDescent="0.25">
      <c r="A940">
        <v>5577150313</v>
      </c>
      <c r="B940" s="4">
        <v>42477</v>
      </c>
      <c r="C940">
        <v>12231</v>
      </c>
      <c r="D940" s="1">
        <v>9.1400003433227504</v>
      </c>
      <c r="E940" s="1">
        <v>9.1400003433227504</v>
      </c>
      <c r="F940" s="1">
        <v>0</v>
      </c>
      <c r="G940" s="1">
        <v>5.9800000190734899</v>
      </c>
      <c r="H940" s="1">
        <v>0.82999998331069902</v>
      </c>
      <c r="I940" s="1">
        <v>2.3199999332428001</v>
      </c>
      <c r="J940" s="1">
        <v>0</v>
      </c>
      <c r="K940">
        <v>200</v>
      </c>
      <c r="L940">
        <v>37</v>
      </c>
      <c r="M940">
        <v>159</v>
      </c>
      <c r="N940">
        <v>525</v>
      </c>
      <c r="O940">
        <v>4552</v>
      </c>
      <c r="P940" t="str">
        <f t="shared" si="56"/>
        <v>Sunday</v>
      </c>
      <c r="Q940">
        <f t="shared" si="57"/>
        <v>921</v>
      </c>
      <c r="R940" t="str">
        <f t="shared" si="58"/>
        <v>Weekend</v>
      </c>
      <c r="S940" t="str">
        <f t="shared" si="59"/>
        <v>Very_Active</v>
      </c>
    </row>
    <row r="941" spans="1:19" x14ac:dyDescent="0.25">
      <c r="A941">
        <v>6117666160</v>
      </c>
      <c r="B941" s="4">
        <v>42481</v>
      </c>
      <c r="C941">
        <v>19542</v>
      </c>
      <c r="D941" s="1">
        <v>15.0100002288818</v>
      </c>
      <c r="E941" s="1">
        <v>15.0100002288818</v>
      </c>
      <c r="F941" s="1">
        <v>0</v>
      </c>
      <c r="G941" s="1">
        <v>0.980000019073486</v>
      </c>
      <c r="H941" s="1">
        <v>0.40000000596046398</v>
      </c>
      <c r="I941" s="1">
        <v>5.6199998855590803</v>
      </c>
      <c r="J941" s="1">
        <v>0</v>
      </c>
      <c r="K941">
        <v>11</v>
      </c>
      <c r="L941">
        <v>19</v>
      </c>
      <c r="M941">
        <v>294</v>
      </c>
      <c r="N941">
        <v>579</v>
      </c>
      <c r="O941">
        <v>4900</v>
      </c>
      <c r="P941" t="str">
        <f t="shared" si="56"/>
        <v>Thursday</v>
      </c>
      <c r="Q941">
        <f t="shared" si="57"/>
        <v>903</v>
      </c>
      <c r="R941" t="str">
        <f t="shared" si="58"/>
        <v>Weekday</v>
      </c>
      <c r="S941" t="str">
        <f t="shared" si="59"/>
        <v>Very_Active</v>
      </c>
    </row>
    <row r="942" spans="1:19" x14ac:dyDescent="0.25">
      <c r="D942" s="1"/>
      <c r="E942" s="1"/>
      <c r="F942" s="1"/>
      <c r="G942" s="1"/>
      <c r="H942" s="1"/>
      <c r="I942" s="1"/>
      <c r="J942" s="1"/>
      <c r="P942" t="str">
        <f t="shared" si="56"/>
        <v>Saturday</v>
      </c>
      <c r="Q942">
        <f t="shared" si="57"/>
        <v>0</v>
      </c>
      <c r="R942" t="str">
        <f t="shared" si="58"/>
        <v>Weekend</v>
      </c>
      <c r="S942" t="str">
        <f t="shared" si="59"/>
        <v>Sedentary</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8F07-6285-40CA-AFA0-E10AFC216367}">
  <dimension ref="H1:K2"/>
  <sheetViews>
    <sheetView showGridLines="0" tabSelected="1" workbookViewId="0">
      <selection activeCell="C1" sqref="C1"/>
    </sheetView>
  </sheetViews>
  <sheetFormatPr defaultRowHeight="13.8" x14ac:dyDescent="0.25"/>
  <cols>
    <col min="3" max="7" width="8" customWidth="1"/>
    <col min="8" max="11" width="8.796875" customWidth="1"/>
  </cols>
  <sheetData>
    <row r="1" spans="8:11" ht="32.4" x14ac:dyDescent="0.55000000000000004">
      <c r="H1" s="10" t="s">
        <v>44</v>
      </c>
    </row>
    <row r="2" spans="8:11" x14ac:dyDescent="0.25">
      <c r="K2"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E81478-7372-42D9-8675-8AF7559C9D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Average Steps by Day of Week</vt:lpstr>
      <vt:lpstr>Average Calories Burned by Day</vt:lpstr>
      <vt:lpstr>Average Sleep Duration by Day </vt:lpstr>
      <vt:lpstr>Sleep Efficiency</vt:lpstr>
      <vt:lpstr>sleepDay_4 12 16-5 12 16</vt:lpstr>
      <vt:lpstr>Activity Level Distribution</vt:lpstr>
      <vt:lpstr>Average Active Minutes by Day</vt:lpstr>
      <vt:lpstr>dailyActivity_4.12.16-5.12.16</vt:lpstr>
      <vt:lpstr>Dashboard_BellaBeat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Jatin Sagwal</cp:lastModifiedBy>
  <dcterms:created xsi:type="dcterms:W3CDTF">2026-04-04T09:13:21Z</dcterms:created>
  <dcterms:modified xsi:type="dcterms:W3CDTF">2026-04-10T07:59:41Z</dcterms:modified>
</cp:coreProperties>
</file>