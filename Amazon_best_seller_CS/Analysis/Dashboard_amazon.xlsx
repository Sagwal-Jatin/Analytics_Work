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Owner\Desktop\Amazon_best_seller_CS\Analysis\"/>
    </mc:Choice>
  </mc:AlternateContent>
  <xr:revisionPtr revIDLastSave="0" documentId="8_{384B68DA-4A55-460F-A842-05F7408DD254}" xr6:coauthVersionLast="47" xr6:coauthVersionMax="47" xr10:uidLastSave="{00000000-0000-0000-0000-000000000000}"/>
  <bookViews>
    <workbookView xWindow="-108" yWindow="-108" windowWidth="23256" windowHeight="12456" xr2:uid="{089A0C09-7EFE-4377-9A5A-8B9EA92BC4A4}"/>
  </bookViews>
  <sheets>
    <sheet name="Dashboard" sheetId="3" r:id="rId1"/>
    <sheet name="books_by_genre" sheetId="2" state="hidden" r:id="rId2"/>
    <sheet name="average_rating_by_genre" sheetId="4" state="hidden" r:id="rId3"/>
    <sheet name="Average Price by Genre" sheetId="5" state="hidden" r:id="rId4"/>
    <sheet name="Top Authors" sheetId="6" state="hidden" r:id="rId5"/>
    <sheet name="Reviews by Year" sheetId="7" state="hidden" r:id="rId6"/>
    <sheet name="Average Price by Year" sheetId="8" state="hidden" r:id="rId7"/>
    <sheet name="Top 10 Most Reviewed Books" sheetId="9" state="hidden" r:id="rId8"/>
    <sheet name="amazon_books_cleaned" sheetId="1" state="hidden" r:id="rId9"/>
  </sheets>
  <definedNames>
    <definedName name="Slicer_price_category">#N/A</definedName>
    <definedName name="Slicer_rating_category">#N/A</definedName>
    <definedName name="Slicer_year">#N/A</definedName>
  </definedNames>
  <calcPr calcId="0"/>
  <pivotCaches>
    <pivotCache cacheId="15"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H150" i="1"/>
  <c r="H493" i="1"/>
  <c r="H389" i="1"/>
  <c r="H89" i="1"/>
  <c r="H303" i="1"/>
  <c r="H268" i="1"/>
  <c r="H521" i="1"/>
  <c r="H390" i="1"/>
  <c r="H20" i="1"/>
  <c r="H151" i="1"/>
  <c r="H152" i="1"/>
  <c r="H15" i="1"/>
  <c r="H526" i="1"/>
  <c r="H53" i="1"/>
  <c r="H430" i="1"/>
  <c r="H21" i="1"/>
  <c r="H90" i="1"/>
  <c r="H91" i="1"/>
  <c r="H153" i="1"/>
  <c r="H330" i="1"/>
  <c r="H359" i="1"/>
  <c r="H360" i="1"/>
  <c r="H331" i="1"/>
  <c r="H202" i="1"/>
  <c r="H332" i="1"/>
  <c r="H54" i="1"/>
  <c r="H203" i="1"/>
  <c r="H361" i="1"/>
  <c r="H55" i="1"/>
  <c r="H269" i="1"/>
  <c r="H504" i="1"/>
  <c r="H484" i="1"/>
  <c r="H270" i="1"/>
  <c r="H271" i="1"/>
  <c r="H391" i="1"/>
  <c r="H333" i="1"/>
  <c r="H334" i="1"/>
  <c r="H449" i="1"/>
  <c r="H335" i="1"/>
  <c r="H154" i="1"/>
  <c r="H56" i="1"/>
  <c r="H57" i="1"/>
  <c r="H2" i="1"/>
  <c r="H22" i="1"/>
  <c r="H450" i="1"/>
  <c r="H515" i="1"/>
  <c r="H272" i="1"/>
  <c r="H273" i="1"/>
  <c r="H274" i="1"/>
  <c r="H410" i="1"/>
  <c r="H362" i="1"/>
  <c r="H363" i="1"/>
  <c r="H364" i="1"/>
  <c r="H155" i="1"/>
  <c r="H23" i="1"/>
  <c r="H58" i="1"/>
  <c r="H275" i="1"/>
  <c r="H276" i="1"/>
  <c r="H240" i="1"/>
  <c r="H336" i="1"/>
  <c r="H24" i="1"/>
  <c r="H156" i="1"/>
  <c r="H25" i="1"/>
  <c r="H59" i="1"/>
  <c r="H60" i="1"/>
  <c r="H61" i="1"/>
  <c r="H62" i="1"/>
  <c r="H431" i="1"/>
  <c r="H392" i="1"/>
  <c r="H550" i="1"/>
  <c r="H551" i="1"/>
  <c r="H3" i="1"/>
  <c r="H393" i="1"/>
  <c r="H494" i="1"/>
  <c r="H63" i="1"/>
  <c r="H394" i="1"/>
  <c r="H395" i="1"/>
  <c r="H92" i="1"/>
  <c r="H93" i="1"/>
  <c r="H337" i="1"/>
  <c r="H304" i="1"/>
  <c r="H94" i="1"/>
  <c r="H157" i="1"/>
  <c r="H26" i="1"/>
  <c r="H27" i="1"/>
  <c r="H158" i="1"/>
  <c r="H159" i="1"/>
  <c r="H95" i="1"/>
  <c r="H467" i="1"/>
  <c r="H64" i="1"/>
  <c r="H411" i="1"/>
  <c r="H14" i="1"/>
  <c r="H365" i="1"/>
  <c r="H204" i="1"/>
  <c r="H205" i="1"/>
  <c r="H127" i="1"/>
  <c r="H451" i="1"/>
  <c r="H396" i="1"/>
  <c r="H397" i="1"/>
  <c r="H206" i="1"/>
  <c r="H160" i="1"/>
  <c r="H161" i="1"/>
  <c r="H398" i="1"/>
  <c r="H16" i="1"/>
  <c r="H128" i="1"/>
  <c r="H277" i="1"/>
  <c r="H366" i="1"/>
  <c r="H367" i="1"/>
  <c r="H527" i="1"/>
  <c r="H96" i="1"/>
  <c r="H28" i="1"/>
  <c r="H29" i="1"/>
  <c r="H30" i="1"/>
  <c r="H31" i="1"/>
  <c r="H32" i="1"/>
  <c r="H207" i="1"/>
  <c r="H4" i="1"/>
  <c r="H208" i="1"/>
  <c r="H65" i="1"/>
  <c r="H66" i="1"/>
  <c r="H67" i="1"/>
  <c r="H468" i="1"/>
  <c r="H412" i="1"/>
  <c r="H33" i="1"/>
  <c r="H34" i="1"/>
  <c r="H35" i="1"/>
  <c r="H36" i="1"/>
  <c r="H37" i="1"/>
  <c r="H305" i="1"/>
  <c r="H306" i="1"/>
  <c r="H307" i="1"/>
  <c r="H278" i="1"/>
  <c r="H463" i="1"/>
  <c r="H209" i="1"/>
  <c r="H97" i="1"/>
  <c r="H241" i="1"/>
  <c r="H242" i="1"/>
  <c r="H210" i="1"/>
  <c r="H98" i="1"/>
  <c r="H368" i="1"/>
  <c r="H369" i="1"/>
  <c r="H370" i="1"/>
  <c r="H371" i="1"/>
  <c r="H68" i="1"/>
  <c r="H69" i="1"/>
  <c r="H70" i="1"/>
  <c r="H129" i="1"/>
  <c r="H130" i="1"/>
  <c r="H243" i="1"/>
  <c r="H372" i="1"/>
  <c r="H131" i="1"/>
  <c r="H548" i="1"/>
  <c r="H279" i="1"/>
  <c r="H522" i="1"/>
  <c r="H308" i="1"/>
  <c r="H452" i="1"/>
  <c r="H523" i="1"/>
  <c r="H495" i="1"/>
  <c r="H211" i="1"/>
  <c r="H546" i="1"/>
  <c r="H38" i="1"/>
  <c r="H244" i="1"/>
  <c r="H245" i="1"/>
  <c r="H373" i="1"/>
  <c r="H374" i="1"/>
  <c r="H496" i="1"/>
  <c r="H280" i="1"/>
  <c r="H281" i="1"/>
  <c r="H282" i="1"/>
  <c r="H283" i="1"/>
  <c r="H284" i="1"/>
  <c r="H413" i="1"/>
  <c r="H399" i="1"/>
  <c r="H400" i="1"/>
  <c r="H432" i="1"/>
  <c r="H433" i="1"/>
  <c r="H132" i="1"/>
  <c r="H133" i="1"/>
  <c r="H39" i="1"/>
  <c r="H40" i="1"/>
  <c r="H212" i="1"/>
  <c r="H485" i="1"/>
  <c r="H375" i="1"/>
  <c r="H469" i="1"/>
  <c r="H338" i="1"/>
  <c r="H339" i="1"/>
  <c r="H309" i="1"/>
  <c r="H162" i="1"/>
  <c r="H163" i="1"/>
  <c r="H164" i="1"/>
  <c r="H165" i="1"/>
  <c r="H166" i="1"/>
  <c r="H167" i="1"/>
  <c r="H5" i="1"/>
  <c r="H310" i="1"/>
  <c r="H434" i="1"/>
  <c r="H311" i="1"/>
  <c r="H509" i="1"/>
  <c r="H246" i="1"/>
  <c r="H247" i="1"/>
  <c r="H99" i="1"/>
  <c r="H71" i="1"/>
  <c r="H100" i="1"/>
  <c r="H168" i="1"/>
  <c r="H41" i="1"/>
  <c r="H42" i="1"/>
  <c r="H43" i="1"/>
  <c r="H340" i="1"/>
  <c r="H44" i="1"/>
  <c r="H45" i="1"/>
  <c r="H46" i="1"/>
  <c r="H47" i="1"/>
  <c r="H48" i="1"/>
  <c r="H341" i="1"/>
  <c r="H486" i="1"/>
  <c r="H101" i="1"/>
  <c r="H401" i="1"/>
  <c r="H453" i="1"/>
  <c r="H248" i="1"/>
  <c r="H6" i="1"/>
  <c r="H312" i="1"/>
  <c r="H134" i="1"/>
  <c r="H342" i="1"/>
  <c r="H72" i="1"/>
  <c r="H73" i="1"/>
  <c r="H414" i="1"/>
  <c r="H470" i="1"/>
  <c r="H285" i="1"/>
  <c r="H511" i="1"/>
  <c r="H169" i="1"/>
  <c r="H170" i="1"/>
  <c r="H171" i="1"/>
  <c r="H102" i="1"/>
  <c r="H249" i="1"/>
  <c r="H250" i="1"/>
  <c r="H251" i="1"/>
  <c r="H172" i="1"/>
  <c r="H173" i="1"/>
  <c r="H174" i="1"/>
  <c r="H415" i="1"/>
  <c r="H286" i="1"/>
  <c r="H252" i="1"/>
  <c r="H213" i="1"/>
  <c r="H376" i="1"/>
  <c r="H497" i="1"/>
  <c r="H175" i="1"/>
  <c r="H176" i="1"/>
  <c r="H177" i="1"/>
  <c r="H178" i="1"/>
  <c r="H179" i="1"/>
  <c r="H180" i="1"/>
  <c r="H181" i="1"/>
  <c r="H182" i="1"/>
  <c r="H135" i="1"/>
  <c r="H313" i="1"/>
  <c r="H343" i="1"/>
  <c r="H344" i="1"/>
  <c r="H214" i="1"/>
  <c r="H345" i="1"/>
  <c r="H287" i="1"/>
  <c r="H471" i="1"/>
  <c r="H472" i="1"/>
  <c r="H74" i="1"/>
  <c r="H75" i="1"/>
  <c r="H17" i="1"/>
  <c r="H512" i="1"/>
  <c r="H513" i="1"/>
  <c r="H514" i="1"/>
  <c r="H215" i="1"/>
  <c r="H253" i="1"/>
  <c r="H254" i="1"/>
  <c r="H536" i="1"/>
  <c r="H537" i="1"/>
  <c r="H538" i="1"/>
  <c r="H539" i="1"/>
  <c r="H540" i="1"/>
  <c r="H541" i="1"/>
  <c r="H542" i="1"/>
  <c r="H543" i="1"/>
  <c r="H544" i="1"/>
  <c r="H545" i="1"/>
  <c r="H49" i="1"/>
  <c r="H473" i="1"/>
  <c r="H136" i="1"/>
  <c r="H216" i="1"/>
  <c r="H217" i="1"/>
  <c r="H314" i="1"/>
  <c r="H315" i="1"/>
  <c r="H316" i="1"/>
  <c r="H317" i="1"/>
  <c r="H474" i="1"/>
  <c r="H475" i="1"/>
  <c r="H255" i="1"/>
  <c r="H103" i="1"/>
  <c r="H104" i="1"/>
  <c r="H218" i="1"/>
  <c r="H288" i="1"/>
  <c r="H416" i="1"/>
  <c r="H105" i="1"/>
  <c r="H510" i="1"/>
  <c r="H435" i="1"/>
  <c r="H476" i="1"/>
  <c r="H477" i="1"/>
  <c r="H106" i="1"/>
  <c r="H436" i="1"/>
  <c r="H437" i="1"/>
  <c r="H438" i="1"/>
  <c r="H439" i="1"/>
  <c r="H440" i="1"/>
  <c r="H441" i="1"/>
  <c r="H442" i="1"/>
  <c r="H443" i="1"/>
  <c r="H444" i="1"/>
  <c r="H454" i="1"/>
  <c r="H346" i="1"/>
  <c r="H455" i="1"/>
  <c r="H478" i="1"/>
  <c r="H479" i="1"/>
  <c r="H498" i="1"/>
  <c r="H487" i="1"/>
  <c r="H516" i="1"/>
  <c r="H517" i="1"/>
  <c r="H518" i="1"/>
  <c r="H519" i="1"/>
  <c r="H520" i="1"/>
  <c r="H183" i="1"/>
  <c r="H184" i="1"/>
  <c r="H185" i="1"/>
  <c r="H186" i="1"/>
  <c r="H187" i="1"/>
  <c r="H318" i="1"/>
  <c r="H505" i="1"/>
  <c r="H506" i="1"/>
  <c r="H507" i="1"/>
  <c r="H508" i="1"/>
  <c r="H417" i="1"/>
  <c r="H418" i="1"/>
  <c r="H419" i="1"/>
  <c r="H529" i="1"/>
  <c r="H219" i="1"/>
  <c r="H256" i="1"/>
  <c r="H257" i="1"/>
  <c r="H445" i="1"/>
  <c r="H289" i="1"/>
  <c r="H377" i="1"/>
  <c r="H319" i="1"/>
  <c r="H547" i="1"/>
  <c r="H107" i="1"/>
  <c r="H108" i="1"/>
  <c r="H188" i="1"/>
  <c r="H189" i="1"/>
  <c r="H320" i="1"/>
  <c r="H321" i="1"/>
  <c r="H322" i="1"/>
  <c r="H488" i="1"/>
  <c r="H109" i="1"/>
  <c r="H110" i="1"/>
  <c r="H347" i="1"/>
  <c r="H7" i="1"/>
  <c r="H290" i="1"/>
  <c r="H220" i="1"/>
  <c r="H221" i="1"/>
  <c r="H222" i="1"/>
  <c r="H402" i="1"/>
  <c r="H291" i="1"/>
  <c r="H348" i="1"/>
  <c r="H349" i="1"/>
  <c r="H137" i="1"/>
  <c r="H350" i="1"/>
  <c r="H111" i="1"/>
  <c r="H112" i="1"/>
  <c r="H113" i="1"/>
  <c r="H114" i="1"/>
  <c r="H115" i="1"/>
  <c r="H223" i="1"/>
  <c r="H116" i="1"/>
  <c r="H117" i="1"/>
  <c r="H118" i="1"/>
  <c r="H119" i="1"/>
  <c r="H120" i="1"/>
  <c r="H121" i="1"/>
  <c r="H8" i="1"/>
  <c r="H456" i="1"/>
  <c r="H138" i="1"/>
  <c r="H378" i="1"/>
  <c r="H379" i="1"/>
  <c r="H224" i="1"/>
  <c r="H420" i="1"/>
  <c r="H18" i="1"/>
  <c r="H19" i="1"/>
  <c r="H76" i="1"/>
  <c r="H77" i="1"/>
  <c r="H480" i="1"/>
  <c r="H481" i="1"/>
  <c r="H139" i="1"/>
  <c r="H140" i="1"/>
  <c r="H141" i="1"/>
  <c r="H380" i="1"/>
  <c r="H258" i="1"/>
  <c r="H142" i="1"/>
  <c r="H351" i="1"/>
  <c r="H292" i="1"/>
  <c r="H122" i="1"/>
  <c r="H123" i="1"/>
  <c r="H190" i="1"/>
  <c r="H143" i="1"/>
  <c r="H381" i="1"/>
  <c r="H382" i="1"/>
  <c r="H191" i="1"/>
  <c r="H192" i="1"/>
  <c r="H524" i="1"/>
  <c r="H525" i="1"/>
  <c r="H352" i="1"/>
  <c r="H225" i="1"/>
  <c r="H226" i="1"/>
  <c r="H144" i="1"/>
  <c r="H145" i="1"/>
  <c r="H227" i="1"/>
  <c r="H146" i="1"/>
  <c r="H147" i="1"/>
  <c r="H482" i="1"/>
  <c r="H353" i="1"/>
  <c r="H354" i="1"/>
  <c r="H293" i="1"/>
  <c r="H294" i="1"/>
  <c r="H295" i="1"/>
  <c r="H296" i="1"/>
  <c r="H457" i="1"/>
  <c r="H383" i="1"/>
  <c r="H464" i="1"/>
  <c r="H355" i="1"/>
  <c r="H78" i="1"/>
  <c r="H259" i="1"/>
  <c r="H228" i="1"/>
  <c r="H193" i="1"/>
  <c r="H194" i="1"/>
  <c r="H323" i="1"/>
  <c r="H297" i="1"/>
  <c r="H298" i="1"/>
  <c r="H530" i="1"/>
  <c r="H531" i="1"/>
  <c r="H532" i="1"/>
  <c r="H533" i="1"/>
  <c r="H534" i="1"/>
  <c r="H528" i="1"/>
  <c r="H421" i="1"/>
  <c r="H446" i="1"/>
  <c r="H384" i="1"/>
  <c r="H489" i="1"/>
  <c r="H458" i="1"/>
  <c r="H447" i="1"/>
  <c r="H79" i="1"/>
  <c r="H80" i="1"/>
  <c r="H490" i="1"/>
  <c r="H459" i="1"/>
  <c r="H460" i="1"/>
  <c r="H324" i="1"/>
  <c r="H385" i="1"/>
  <c r="H325" i="1"/>
  <c r="H195" i="1"/>
  <c r="H196" i="1"/>
  <c r="H9" i="1"/>
  <c r="H386" i="1"/>
  <c r="H260" i="1"/>
  <c r="H403" i="1"/>
  <c r="H404" i="1"/>
  <c r="H405" i="1"/>
  <c r="H229" i="1"/>
  <c r="H148" i="1"/>
  <c r="H261" i="1"/>
  <c r="H124" i="1"/>
  <c r="H230" i="1"/>
  <c r="H262" i="1"/>
  <c r="H549" i="1"/>
  <c r="H326" i="1"/>
  <c r="H263" i="1"/>
  <c r="H81" i="1"/>
  <c r="H82" i="1"/>
  <c r="H83" i="1"/>
  <c r="H84" i="1"/>
  <c r="H85" i="1"/>
  <c r="H86" i="1"/>
  <c r="H87" i="1"/>
  <c r="H422" i="1"/>
  <c r="H423" i="1"/>
  <c r="H424" i="1"/>
  <c r="H264" i="1"/>
  <c r="H265" i="1"/>
  <c r="H266" i="1"/>
  <c r="H267" i="1"/>
  <c r="H50" i="1"/>
  <c r="H51" i="1"/>
  <c r="H425" i="1"/>
  <c r="H406" i="1"/>
  <c r="H465" i="1"/>
  <c r="H466" i="1"/>
  <c r="H231" i="1"/>
  <c r="H499" i="1"/>
  <c r="H299" i="1"/>
  <c r="H300" i="1"/>
  <c r="H500" i="1"/>
  <c r="H501" i="1"/>
  <c r="H502" i="1"/>
  <c r="H503" i="1"/>
  <c r="H327" i="1"/>
  <c r="H10" i="1"/>
  <c r="H11" i="1"/>
  <c r="H12" i="1"/>
  <c r="H13" i="1"/>
  <c r="H149" i="1"/>
  <c r="H491" i="1"/>
  <c r="H492" i="1"/>
  <c r="H407" i="1"/>
  <c r="H232" i="1"/>
  <c r="H88" i="1"/>
  <c r="H426" i="1"/>
  <c r="H427" i="1"/>
  <c r="H428" i="1"/>
  <c r="H356" i="1"/>
  <c r="H429" i="1"/>
  <c r="H483" i="1"/>
  <c r="H301" i="1"/>
  <c r="H52" i="1"/>
  <c r="H233" i="1"/>
  <c r="H535" i="1"/>
  <c r="H328" i="1"/>
  <c r="H461" i="1"/>
  <c r="H448" i="1"/>
  <c r="H387" i="1"/>
  <c r="H357" i="1"/>
  <c r="H234" i="1"/>
  <c r="H125" i="1"/>
  <c r="H126" i="1"/>
  <c r="H388" i="1"/>
  <c r="H408" i="1"/>
  <c r="H358" i="1"/>
  <c r="H329" i="1"/>
  <c r="H462" i="1"/>
  <c r="H409" i="1"/>
  <c r="H302" i="1"/>
  <c r="H235" i="1"/>
  <c r="H236" i="1"/>
  <c r="H237" i="1"/>
  <c r="H238" i="1"/>
  <c r="H239" i="1"/>
  <c r="H197" i="1"/>
  <c r="H198" i="1"/>
  <c r="H199" i="1"/>
  <c r="H200" i="1"/>
  <c r="H201" i="1"/>
</calcChain>
</file>

<file path=xl/sharedStrings.xml><?xml version="1.0" encoding="utf-8"?>
<sst xmlns="http://schemas.openxmlformats.org/spreadsheetml/2006/main" count="1714" uniqueCount="621">
  <si>
    <t>10-Day Green Smoothie Cleanse</t>
  </si>
  <si>
    <t>JJ Smith</t>
  </si>
  <si>
    <t>Non Fiction</t>
  </si>
  <si>
    <t>11/22/63: A Novel</t>
  </si>
  <si>
    <t>Stephen King</t>
  </si>
  <si>
    <t>Fiction</t>
  </si>
  <si>
    <t>12 Rules for Life: An Antidote to Chaos</t>
  </si>
  <si>
    <t>Jordan B. Peterson</t>
  </si>
  <si>
    <t>1984 (Signet Classics)</t>
  </si>
  <si>
    <t>George Orwell</t>
  </si>
  <si>
    <t>5,000 Awesome Facts (About Everything!) (National Geographic Kids)</t>
  </si>
  <si>
    <t>National Geographic Kids</t>
  </si>
  <si>
    <t>A Dance with Dragons (A Song of Ice and Fire)</t>
  </si>
  <si>
    <t>George R. R. Martin</t>
  </si>
  <si>
    <t>A Game of Thrones / A Clash of Kings / A Storm of Swords / A Feast of Crows / A Dance with Dragons</t>
  </si>
  <si>
    <t>A Gentleman in Moscow: A Novel</t>
  </si>
  <si>
    <t>Amor Towles</t>
  </si>
  <si>
    <t>A Higher Loyalty: Truth, Lies, and Leadership</t>
  </si>
  <si>
    <t>James Comey</t>
  </si>
  <si>
    <t>A Man Called Ove: A Novel</t>
  </si>
  <si>
    <t>Fredrik Backman</t>
  </si>
  <si>
    <t>A Patriot's History of the United States: From Columbus's Great Discovery to the War on Terror</t>
  </si>
  <si>
    <t>Larry Schweikart</t>
  </si>
  <si>
    <t>A Stolen Life: A Memoir</t>
  </si>
  <si>
    <t>Jaycee Dugard</t>
  </si>
  <si>
    <t>A Wrinkle in Time (Time Quintet)</t>
  </si>
  <si>
    <t>Madeleine L'Engle</t>
  </si>
  <si>
    <t>Act Like a Lady, Think Like a Man: What Men Really Think About Love, Relationships, Intimacy, and Commitment</t>
  </si>
  <si>
    <t>Steve Harvey</t>
  </si>
  <si>
    <t>Adult Coloring Book Designs: Stress Relief Coloring Book: Garden Designs, Mandalas, Animals, and Paisley Patterns</t>
  </si>
  <si>
    <t>Adult Coloring Book Designs</t>
  </si>
  <si>
    <t>Adult Coloring Book: Stress Relieving Animal Designs</t>
  </si>
  <si>
    <t>Blue Star Coloring</t>
  </si>
  <si>
    <t>Adult Coloring Book: Stress Relieving Patterns</t>
  </si>
  <si>
    <t>Adult Coloring Books: A Coloring Book for Adults Featuring Mandalas and Henna Inspired Flowers, Animals, and Paisleyâ€¦</t>
  </si>
  <si>
    <t>Coloring Books for Adults</t>
  </si>
  <si>
    <t>Alexander Hamilton</t>
  </si>
  <si>
    <t>Ron Chernow</t>
  </si>
  <si>
    <t>All the Light We Cannot See</t>
  </si>
  <si>
    <t>Anthony Doerr</t>
  </si>
  <si>
    <t>Allegiant</t>
  </si>
  <si>
    <t>Veronica Roth</t>
  </si>
  <si>
    <t>American Sniper: The Autobiography of the Most Lethal Sniper in U.S. Military History</t>
  </si>
  <si>
    <t>Chris Kyle</t>
  </si>
  <si>
    <t>And the Mountains Echoed</t>
  </si>
  <si>
    <t>Khaled Hosseini</t>
  </si>
  <si>
    <t>Arguing with Idiots: How to Stop Small Minds and Big Government</t>
  </si>
  <si>
    <t>Glenn Beck</t>
  </si>
  <si>
    <t>Astrophysics for People in a Hurry</t>
  </si>
  <si>
    <t>Neil deGrasse Tyson</t>
  </si>
  <si>
    <t>Autobiography of Mark Twain, Vol. 1</t>
  </si>
  <si>
    <t>Mark Twain</t>
  </si>
  <si>
    <t>Baby Touch and Feel: Animals</t>
  </si>
  <si>
    <t>DK</t>
  </si>
  <si>
    <t>Balance (Angie's Extreme Stress Menders)</t>
  </si>
  <si>
    <t>Angie Grace</t>
  </si>
  <si>
    <t>Barefoot Contessa Foolproof: Recipes You Can Trust: A Cookbook</t>
  </si>
  <si>
    <t>Ina Garten</t>
  </si>
  <si>
    <t>Barefoot Contessa, How Easy Is That?: Fabulous Recipes &amp; Easy Tips</t>
  </si>
  <si>
    <t>Becoming</t>
  </si>
  <si>
    <t>Michelle Obama</t>
  </si>
  <si>
    <t>Being Mortal: Medicine and What Matters in the End</t>
  </si>
  <si>
    <t>Atul Gawande</t>
  </si>
  <si>
    <t>Between the World and Me</t>
  </si>
  <si>
    <t>Ta-Nehisi Coates</t>
  </si>
  <si>
    <t>Born to Run</t>
  </si>
  <si>
    <t>Bruce Springsteen</t>
  </si>
  <si>
    <t>Breaking Dawn (The Twilight Saga, Book 4)</t>
  </si>
  <si>
    <t>Stephenie Meyer</t>
  </si>
  <si>
    <t>Broke: The Plan to Restore Our Trust, Truth and Treasure</t>
  </si>
  <si>
    <t>Brown Bear, Brown Bear, What Do You See?</t>
  </si>
  <si>
    <t>Bill Martin Jr.</t>
  </si>
  <si>
    <t>Cabin Fever (Diary of a Wimpy Kid, Book 6)</t>
  </si>
  <si>
    <t>Jeff Kinney</t>
  </si>
  <si>
    <t>Calm the F*ck Down: An Irreverent Adult Coloring Book (Irreverent Book Series)</t>
  </si>
  <si>
    <t>Sasha O'Hara</t>
  </si>
  <si>
    <t>Can't Hurt Me: Master Your Mind and Defy the Odds</t>
  </si>
  <si>
    <t>David Goggins</t>
  </si>
  <si>
    <t>Capital in the Twenty First Century</t>
  </si>
  <si>
    <t>Thomas Piketty</t>
  </si>
  <si>
    <t>Catching Fire (The Hunger Games)</t>
  </si>
  <si>
    <t>Suzanne Collins</t>
  </si>
  <si>
    <t>Cravings: Recipes for All the Food You Want to Eat: A Cookbook</t>
  </si>
  <si>
    <t>Chrissy Teigen</t>
  </si>
  <si>
    <t>Crazy Love: Overwhelmed by a Relentless God</t>
  </si>
  <si>
    <t>Francis Chan</t>
  </si>
  <si>
    <t>Crazy Rich Asians (Crazy Rich Asians Trilogy)</t>
  </si>
  <si>
    <t>Kevin Kwan</t>
  </si>
  <si>
    <t>Creative Haven Creative Cats Coloring Book (Adult Coloring)</t>
  </si>
  <si>
    <t>Marjorie Sarnat</t>
  </si>
  <si>
    <t>Creative Haven Owls Coloring Book (Adult Coloring)</t>
  </si>
  <si>
    <t>Cutting for Stone</t>
  </si>
  <si>
    <t>Abraham Verghese</t>
  </si>
  <si>
    <t>Daring Greatly: How the Courage to Be Vulnerable Transforms the Way We Live, Love, Parent, and Lead</t>
  </si>
  <si>
    <t>BreneÌ Brown</t>
  </si>
  <si>
    <t>David and Goliath: Underdogs, Misfits, and the Art of Battling Giants</t>
  </si>
  <si>
    <t>Malcolm Gladwell</t>
  </si>
  <si>
    <t>Dead And Gone: A Sookie Stackhouse Novel (Sookie Stackhouse/True Blood)</t>
  </si>
  <si>
    <t>Charlaine Harris</t>
  </si>
  <si>
    <t>Dead in the Family (Sookie Stackhouse/True Blood, Book 10)</t>
  </si>
  <si>
    <t>Dead Reckoning (Sookie Stackhouse/True Blood, Book 11)</t>
  </si>
  <si>
    <t>Dear Zoo: A Lift-the-Flap Book</t>
  </si>
  <si>
    <t>Rod Campbell</t>
  </si>
  <si>
    <t>Decision Points</t>
  </si>
  <si>
    <t>George W. Bush</t>
  </si>
  <si>
    <t>Delivering Happiness: A Path to Profits, Passion, and Purpose</t>
  </si>
  <si>
    <t>Tony Hsieh</t>
  </si>
  <si>
    <t>Diagnostic and Statistical Manual of Mental Disorders, 5th Edition: DSM-5</t>
  </si>
  <si>
    <t>American Psychiatric Association</t>
  </si>
  <si>
    <t>Diary of a Wimpy Kid: Hard Luck, Book 8</t>
  </si>
  <si>
    <t>Diary of a Wimpy Kid: The Last Straw (Book 3)</t>
  </si>
  <si>
    <t>Diary of a Wimpy Kid: The Long Haul</t>
  </si>
  <si>
    <t>Difficult Riddles For Smart Kids: 300 Difficult Riddles And Brain Teasers Families Will Love (Books for Smart Kids)</t>
  </si>
  <si>
    <t>M Prefontaine</t>
  </si>
  <si>
    <t>Divergent</t>
  </si>
  <si>
    <t>Divergent / Insurgent</t>
  </si>
  <si>
    <t>Divine Soul Mind Body Healing and Transmission System: The Divine Way to Heal You, Humanity, Mother Earth, and Allâ€¦</t>
  </si>
  <si>
    <t>Zhi Gang Sha</t>
  </si>
  <si>
    <t>Doctor Sleep: A Novel</t>
  </si>
  <si>
    <t>Dog Days (Diary of a Wimpy Kid, Book 4) (Volume 4)</t>
  </si>
  <si>
    <t>Dog Man and Cat Kid: From the Creator of Captain Underpants (Dog Man #4)</t>
  </si>
  <si>
    <t>Dav Pilkey</t>
  </si>
  <si>
    <t>Dog Man: A Tale of Two Kitties: From the Creator of Captain Underpants (Dog Man #3)</t>
  </si>
  <si>
    <t>Dog Man: Brawl of the Wild: From the Creator of Captain Underpants (Dog Man #6)</t>
  </si>
  <si>
    <t>Dog Man: Fetch-22: From the Creator of Captain Underpants (Dog Man #8)</t>
  </si>
  <si>
    <t>Dog Man: For Whom the Ball Rolls: From the Creator of Captain Underpants (Dog Man #7)</t>
  </si>
  <si>
    <t>Dog Man: Lord of the Fleas: From the Creator of Captain Underpants (Dog Man #5)</t>
  </si>
  <si>
    <t>Double Down (Diary of a Wimpy Kid #11)</t>
  </si>
  <si>
    <t>Dover Creative Haven Art Nouveau Animal Designs Coloring Book (Creative Haven Coloring Books)</t>
  </si>
  <si>
    <t>Marty Noble</t>
  </si>
  <si>
    <t>Drive: The Surprising Truth About What Motivates Us</t>
  </si>
  <si>
    <t>Daniel H. Pink</t>
  </si>
  <si>
    <t>Eat This Not That! Supermarket Survival Guide: The No-Diet Weight Loss Solution</t>
  </si>
  <si>
    <t>David Zinczenko</t>
  </si>
  <si>
    <t>Eat This, Not That! Thousands of Simple Food Swaps that Can Save You 10, 20, 30 Pounds--or More!</t>
  </si>
  <si>
    <t>Eat to Live: The Amazing Nutrient-Rich Program for Fast and Sustained Weight Loss, Revised Edition</t>
  </si>
  <si>
    <t>Joel Fuhrman MD</t>
  </si>
  <si>
    <t>Eclipse (Twilight Sagas)</t>
  </si>
  <si>
    <t>Eclipse (Twilight)</t>
  </si>
  <si>
    <t>Educated: A Memoir</t>
  </si>
  <si>
    <t>Tara Westover</t>
  </si>
  <si>
    <t>Enchanted Forest: An Inky Quest and Coloring book (Activity Books, Mindfulness and Meditation, Illustrated Floral Printsâ€¦</t>
  </si>
  <si>
    <t>Johanna Basford</t>
  </si>
  <si>
    <t>Fahrenheit 451</t>
  </si>
  <si>
    <t>Ray Bradbury</t>
  </si>
  <si>
    <t>Fantastic Beasts and Where to Find Them: The Original Screenplay (Harry Potter)</t>
  </si>
  <si>
    <t>J.K. Rowling</t>
  </si>
  <si>
    <t>Fear: Trump in the White House</t>
  </si>
  <si>
    <t>Bob Woodward</t>
  </si>
  <si>
    <t>Fifty Shades Darker</t>
  </si>
  <si>
    <t>E L James</t>
  </si>
  <si>
    <t>Fifty Shades Freed: Book Three of the Fifty Shades Trilogy (Fifty Shades of Grey Series) (English Edition)</t>
  </si>
  <si>
    <t>Fifty Shades of Grey: Book One of the Fifty Shades Trilogy (Fifty Shades of Grey Series)</t>
  </si>
  <si>
    <t>Fifty Shades Trilogy (Fifty Shades of Grey / Fifty Shades Darker / Fifty Shades Freed)</t>
  </si>
  <si>
    <t>Fire and Fury: Inside the Trump White House</t>
  </si>
  <si>
    <t>Michael Wolff</t>
  </si>
  <si>
    <t>First 100 Words</t>
  </si>
  <si>
    <t>Roger Priddy</t>
  </si>
  <si>
    <t>Food Rules: An Eater's Manual</t>
  </si>
  <si>
    <t>Michael Pollan</t>
  </si>
  <si>
    <t>Frozen (Little Golden Book)</t>
  </si>
  <si>
    <t>RH Disney</t>
  </si>
  <si>
    <t>Game Change: Obama and the Clintons, McCain and Palin, and the Race of a Lifetime</t>
  </si>
  <si>
    <t>John Heilemann</t>
  </si>
  <si>
    <t>Game of Thrones Boxed Set: A Game of Thrones/A Clash of Kings/A Storm of Swords/A Feast for Crows</t>
  </si>
  <si>
    <t>George R.R. Martin</t>
  </si>
  <si>
    <t>George Washington's Sacred Fire</t>
  </si>
  <si>
    <t>Peter A. Lillback</t>
  </si>
  <si>
    <t>George Washington's Secret Six: The Spy Ring That Saved the American Revolution</t>
  </si>
  <si>
    <t>Brian Kilmeade</t>
  </si>
  <si>
    <t>Giraffes Can't Dance</t>
  </si>
  <si>
    <t>Giles Andreae</t>
  </si>
  <si>
    <t>Girl, Stop Apologizing: A Shame-Free Plan for Embracing and Achieving Your Goals</t>
  </si>
  <si>
    <t>Rachel Hollis</t>
  </si>
  <si>
    <t>Girl, Wash Your Face: Stop Believing the Lies About Who You Are So You Can Become Who You Were Meant to Be</t>
  </si>
  <si>
    <t>Glenn Beck's Common Sense: The Case Against an Out-of-Control Government, Inspired by Thomas Paine</t>
  </si>
  <si>
    <t>Go Set a Watchman: A Novel</t>
  </si>
  <si>
    <t>Harper Lee</t>
  </si>
  <si>
    <t>Go the F**k to Sleep</t>
  </si>
  <si>
    <t>Adam Mansbach</t>
  </si>
  <si>
    <t>Going Rogue: An American Life</t>
  </si>
  <si>
    <t>Sarah Palin</t>
  </si>
  <si>
    <t>Gone Girl</t>
  </si>
  <si>
    <t>Gillian Flynn</t>
  </si>
  <si>
    <t>Good Days Start With Gratitude: A 52 Week Guide To Cultivate An Attitude Of Gratitude: Gratitude Journal</t>
  </si>
  <si>
    <t>Pretty Simple Press</t>
  </si>
  <si>
    <t>Good to Great: Why Some Companies Make the Leap and Others Don't</t>
  </si>
  <si>
    <t>Jim Collins</t>
  </si>
  <si>
    <t>Goodnight Moon</t>
  </si>
  <si>
    <t>Margaret Wise Brown</t>
  </si>
  <si>
    <t>Goodnight, Goodnight Construction Site (Hardcover Books for Toddlers, Preschool Books for Kids)</t>
  </si>
  <si>
    <t>Sherri Duskey Rinker</t>
  </si>
  <si>
    <t>Grain Brain: The Surprising Truth about Wheat, Carbs, and Sugar--Your Brain's Silent Killers</t>
  </si>
  <si>
    <t>David Perlmutter MD</t>
  </si>
  <si>
    <t>Grey: Fifty Shades of Grey as Told by Christian (Fifty Shades of Grey Series)</t>
  </si>
  <si>
    <t>Guts</t>
  </si>
  <si>
    <t>Raina Telgemeier</t>
  </si>
  <si>
    <t>Hamilton: The Revolution</t>
  </si>
  <si>
    <t>Lin-Manuel Miranda</t>
  </si>
  <si>
    <t>Happy, Happy, Happy: My Life and Legacy as the Duck Commander</t>
  </si>
  <si>
    <t>Phil Robertson</t>
  </si>
  <si>
    <t>Harry Potter and the Chamber of Secrets: The Illustrated Edition (Harry Potter, Book 2)</t>
  </si>
  <si>
    <t>Harry Potter and the Cursed Child, Parts 1 &amp; 2, Special Rehearsal Edition Script</t>
  </si>
  <si>
    <t>Harry Potter and the Goblet of Fire: The Illustrated Edition (Harry Potter, Book 4) (4)</t>
  </si>
  <si>
    <t>J. K. Rowling</t>
  </si>
  <si>
    <t>Harry Potter and the Prisoner of Azkaban: The Illustrated Edition (Harry Potter, Book 3)</t>
  </si>
  <si>
    <t>Harry Potter and the Sorcerer's Stone: The Illustrated Edition (Harry Potter, Book 1)</t>
  </si>
  <si>
    <t>Harry Potter Coloring Book</t>
  </si>
  <si>
    <t>Scholastic</t>
  </si>
  <si>
    <t>Harry Potter Paperback Box Set (Books 1-7)</t>
  </si>
  <si>
    <t>Have a Little Faith: A True Story</t>
  </si>
  <si>
    <t>Mitch Albom</t>
  </si>
  <si>
    <t>Heaven is for Real: A Little Boy's Astounding Story of His Trip to Heaven and Back</t>
  </si>
  <si>
    <t>Todd Burpo</t>
  </si>
  <si>
    <t>Hillbilly Elegy: A Memoir of a Family and Culture in Crisis</t>
  </si>
  <si>
    <t>J. D. Vance</t>
  </si>
  <si>
    <t>Homebody: A Guide to Creating Spaces You Never Want to Leave</t>
  </si>
  <si>
    <t>Joanna Gaines</t>
  </si>
  <si>
    <t>How to Win Friends &amp; Influence People</t>
  </si>
  <si>
    <t>Dale Carnegie</t>
  </si>
  <si>
    <t>Howard Stern Comes Again</t>
  </si>
  <si>
    <t>Howard Stern</t>
  </si>
  <si>
    <t>Humans of New York</t>
  </si>
  <si>
    <t>Brandon Stanton</t>
  </si>
  <si>
    <t>Humans of New York : Stories</t>
  </si>
  <si>
    <t>Hyperbole and a Half: Unfortunate Situations, Flawed Coping Mechanisms, Mayhem, and Other Things That Happened</t>
  </si>
  <si>
    <t>Allie Brosh</t>
  </si>
  <si>
    <t>I Am Confident, Brave &amp; Beautiful: A Coloring Book for Girls</t>
  </si>
  <si>
    <t>Hopscotch Girls</t>
  </si>
  <si>
    <t>I, Alex Cross</t>
  </si>
  <si>
    <t>James Patterson</t>
  </si>
  <si>
    <t>If Animals Kissed Good Night</t>
  </si>
  <si>
    <t>Ann Whitford Paul</t>
  </si>
  <si>
    <t>If I Stay</t>
  </si>
  <si>
    <t>Gayle Forman</t>
  </si>
  <si>
    <t>In the Garden of Beasts: Love, Terror, and an American Family in Hitler's Berlin</t>
  </si>
  <si>
    <t>Eric Larson</t>
  </si>
  <si>
    <t>Inferno</t>
  </si>
  <si>
    <t>Dan Brown</t>
  </si>
  <si>
    <t>Inheritance: Book IV (Inheritance Cycle)</t>
  </si>
  <si>
    <t>Christopher Paolini</t>
  </si>
  <si>
    <t>Instant Pot Pressure Cooker Cookbook: 500 Everyday Recipes for Beginners and Advanced Users. Try Easy and Healthyâ€¦</t>
  </si>
  <si>
    <t>Jennifer Smith</t>
  </si>
  <si>
    <t>It's Not Supposed to Be This Way: Finding Unexpected Strength When Disappointments Leave You Shattered</t>
  </si>
  <si>
    <t>Lysa TerKeurst</t>
  </si>
  <si>
    <t>Jesus Calling: Enjoying Peace in His Presence (with Scripture References)</t>
  </si>
  <si>
    <t>Sarah Young</t>
  </si>
  <si>
    <t>JOURNEY TO THE ICE P</t>
  </si>
  <si>
    <t>Joyland (Hard Case Crime)</t>
  </si>
  <si>
    <t>Killers of the Flower Moon: The Osage Murders and the Birth of the FBI</t>
  </si>
  <si>
    <t>David Grann</t>
  </si>
  <si>
    <t>Killing Jesus (Bill O'Reilly's Killing Series)</t>
  </si>
  <si>
    <t>Bill O'Reilly</t>
  </si>
  <si>
    <t>Killing Kennedy: The End of Camelot</t>
  </si>
  <si>
    <t>Killing Lincoln: The Shocking Assassination that Changed America Forever (Bill O'Reilly's Killing Series)</t>
  </si>
  <si>
    <t>Killing Patton: The Strange Death of World War II's Most Audacious General (Bill O'Reilly's Killing Series)</t>
  </si>
  <si>
    <t>Killing Reagan: The Violent Assault That Changed a Presidency (Bill O'Reilly's Killing Series)</t>
  </si>
  <si>
    <t>Killing the Rising Sun: How America Vanquished World War II Japan (Bill O'Reilly's Killing Series)</t>
  </si>
  <si>
    <t>Kitchen Confidential Updated Edition: Adventures in the Culinary Underbelly (P.S.)</t>
  </si>
  <si>
    <t>Anthony Bourdain</t>
  </si>
  <si>
    <t>Knock-Knock Jokes for Kids</t>
  </si>
  <si>
    <t>Rob Elliott</t>
  </si>
  <si>
    <t>Last Week Tonight with John Oliver Presents A Day in the Life of Marlon Bundo (Better Bundo Book, LGBT ChildrenÂ’s Book)</t>
  </si>
  <si>
    <t>Jill Twiss</t>
  </si>
  <si>
    <t>Laugh-Out-Loud Jokes for Kids</t>
  </si>
  <si>
    <t>Lean In: Women, Work, and the Will to Lead</t>
  </si>
  <si>
    <t>Sheryl Sandberg</t>
  </si>
  <si>
    <t>Leonardo da Vinci</t>
  </si>
  <si>
    <t>Walter Isaacson</t>
  </si>
  <si>
    <t>Lettering and Modern Calligraphy: A Beginner's Guide: Learn Hand Lettering and Brush Lettering</t>
  </si>
  <si>
    <t>Paper Peony Press</t>
  </si>
  <si>
    <t>Liberty and Tyranny: A Conservative Manifesto</t>
  </si>
  <si>
    <t>Mark R. Levin</t>
  </si>
  <si>
    <t>Life</t>
  </si>
  <si>
    <t>Keith Richards</t>
  </si>
  <si>
    <t>Little Bee: A Novel</t>
  </si>
  <si>
    <t>Chris Cleave</t>
  </si>
  <si>
    <t>Little Blue Truck</t>
  </si>
  <si>
    <t>Alice Schertle</t>
  </si>
  <si>
    <t>Little Fires Everywhere</t>
  </si>
  <si>
    <t>Celeste Ng</t>
  </si>
  <si>
    <t>Looking for Alaska</t>
  </si>
  <si>
    <t>John Green</t>
  </si>
  <si>
    <t>Love Wins: A Book About Heaven, Hell, and the Fate of Every Person Who Ever Lived</t>
  </si>
  <si>
    <t>Rob Bell</t>
  </si>
  <si>
    <t>Love You Forever</t>
  </si>
  <si>
    <t>Robert Munsch</t>
  </si>
  <si>
    <t>Magnolia Table: A Collection of Recipes for Gathering</t>
  </si>
  <si>
    <t>Make It Ahead: A Barefoot Contessa Cookbook</t>
  </si>
  <si>
    <t>Make Your Bed: Little Things That Can Change Your Life...And Maybe the World</t>
  </si>
  <si>
    <t>Admiral William H. McRaven</t>
  </si>
  <si>
    <t>Mastering the Art of French Cooking, Vol. 2</t>
  </si>
  <si>
    <t>Julia Child</t>
  </si>
  <si>
    <t>Milk and Honey</t>
  </si>
  <si>
    <t>Rupi Kaur</t>
  </si>
  <si>
    <t>Milk and Vine: Inspirational Quotes From Classic Vines</t>
  </si>
  <si>
    <t>Adam Gasiewski</t>
  </si>
  <si>
    <t>Mindset: The New Psychology of Success</t>
  </si>
  <si>
    <t>Carol S. Dweck</t>
  </si>
  <si>
    <t>Mockingjay (The Hunger Games)</t>
  </si>
  <si>
    <t>National Geographic Kids Why?: Over 1,111 Answers to Everything</t>
  </si>
  <si>
    <t>Crispin Boyer</t>
  </si>
  <si>
    <t>National Geographic Little Kids First Big Book of Why (National Geographic Little Kids First Big Books)</t>
  </si>
  <si>
    <t>Amy Shields</t>
  </si>
  <si>
    <t>New Moon (The Twilight Saga)</t>
  </si>
  <si>
    <t>Night (Night)</t>
  </si>
  <si>
    <t>Elie Wiesel</t>
  </si>
  <si>
    <t>No Easy Day: The Autobiography of a Navy Seal: The Firsthand Account of the Mission That Killed Osama Bin Laden</t>
  </si>
  <si>
    <t>Mark Owen</t>
  </si>
  <si>
    <t>Obama: An Intimate Portrait</t>
  </si>
  <si>
    <t>Pete Souza</t>
  </si>
  <si>
    <t>Oh, the Places You'll Go!</t>
  </si>
  <si>
    <t>Dr. Seuss</t>
  </si>
  <si>
    <t>Old School (Diary of a Wimpy Kid #10)</t>
  </si>
  <si>
    <t>Olive Kitteridge</t>
  </si>
  <si>
    <t>Elizabeth Strout</t>
  </si>
  <si>
    <t>One Thousand Gifts: A Dare to Live Fully Right Where You Are</t>
  </si>
  <si>
    <t>Ann Voskamp</t>
  </si>
  <si>
    <t>Option B: Facing Adversity, Building Resilience, and Finding Joy</t>
  </si>
  <si>
    <t>Origin: A Novel (Robert Langdon)</t>
  </si>
  <si>
    <t>Orphan Train</t>
  </si>
  <si>
    <t>Christina Baker Kline</t>
  </si>
  <si>
    <t>Outliers: The Story of Success</t>
  </si>
  <si>
    <t>P is for Potty! (Sesame Street) (Lift-the-Flap)</t>
  </si>
  <si>
    <t>Naomi Kleinberg</t>
  </si>
  <si>
    <t>Percy Jackson and the Olympians Paperback Boxed Set (Books 1-3)</t>
  </si>
  <si>
    <t>Rick Riordan</t>
  </si>
  <si>
    <t>Player's Handbook (Dungeons &amp; Dragons)</t>
  </si>
  <si>
    <t>Wizards RPG Team</t>
  </si>
  <si>
    <t>PokÃ©mon Deluxe Essential Handbook: The Need-to-Know Stats and Facts on Over 700 PokÃ©mon</t>
  </si>
  <si>
    <t>Proof of Heaven: A Neurosurgeon's Journey into the Afterlife</t>
  </si>
  <si>
    <t>Eben Alexander</t>
  </si>
  <si>
    <t>Publication Manual of the American Psychological Association, 6th Edition</t>
  </si>
  <si>
    <t>American Psychological Association</t>
  </si>
  <si>
    <t>Puppy Birthday to You! (Paw Patrol) (Little Golden Book)</t>
  </si>
  <si>
    <t>Golden Books</t>
  </si>
  <si>
    <t>Quiet: The Power of Introverts in a World That Can't Stop Talking</t>
  </si>
  <si>
    <t>Susan Cain</t>
  </si>
  <si>
    <t>Radical: Taking Back Your Faith from the American Dream</t>
  </si>
  <si>
    <t>David Platt</t>
  </si>
  <si>
    <t>Ready Player One: A Novel</t>
  </si>
  <si>
    <t>Ernest Cline</t>
  </si>
  <si>
    <t>Rush Revere and the Brave Pilgrims: Time-Travel Adventures with Exceptional Americans (1)</t>
  </si>
  <si>
    <t>Rush Limbaugh</t>
  </si>
  <si>
    <t>Rush Revere and the First Patriots: Time-Travel Adventures With Exceptional Americans (2)</t>
  </si>
  <si>
    <t>Salt, Fat, Acid, Heat: Mastering the Elements of Good Cooking</t>
  </si>
  <si>
    <t>Samin Nosrat</t>
  </si>
  <si>
    <t>Sarah's Key</t>
  </si>
  <si>
    <t>Tatiana de Rosnay</t>
  </si>
  <si>
    <t>School Zone - Big Preschool Workbook - Ages 4 and Up, Colors, Shapes, Numbers 1-10, Alphabet, Pre-Writing, Pre-Readingâ€¦</t>
  </si>
  <si>
    <t>School Zone</t>
  </si>
  <si>
    <t>Secret Garden: An Inky Treasure Hunt and Coloring Book (For Adults, mindfulness coloring)</t>
  </si>
  <si>
    <t>Sh*t My Dad Says</t>
  </si>
  <si>
    <t>Justin Halpern</t>
  </si>
  <si>
    <t>Ship of Fools: How a Selfish Ruling Class Is Bringing America to the Brink of Revolution</t>
  </si>
  <si>
    <t>Tucker Carlson</t>
  </si>
  <si>
    <t>Shred: The Revolutionary Diet: 6 Weeks 4 Inches 2 Sizes</t>
  </si>
  <si>
    <t>Ian K. Smith M.D.</t>
  </si>
  <si>
    <t>Sookie Stackhouse</t>
  </si>
  <si>
    <t>Soul Healing Miracles: Ancient and New Sacred Wisdom, Knowledge, and Practical Techniques for Healing the Spiritualâ€¦</t>
  </si>
  <si>
    <t>Steve Jobs</t>
  </si>
  <si>
    <t>Strange Planet (Strange Planet Series)</t>
  </si>
  <si>
    <t>Nathan W. Pyle</t>
  </si>
  <si>
    <t>StrengthsFinder 2.0</t>
  </si>
  <si>
    <t>Gallup</t>
  </si>
  <si>
    <t>Super Freakonomics: Global Cooling, Patriotic Prostitutes, and Why Suicide Bombers Should Buy Life Insurance</t>
  </si>
  <si>
    <t>Steven D. Levitt</t>
  </si>
  <si>
    <t>Switch: How to Change Things When Change Is Hard</t>
  </si>
  <si>
    <t>Chip Heath</t>
  </si>
  <si>
    <t>Sycamore Row (Jake Brigance)</t>
  </si>
  <si>
    <t>John Grisham</t>
  </si>
  <si>
    <t>Teach Like a Champion: 49 Techniques that Put Students on the Path to College</t>
  </si>
  <si>
    <t>Doug Lemov</t>
  </si>
  <si>
    <t>The 17 Day Diet: A Doctor's Plan Designed for Rapid Results</t>
  </si>
  <si>
    <t>Mike Moreno</t>
  </si>
  <si>
    <t>The 4 Hour Body: An Uncommon Guide to Rapid Fat Loss, Incredible Sex and Becoming Superhuman</t>
  </si>
  <si>
    <t>Timothy Ferriss</t>
  </si>
  <si>
    <t>The 5 Love Languages: The Secret to Love That Lasts</t>
  </si>
  <si>
    <t>Gary Chapman</t>
  </si>
  <si>
    <t>The 5 Love Languages: The Secret to Love that Lasts</t>
  </si>
  <si>
    <t>The 5000 Year Leap</t>
  </si>
  <si>
    <t>W. Cleon Skousen</t>
  </si>
  <si>
    <t>The 7 Habits of Highly Effective People: Powerful Lessons in Personal Change</t>
  </si>
  <si>
    <t>Stephen R. Covey</t>
  </si>
  <si>
    <t>The Alchemist</t>
  </si>
  <si>
    <t>Paulo Coelho</t>
  </si>
  <si>
    <t>The Amateur</t>
  </si>
  <si>
    <t>Edward Klein</t>
  </si>
  <si>
    <t>The Art of Racing in the Rain: A Novel</t>
  </si>
  <si>
    <t>Garth Stein</t>
  </si>
  <si>
    <t>The Big Short: Inside the Doomsday Machine</t>
  </si>
  <si>
    <t>Michael Lewis</t>
  </si>
  <si>
    <t>The Blood of Olympus (The Heroes of Olympus (5))</t>
  </si>
  <si>
    <t>The Blood Sugar Solution: The UltraHealthy Program for Losing Weight, Preventing Disease, and Feeling Great Now!</t>
  </si>
  <si>
    <t>Mark Hyman M.D.</t>
  </si>
  <si>
    <t>The Body Keeps the Score: Brain, Mind, and Body in the Healing of Trauma</t>
  </si>
  <si>
    <t>Bessel van der Kolk M.D.</t>
  </si>
  <si>
    <t>The Book of Basketball: The NBA According to The Sports Guy</t>
  </si>
  <si>
    <t>Bill Simmons</t>
  </si>
  <si>
    <t>The Book Thief</t>
  </si>
  <si>
    <t>Markus Zusak</t>
  </si>
  <si>
    <t>The Book with No Pictures</t>
  </si>
  <si>
    <t>B. J. Novak</t>
  </si>
  <si>
    <t>The Boys in the Boat: Nine Americans and Their Epic Quest for Gold at the 1936 Berlin Olympics</t>
  </si>
  <si>
    <t>Daniel James Brown</t>
  </si>
  <si>
    <t>The Casual Vacancy</t>
  </si>
  <si>
    <t>The China Study: The Most Comprehensive Study of Nutrition Ever Conducted And the Startling Implications for Dietâ€¦</t>
  </si>
  <si>
    <t>Thomas Campbell</t>
  </si>
  <si>
    <t>The Complete Ketogenic Diet for Beginners: Your Essential Guide to Living the Keto Lifestyle</t>
  </si>
  <si>
    <t>Amy Ramos</t>
  </si>
  <si>
    <t>The Confession: A Novel</t>
  </si>
  <si>
    <t>The Constitution of the United States</t>
  </si>
  <si>
    <t>Delegates of the ConstitutionalÂ…</t>
  </si>
  <si>
    <t>The Daily Show with Jon Stewart Presents Earth (The Book): A Visitor's Guide to the Human Race</t>
  </si>
  <si>
    <t>Jon Stewart</t>
  </si>
  <si>
    <t>The Day the Crayons Quit</t>
  </si>
  <si>
    <t>Drew Daywalt</t>
  </si>
  <si>
    <t>The Dukan Diet: 2 Steps to Lose the Weight, 2 Steps to Keep It Off Forever</t>
  </si>
  <si>
    <t>Pierre Dukan</t>
  </si>
  <si>
    <t>The Elegance of the Hedgehog</t>
  </si>
  <si>
    <t>Muriel Barbery</t>
  </si>
  <si>
    <t>The Fault in Our Stars</t>
  </si>
  <si>
    <t>The Five Dysfunctions of a Team: A Leadership Fable</t>
  </si>
  <si>
    <t>Patrick Lencioni</t>
  </si>
  <si>
    <t>The Five Love Languages: How to Express Heartfelt Commitment to Your Mate</t>
  </si>
  <si>
    <t>The Four Agreements: A Practical Guide to Personal Freedom (A Toltec Wisdom Book)</t>
  </si>
  <si>
    <t>Don Miguel Ruiz</t>
  </si>
  <si>
    <t>The Getaway</t>
  </si>
  <si>
    <t>The Girl on the Train</t>
  </si>
  <si>
    <t>Paula Hawkins</t>
  </si>
  <si>
    <t>The Girl Who Kicked the Hornet's Nest (Millennium Trilogy)</t>
  </si>
  <si>
    <t>Stieg Larsson</t>
  </si>
  <si>
    <t>The Girl Who Played with Fire (Millennium Series)</t>
  </si>
  <si>
    <t>The Girl Who Played with Fire (Millennium)</t>
  </si>
  <si>
    <t>The Girl with the Dragon Tattoo (Millennium Series)</t>
  </si>
  <si>
    <t>The Going-To-Bed Book</t>
  </si>
  <si>
    <t>Sandra Boynton</t>
  </si>
  <si>
    <t>The Goldfinch: A Novel (Pulitzer Prize for Fiction)</t>
  </si>
  <si>
    <t>Donna Tartt</t>
  </si>
  <si>
    <t>The Great Gatsby</t>
  </si>
  <si>
    <t>F. Scott Fitzgerald</t>
  </si>
  <si>
    <t>The Guardians: A Novel</t>
  </si>
  <si>
    <t>The Guernsey Literary and Potato Peel Pie Society</t>
  </si>
  <si>
    <t>Mary Ann Shaffer</t>
  </si>
  <si>
    <t>The Handmaid's Tale</t>
  </si>
  <si>
    <t>Margaret Atwood</t>
  </si>
  <si>
    <t>The Harbinger: The Ancient Mystery that Holds the Secret of America's Future</t>
  </si>
  <si>
    <t>Jonathan Cahn</t>
  </si>
  <si>
    <t>The Hate U Give</t>
  </si>
  <si>
    <t>Angie Thomas</t>
  </si>
  <si>
    <t>The Help</t>
  </si>
  <si>
    <t>Kathryn Stockett</t>
  </si>
  <si>
    <t>The House of Hades (Heroes of Olympus, Book 4)</t>
  </si>
  <si>
    <t>The Hunger Games</t>
  </si>
  <si>
    <t>The Hunger Games (Book 1)</t>
  </si>
  <si>
    <t>The Hunger Games Trilogy Boxed Set (1)</t>
  </si>
  <si>
    <t>The Immortal Life of Henrietta Lacks</t>
  </si>
  <si>
    <t>Rebecca Skloot</t>
  </si>
  <si>
    <t>The Instant Pot Electric Pressure Cooker Cookbook: Easy Recipes for Fast &amp; Healthy Meals</t>
  </si>
  <si>
    <t>Laurel Randolph</t>
  </si>
  <si>
    <t>The Last Lecture</t>
  </si>
  <si>
    <t>Randy Pausch</t>
  </si>
  <si>
    <t>The Last Olympian (Percy Jackson and the Olympians, Book 5)</t>
  </si>
  <si>
    <t>The Legend of Zelda: Hyrule Historia</t>
  </si>
  <si>
    <t>Patrick Thorpe</t>
  </si>
  <si>
    <t>The Lego Ideas Book: Unlock Your Imagination</t>
  </si>
  <si>
    <t>Daniel Lipkowitz</t>
  </si>
  <si>
    <t>The Life-Changing Magic of Tidying Up: The Japanese Art of Decluttering and Organizing</t>
  </si>
  <si>
    <t>Marie KondÅ</t>
  </si>
  <si>
    <t>The Litigators</t>
  </si>
  <si>
    <t>The Lost Hero (Heroes of Olympus, Book 1)</t>
  </si>
  <si>
    <t>The Lost Symbol</t>
  </si>
  <si>
    <t>The Love Dare</t>
  </si>
  <si>
    <t>Stephen Kendrick</t>
  </si>
  <si>
    <t>The Magnolia Story</t>
  </si>
  <si>
    <t>Chip Gaines</t>
  </si>
  <si>
    <t>The Mark of Athena (Heroes of Olympus, Book 3)</t>
  </si>
  <si>
    <t>The Martian</t>
  </si>
  <si>
    <t>Andy Weir</t>
  </si>
  <si>
    <t>The Maze Runner (Book 1)</t>
  </si>
  <si>
    <t>James Dashner</t>
  </si>
  <si>
    <t>The Meltdown (Diary of a Wimpy Kid Book 13)</t>
  </si>
  <si>
    <t>The Mueller Report</t>
  </si>
  <si>
    <t>The Washington Post</t>
  </si>
  <si>
    <t>The Nightingale: A Novel</t>
  </si>
  <si>
    <t>Kristin Hannah</t>
  </si>
  <si>
    <t>The Official SAT Study Guide</t>
  </si>
  <si>
    <t>The College Board</t>
  </si>
  <si>
    <t>The Official SAT Study Guide, 2016 Edition (Official Study Guide for the New Sat)</t>
  </si>
  <si>
    <t>The Paris Wife: A Novel</t>
  </si>
  <si>
    <t>Paula McLain</t>
  </si>
  <si>
    <t>The Pioneer Woman Cooks: A Year of Holidays: 140 Step-by-Step Recipes for Simple, Scrumptious Celebrations</t>
  </si>
  <si>
    <t>Ree Drummond</t>
  </si>
  <si>
    <t>The Pioneer Woman Cooks: Dinnertime - Comfort Classics, Freezer Food, 16-minute Meals, and Other Delicious Ways to Solveâ€¦</t>
  </si>
  <si>
    <t>The Pioneer Woman Cooks: Food from My Frontier</t>
  </si>
  <si>
    <t>The Plant Paradox Cookbook: 100 Delicious Recipes to Help You Lose Weight, Heal Your Gut, and Live Lectin-Free</t>
  </si>
  <si>
    <t>Dr. Steven R Gundry MD</t>
  </si>
  <si>
    <t>The Plant Paradox: The Hidden Dangers in "Healthy" Foods That Cause Disease and Weight Gain</t>
  </si>
  <si>
    <t>The Pout-Pout Fish</t>
  </si>
  <si>
    <t>Deborah Diesen</t>
  </si>
  <si>
    <t>The Power of Habit: Why We Do What We Do in Life and Business</t>
  </si>
  <si>
    <t>Charles Duhigg</t>
  </si>
  <si>
    <t>The President Is Missing: A Novel</t>
  </si>
  <si>
    <t>The Racketeer</t>
  </si>
  <si>
    <t>The Red Pyramid (The Kane Chronicles, Book 1)</t>
  </si>
  <si>
    <t>The Road to Serfdom: Text and Documents--The Definitive Edition (The Collected Works of F. A. Hayek, Volume 2)</t>
  </si>
  <si>
    <t>F. A. Hayek</t>
  </si>
  <si>
    <t>The Serpent's Shadow (The Kane Chronicles, Book 3)</t>
  </si>
  <si>
    <t>The Shack: Where Tragedy Confronts Eternity</t>
  </si>
  <si>
    <t>William P. Young</t>
  </si>
  <si>
    <t>The Short Second Life of Bree Tanner: An Eclipse Novella (The Twilight Saga)</t>
  </si>
  <si>
    <t>The Silent Patient</t>
  </si>
  <si>
    <t>Alex Michaelides</t>
  </si>
  <si>
    <t>The Son of Neptune (Heroes of Olympus, Book 2)</t>
  </si>
  <si>
    <t>The Subtle Art of Not Giving a F*ck: A Counterintuitive Approach to Living a Good Life</t>
  </si>
  <si>
    <t>Mark Manson</t>
  </si>
  <si>
    <t>The Sun and Her Flowers</t>
  </si>
  <si>
    <t>The Third Wheel (Diary of a Wimpy Kid, Book 7)</t>
  </si>
  <si>
    <t>The Throne of Fire (The Kane Chronicles, Book 2)</t>
  </si>
  <si>
    <t>The Time Traveler's Wife</t>
  </si>
  <si>
    <t>Audrey Niffenegger</t>
  </si>
  <si>
    <t>The Tipping Point: How Little Things Can Make a Big Difference</t>
  </si>
  <si>
    <t>The Total Money Makeover: Classic Edition: A Proven Plan for Financial Fitness</t>
  </si>
  <si>
    <t>Dave Ramsey</t>
  </si>
  <si>
    <t>The Twilight Saga Collection</t>
  </si>
  <si>
    <t>The Ugly Truth (Diary of a Wimpy Kid, Book 5)</t>
  </si>
  <si>
    <t>The Unofficial Harry Potter Cookbook: From Cauldron Cakes to Knickerbocker Glory--More Than 150 Magical Recipes forâ€¦</t>
  </si>
  <si>
    <t>Dinah Bucholz</t>
  </si>
  <si>
    <t>The Very Hungry Caterpillar</t>
  </si>
  <si>
    <t>Eric Carle</t>
  </si>
  <si>
    <t>The Whole30: The 30-Day Guide to Total Health and Food Freedom</t>
  </si>
  <si>
    <t>Melissa Hartwig Urban</t>
  </si>
  <si>
    <t>The Wonderful Things You Will Be</t>
  </si>
  <si>
    <t>Emily Winfield Martin</t>
  </si>
  <si>
    <t>The Wonky Donkey</t>
  </si>
  <si>
    <t>Craig Smith</t>
  </si>
  <si>
    <t>The Wright Brothers</t>
  </si>
  <si>
    <t>David McCullough</t>
  </si>
  <si>
    <t>Things That Matter: Three Decades of Passions, Pastimes and Politics [Deckled Edge]</t>
  </si>
  <si>
    <t>Charles Krauthammer</t>
  </si>
  <si>
    <t>Thinking, Fast and Slow</t>
  </si>
  <si>
    <t>Daniel Kahneman</t>
  </si>
  <si>
    <t>Thirteen Reasons Why</t>
  </si>
  <si>
    <t>Jay Asher</t>
  </si>
  <si>
    <t>Thomas Jefferson: The Art of Power</t>
  </si>
  <si>
    <t>Jon Meacham</t>
  </si>
  <si>
    <t>Three Cups of Tea: One Man's Mission to Promote Peace - One School at a Time</t>
  </si>
  <si>
    <t>Greg Mortenson</t>
  </si>
  <si>
    <t>Thug Kitchen: The Official Cookbook: Eat Like You Give a F*ck (Thug Kitchen Cookbooks)</t>
  </si>
  <si>
    <t>Thug Kitchen</t>
  </si>
  <si>
    <t>Tina Fey: Bossypants</t>
  </si>
  <si>
    <t>Tina Fey</t>
  </si>
  <si>
    <t>To Kill a Mockingbird</t>
  </si>
  <si>
    <t>Tools of Titans: The Tactics, Routines, and Habits of Billionaires, Icons, and World-Class Performers</t>
  </si>
  <si>
    <t>Towers of Midnight (Wheel of Time, Book Thirteen)</t>
  </si>
  <si>
    <t>Robert Jordan</t>
  </si>
  <si>
    <t>True Compass: A Memoir</t>
  </si>
  <si>
    <t>Edward M. Kennedy</t>
  </si>
  <si>
    <t>Twilight (The Twilight Saga, Book 1)</t>
  </si>
  <si>
    <t>Ultimate Sticker Book: Frozen: More Than 60 Reusable Full-Color Stickers</t>
  </si>
  <si>
    <t>Unbroken: A World War II Story of Survival, Resilience, and Redemption</t>
  </si>
  <si>
    <t>Laura Hillenbrand</t>
  </si>
  <si>
    <t>Under the Dome: A Novel</t>
  </si>
  <si>
    <t>Unfreedom of the Press</t>
  </si>
  <si>
    <t>Unicorn Coloring Book: For Kids Ages 4-8 (US Edition) (Silly Bear Coloring Books)</t>
  </si>
  <si>
    <t>Silly Bear</t>
  </si>
  <si>
    <t>Uninvited: Living Loved When You Feel Less Than, Left Out, and Lonely</t>
  </si>
  <si>
    <t>Watchmen</t>
  </si>
  <si>
    <t>Alan Moore</t>
  </si>
  <si>
    <t>Water for Elephants: A Novel</t>
  </si>
  <si>
    <t>Sara Gruen</t>
  </si>
  <si>
    <t>What Happened</t>
  </si>
  <si>
    <t>Hillary Rodham Clinton</t>
  </si>
  <si>
    <t>What If?: Serious Scientific Answers to Absurd Hypothetical Questions</t>
  </si>
  <si>
    <t>Randall Munroe</t>
  </si>
  <si>
    <t>What Pet Should I Get? (Classic Seuss)</t>
  </si>
  <si>
    <t>What Should Danny Do? (The Power to Choose Series)</t>
  </si>
  <si>
    <t>Adir Levy</t>
  </si>
  <si>
    <t>What to Expect When You're Expecting</t>
  </si>
  <si>
    <t>Heidi Murkoff</t>
  </si>
  <si>
    <t>Wheat Belly: Lose the Wheat, Lose the Weight, and Find Your Path Back to Health</t>
  </si>
  <si>
    <t>William Davis</t>
  </si>
  <si>
    <t>When Breath Becomes Air</t>
  </si>
  <si>
    <t>Paul Kalanithi</t>
  </si>
  <si>
    <t>Where the Crawdads Sing</t>
  </si>
  <si>
    <t>Delia Owens</t>
  </si>
  <si>
    <t>Where the Wild Things Are</t>
  </si>
  <si>
    <t>Maurice Sendak</t>
  </si>
  <si>
    <t>Whose Boat Is This Boat?: Comments That Don't Help in the Aftermath of a Hurricane</t>
  </si>
  <si>
    <t>The Staff of The Late Show withÂ…</t>
  </si>
  <si>
    <t>Wild: From Lost to Found on the Pacific Crest Trail</t>
  </si>
  <si>
    <t>Cheryl Strayed</t>
  </si>
  <si>
    <t>Winter of the World: Book Two of the Century Trilogy</t>
  </si>
  <si>
    <t>Ken Follett</t>
  </si>
  <si>
    <t>Women Food and God: An Unexpected Path to Almost Everything</t>
  </si>
  <si>
    <t>Geneen Roth</t>
  </si>
  <si>
    <t>Wonder</t>
  </si>
  <si>
    <t>R. J. Palacio</t>
  </si>
  <si>
    <t>Wrecking Ball (Diary of a Wimpy Kid Book 14)</t>
  </si>
  <si>
    <t>You Are a Badass: How to Stop Doubting Your Greatness and Start Living an Awesome Life</t>
  </si>
  <si>
    <t>Jen Sincero</t>
  </si>
  <si>
    <t>clean_author</t>
  </si>
  <si>
    <t>rating_category</t>
  </si>
  <si>
    <t>price_category</t>
  </si>
  <si>
    <t>review_level</t>
  </si>
  <si>
    <t>name</t>
  </si>
  <si>
    <t>author</t>
  </si>
  <si>
    <t>user_rating</t>
  </si>
  <si>
    <t>reviews</t>
  </si>
  <si>
    <t>price</t>
  </si>
  <si>
    <t>year</t>
  </si>
  <si>
    <t>genre</t>
  </si>
  <si>
    <t>Row Labels</t>
  </si>
  <si>
    <t>(blank)</t>
  </si>
  <si>
    <t>Grand Total</t>
  </si>
  <si>
    <t>Count of name</t>
  </si>
  <si>
    <t>Average of user_rating</t>
  </si>
  <si>
    <t>Average of price</t>
  </si>
  <si>
    <t>Sum of reviews</t>
  </si>
  <si>
    <t>Average of reviews</t>
  </si>
  <si>
    <t>Amazon Best seller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</si>
</sst>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
  </numFmts>
  <fonts count="19" x14ac:knownFonts="1">
    <font>
      <sz val="11"/>
      <color theme="1"/>
      <name val="Impact"/>
      <family val="2"/>
      <scheme val="minor"/>
    </font>
    <font>
      <sz val="11"/>
      <color theme="1"/>
      <name val="Impact"/>
      <family val="2"/>
      <scheme val="minor"/>
    </font>
    <font>
      <sz val="18"/>
      <color theme="3"/>
      <name val="Impact"/>
      <family val="2"/>
      <scheme val="major"/>
    </font>
    <font>
      <b/>
      <sz val="15"/>
      <color theme="3"/>
      <name val="Impact"/>
      <family val="2"/>
      <scheme val="minor"/>
    </font>
    <font>
      <b/>
      <sz val="13"/>
      <color theme="3"/>
      <name val="Impact"/>
      <family val="2"/>
      <scheme val="minor"/>
    </font>
    <font>
      <b/>
      <sz val="11"/>
      <color theme="3"/>
      <name val="Impact"/>
      <family val="2"/>
      <scheme val="minor"/>
    </font>
    <font>
      <sz val="11"/>
      <color rgb="FF006100"/>
      <name val="Impact"/>
      <family val="2"/>
      <scheme val="minor"/>
    </font>
    <font>
      <sz val="11"/>
      <color rgb="FF9C0006"/>
      <name val="Impact"/>
      <family val="2"/>
      <scheme val="minor"/>
    </font>
    <font>
      <sz val="11"/>
      <color rgb="FF9C5700"/>
      <name val="Impact"/>
      <family val="2"/>
      <scheme val="minor"/>
    </font>
    <font>
      <sz val="11"/>
      <color rgb="FF3F3F76"/>
      <name val="Impact"/>
      <family val="2"/>
      <scheme val="minor"/>
    </font>
    <font>
      <b/>
      <sz val="11"/>
      <color rgb="FF3F3F3F"/>
      <name val="Impact"/>
      <family val="2"/>
      <scheme val="minor"/>
    </font>
    <font>
      <b/>
      <sz val="11"/>
      <color rgb="FFFA7D00"/>
      <name val="Impact"/>
      <family val="2"/>
      <scheme val="minor"/>
    </font>
    <font>
      <sz val="11"/>
      <color rgb="FFFA7D00"/>
      <name val="Impact"/>
      <family val="2"/>
      <scheme val="minor"/>
    </font>
    <font>
      <b/>
      <sz val="11"/>
      <color theme="0"/>
      <name val="Impact"/>
      <family val="2"/>
      <scheme val="minor"/>
    </font>
    <font>
      <sz val="11"/>
      <color rgb="FFFF0000"/>
      <name val="Impact"/>
      <family val="2"/>
      <scheme val="minor"/>
    </font>
    <font>
      <i/>
      <sz val="11"/>
      <color rgb="FF7F7F7F"/>
      <name val="Impact"/>
      <family val="2"/>
      <scheme val="minor"/>
    </font>
    <font>
      <b/>
      <sz val="11"/>
      <color theme="1"/>
      <name val="Impact"/>
      <family val="2"/>
      <scheme val="minor"/>
    </font>
    <font>
      <sz val="11"/>
      <color theme="0"/>
      <name val="Impact"/>
      <family val="2"/>
      <scheme val="minor"/>
    </font>
    <font>
      <sz val="36"/>
      <color rgb="FFC00000"/>
      <name val="BankGothic Lt BT"/>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NumberFormat="1"/>
    <xf numFmtId="167"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67"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[Dashboard_amazon.xlsx]average_rating_by_genre!PivotTable2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Rating by Genre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marker>
          <c:symbol val="diamond"/>
          <c:size val="5"/>
          <c:spPr>
            <a:blipFill>
              <a:blip xmlns:r="http://schemas.openxmlformats.org/officeDocument/2006/relationships" r:embed="rId3">
                <a:duotone>
                  <a:schemeClr val="accent1">
                    <a:shade val="88000"/>
                    <a:lumMod val="88000"/>
                  </a:schemeClr>
                  <a:schemeClr val="accent1"/>
                </a:duotone>
              </a:blip>
              <a:tile tx="0" ty="0" sx="100000" sy="100000" flip="none" algn="tl"/>
            </a:blipFill>
            <a:ln w="9525">
              <a:solidFill>
                <a:schemeClr val="accent1"/>
              </a:solidFill>
              <a:round/>
            </a:ln>
            <a:effectLst>
              <a:outerShdw blurRad="25400" dist="12700" dir="5400000"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average_rating_by_genre!$B$3</c:f>
              <c:strCache>
                <c:ptCount val="1"/>
                <c:pt idx="0">
                  <c:v>Total</c:v>
                </c:pt>
              </c:strCache>
            </c:strRef>
          </c:tx>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invertIfNegative val="0"/>
          <c:cat>
            <c:strRef>
              <c:f>average_rating_by_genre!$A$4:$A$6</c:f>
              <c:strCache>
                <c:ptCount val="2"/>
                <c:pt idx="0">
                  <c:v>Fiction</c:v>
                </c:pt>
                <c:pt idx="1">
                  <c:v>Non Fiction</c:v>
                </c:pt>
              </c:strCache>
            </c:strRef>
          </c:cat>
          <c:val>
            <c:numRef>
              <c:f>average_rating_by_genre!$B$4:$B$6</c:f>
              <c:numCache>
                <c:formatCode>General</c:formatCode>
                <c:ptCount val="2"/>
                <c:pt idx="0">
                  <c:v>4.6483333333333308</c:v>
                </c:pt>
                <c:pt idx="1">
                  <c:v>4.5951612903225776</c:v>
                </c:pt>
              </c:numCache>
            </c:numRef>
          </c:val>
          <c:extLst>
            <c:ext xmlns:c16="http://schemas.microsoft.com/office/drawing/2014/chart" uri="{C3380CC4-5D6E-409C-BE32-E72D297353CC}">
              <c16:uniqueId val="{00000000-5034-4291-89F8-FF0F3C8BA7D6}"/>
            </c:ext>
          </c:extLst>
        </c:ser>
        <c:dLbls>
          <c:showLegendKey val="0"/>
          <c:showVal val="0"/>
          <c:showCatName val="0"/>
          <c:showSerName val="0"/>
          <c:showPercent val="0"/>
          <c:showBubbleSize val="0"/>
        </c:dLbls>
        <c:gapWidth val="115"/>
        <c:overlap val="-20"/>
        <c:axId val="956041840"/>
        <c:axId val="956043280"/>
      </c:barChart>
      <c:catAx>
        <c:axId val="9560418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6043280"/>
        <c:crosses val="autoZero"/>
        <c:auto val="1"/>
        <c:lblAlgn val="ctr"/>
        <c:lblOffset val="100"/>
        <c:noMultiLvlLbl val="0"/>
      </c:catAx>
      <c:valAx>
        <c:axId val="95604328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604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[Dashboard_amazon.xlsx]Reviews by Year!PivotTable5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CA"/>
              <a:t>Reviews by 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25400" dist="12700" dir="5400000" rotWithShape="0">
              <a:srgbClr val="000000">
                <a:alpha val="60000"/>
              </a:srgbClr>
            </a:outerShdw>
          </a:effectLst>
        </c:spPr>
        <c:marker>
          <c:symbol val="circle"/>
          <c:size val="6"/>
          <c:spPr>
            <a:blipFill>
              <a:blip xmlns:r="http://schemas.openxmlformats.org/officeDocument/2006/relationships" r:embed="rId3">
                <a:duotone>
                  <a:schemeClr val="accent1">
                    <a:shade val="88000"/>
                    <a:lumMod val="88000"/>
                  </a:schemeClr>
                  <a:schemeClr val="accent1"/>
                </a:duotone>
              </a:blip>
              <a:tile tx="0" ty="0" sx="100000" sy="100000" flip="none" algn="tl"/>
            </a:blipFill>
            <a:ln w="9525">
              <a:solidFill>
                <a:schemeClr val="accent1"/>
              </a:solidFill>
              <a:round/>
            </a:ln>
            <a:effectLst>
              <a:outerShdw blurRad="25400" dist="12700" dir="5400000"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'Reviews by Year'!$B$3</c:f>
              <c:strCache>
                <c:ptCount val="1"/>
                <c:pt idx="0">
                  <c:v>Total</c:v>
                </c:pt>
              </c:strCache>
            </c:strRef>
          </c:tx>
          <c:spPr>
            <a:ln w="34925" cap="rnd">
              <a:solidFill>
                <a:schemeClr val="accent1"/>
              </a:solidFill>
              <a:round/>
            </a:ln>
            <a:effectLst>
              <a:outerShdw blurRad="25400" dist="12700" dir="5400000" rotWithShape="0">
                <a:srgbClr val="000000">
                  <a:alpha val="60000"/>
                </a:srgbClr>
              </a:outerShdw>
            </a:effectLst>
          </c:spPr>
          <c:marker>
            <c:symbol val="circle"/>
            <c:size val="6"/>
            <c:spPr>
              <a:blipFill>
                <a:blip xmlns:r="http://schemas.openxmlformats.org/officeDocument/2006/relationships" r:embed="rId3">
                  <a:duotone>
                    <a:schemeClr val="accent1">
                      <a:shade val="88000"/>
                      <a:lumMod val="88000"/>
                    </a:schemeClr>
                    <a:schemeClr val="accent1"/>
                  </a:duotone>
                </a:blip>
                <a:tile tx="0" ty="0" sx="100000" sy="100000" flip="none" algn="tl"/>
              </a:blipFill>
              <a:ln w="9525">
                <a:solidFill>
                  <a:schemeClr val="accent1"/>
                </a:solidFill>
                <a:round/>
              </a:ln>
              <a:effectLst>
                <a:outerShdw blurRad="25400" dist="12700" dir="5400000" rotWithShape="0">
                  <a:srgbClr val="000000">
                    <a:alpha val="60000"/>
                  </a:srgbClr>
                </a:outerShdw>
              </a:effectLst>
            </c:spPr>
          </c:marker>
          <c:cat>
            <c:strRef>
              <c:f>'Reviews by Year'!$A$4:$A$16</c:f>
              <c:strCache>
                <c:ptCount val="12"/>
                <c:pt idx="0">
                  <c:v>2009</c:v>
                </c:pt>
                <c:pt idx="1">
                  <c:v>2010</c:v>
                </c:pt>
                <c:pt idx="2">
                  <c:v>2011</c:v>
                </c:pt>
                <c:pt idx="3">
                  <c:v>2012</c:v>
                </c:pt>
                <c:pt idx="4">
                  <c:v>2013</c:v>
                </c:pt>
                <c:pt idx="5">
                  <c:v>2014</c:v>
                </c:pt>
                <c:pt idx="6">
                  <c:v>2015</c:v>
                </c:pt>
                <c:pt idx="7">
                  <c:v>2016</c:v>
                </c:pt>
                <c:pt idx="8">
                  <c:v>2017</c:v>
                </c:pt>
                <c:pt idx="9">
                  <c:v>2018</c:v>
                </c:pt>
                <c:pt idx="10">
                  <c:v>2019</c:v>
                </c:pt>
                <c:pt idx="11">
                  <c:v>(blank)</c:v>
                </c:pt>
              </c:strCache>
            </c:strRef>
          </c:cat>
          <c:val>
            <c:numRef>
              <c:f>'Reviews by Year'!$B$4:$B$16</c:f>
              <c:numCache>
                <c:formatCode>General</c:formatCode>
                <c:ptCount val="12"/>
                <c:pt idx="0">
                  <c:v>4710.12</c:v>
                </c:pt>
                <c:pt idx="1">
                  <c:v>5479.62</c:v>
                </c:pt>
                <c:pt idx="2">
                  <c:v>8100.82</c:v>
                </c:pt>
                <c:pt idx="3">
                  <c:v>13090.92</c:v>
                </c:pt>
                <c:pt idx="4">
                  <c:v>13098.14</c:v>
                </c:pt>
                <c:pt idx="5">
                  <c:v>15859.94</c:v>
                </c:pt>
                <c:pt idx="6">
                  <c:v>14233.38</c:v>
                </c:pt>
                <c:pt idx="7">
                  <c:v>14196</c:v>
                </c:pt>
                <c:pt idx="8">
                  <c:v>12888.4</c:v>
                </c:pt>
                <c:pt idx="9">
                  <c:v>13930.42</c:v>
                </c:pt>
                <c:pt idx="10">
                  <c:v>15898.34</c:v>
                </c:pt>
              </c:numCache>
            </c:numRef>
          </c:val>
          <c:smooth val="0"/>
          <c:extLst>
            <c:ext xmlns:c16="http://schemas.microsoft.com/office/drawing/2014/chart" uri="{C3380CC4-5D6E-409C-BE32-E72D297353CC}">
              <c16:uniqueId val="{00000000-94C5-4F0F-BDDD-ECB4F552745A}"/>
            </c:ext>
          </c:extLst>
        </c:ser>
        <c:dLbls>
          <c:showLegendKey val="0"/>
          <c:showVal val="0"/>
          <c:showCatName val="0"/>
          <c:showSerName val="0"/>
          <c:showPercent val="0"/>
          <c:showBubbleSize val="0"/>
        </c:dLbls>
        <c:marker val="1"/>
        <c:smooth val="0"/>
        <c:axId val="656182912"/>
        <c:axId val="656183272"/>
      </c:lineChart>
      <c:catAx>
        <c:axId val="6561829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6183272"/>
        <c:crosses val="autoZero"/>
        <c:auto val="1"/>
        <c:lblAlgn val="ctr"/>
        <c:lblOffset val="100"/>
        <c:noMultiLvlLbl val="0"/>
      </c:catAx>
      <c:valAx>
        <c:axId val="6561832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618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[Dashboard_amazon.xlsx]books_by_genre!PivotTable1</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Books by Genre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books_by_genre!$B$3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books_by_genre!$A$4:$A$6</c:f>
              <c:strCache>
                <c:ptCount val="2"/>
                <c:pt idx="0">
                  <c:v>Fiction</c:v>
                </c:pt>
                <c:pt idx="1">
                  <c:v>Non Fiction</c:v>
                </c:pt>
              </c:strCache>
            </c:strRef>
          </c:cat>
          <c:val>
            <c:numRef>
              <c:f>books_by_genre!$B$4:$B$6</c:f>
              <c:numCache>
                <c:formatCode>General</c:formatCode>
                <c:ptCount val="2"/>
                <c:pt idx="0">
                  <c:v>240</c:v>
                </c:pt>
                <c:pt idx="1">
                  <c:v>310</c:v>
                </c:pt>
              </c:numCache>
            </c:numRef>
          </c:val>
          <c:extLst>
            <c:ext xmlns:c16="http://schemas.microsoft.com/office/drawing/2014/chart" uri="{C3380CC4-5D6E-409C-BE32-E72D297353CC}">
              <c16:uniqueId val="{00000000-3FDA-4AEA-80AD-E6BAFF8F8ED0}"/>
            </c:ext>
          </c:extLst>
        </c:ser>
        <c:dLbls>
          <c:dLblPos val="inEnd"/>
          <c:showLegendKey val="0"/>
          <c:showVal val="1"/>
          <c:showCatName val="0"/>
          <c:showSerName val="0"/>
          <c:showPercent val="0"/>
          <c:showBubbleSize val="0"/>
        </c:dLbls>
        <c:gapWidth val="315"/>
        <c:overlap val="-40"/>
        <c:axId val="946066872"/>
        <c:axId val="946070112"/>
      </c:barChart>
      <c:catAx>
        <c:axId val="9460668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46070112"/>
        <c:crosses val="autoZero"/>
        <c:auto val="1"/>
        <c:lblAlgn val="ctr"/>
        <c:lblOffset val="100"/>
        <c:noMultiLvlLbl val="0"/>
      </c:catAx>
      <c:valAx>
        <c:axId val="9460701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46066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[Dashboard_amazon.xlsx]Average Price by Year!PivotTable6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Price by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25400" dist="12700" dir="5400000" rotWithShape="0">
              <a:srgbClr val="000000">
                <a:alpha val="60000"/>
              </a:srgbClr>
            </a:outerShdw>
          </a:effectLst>
        </c:spPr>
        <c:marker>
          <c:symbol val="circle"/>
          <c:size val="6"/>
          <c:spPr>
            <a:blipFill>
              <a:blip xmlns:r="http://schemas.openxmlformats.org/officeDocument/2006/relationships" r:embed="rId3">
                <a:duotone>
                  <a:schemeClr val="accent1">
                    <a:shade val="88000"/>
                    <a:lumMod val="88000"/>
                  </a:schemeClr>
                  <a:schemeClr val="accent1"/>
                </a:duotone>
              </a:blip>
              <a:tile tx="0" ty="0" sx="100000" sy="100000" flip="none" algn="tl"/>
            </a:blipFill>
            <a:ln w="9525">
              <a:solidFill>
                <a:schemeClr val="accent1"/>
              </a:solidFill>
              <a:round/>
            </a:ln>
            <a:effectLst>
              <a:outerShdw blurRad="25400" dist="12700" dir="5400000"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Price by Year'!$B$3</c:f>
              <c:strCache>
                <c:ptCount val="1"/>
                <c:pt idx="0">
                  <c:v>Total</c:v>
                </c:pt>
              </c:strCache>
            </c:strRef>
          </c:tx>
          <c:spPr>
            <a:ln w="34925" cap="rnd">
              <a:solidFill>
                <a:schemeClr val="accent1"/>
              </a:solidFill>
              <a:round/>
            </a:ln>
            <a:effectLst>
              <a:outerShdw blurRad="25400" dist="12700" dir="5400000" rotWithShape="0">
                <a:srgbClr val="000000">
                  <a:alpha val="60000"/>
                </a:srgbClr>
              </a:outerShdw>
            </a:effectLst>
          </c:spPr>
          <c:marker>
            <c:symbol val="circle"/>
            <c:size val="6"/>
            <c:spPr>
              <a:blipFill>
                <a:blip xmlns:r="http://schemas.openxmlformats.org/officeDocument/2006/relationships" r:embed="rId3">
                  <a:duotone>
                    <a:schemeClr val="accent1">
                      <a:shade val="88000"/>
                      <a:lumMod val="88000"/>
                    </a:schemeClr>
                    <a:schemeClr val="accent1"/>
                  </a:duotone>
                </a:blip>
                <a:tile tx="0" ty="0" sx="100000" sy="100000" flip="none" algn="tl"/>
              </a:blipFill>
              <a:ln w="9525">
                <a:solidFill>
                  <a:schemeClr val="accent1"/>
                </a:solidFill>
                <a:round/>
              </a:ln>
              <a:effectLst>
                <a:outerShdw blurRad="25400" dist="12700" dir="5400000" rotWithShape="0">
                  <a:srgbClr val="000000">
                    <a:alpha val="60000"/>
                  </a:srgbClr>
                </a:outerShdw>
              </a:effectLst>
            </c:spPr>
          </c:marker>
          <c:cat>
            <c:strRef>
              <c:f>'Average Price by Year'!$A$4:$A$16</c:f>
              <c:strCache>
                <c:ptCount val="12"/>
                <c:pt idx="0">
                  <c:v>2009</c:v>
                </c:pt>
                <c:pt idx="1">
                  <c:v>2010</c:v>
                </c:pt>
                <c:pt idx="2">
                  <c:v>2011</c:v>
                </c:pt>
                <c:pt idx="3">
                  <c:v>2012</c:v>
                </c:pt>
                <c:pt idx="4">
                  <c:v>2013</c:v>
                </c:pt>
                <c:pt idx="5">
                  <c:v>2014</c:v>
                </c:pt>
                <c:pt idx="6">
                  <c:v>2015</c:v>
                </c:pt>
                <c:pt idx="7">
                  <c:v>2016</c:v>
                </c:pt>
                <c:pt idx="8">
                  <c:v>2017</c:v>
                </c:pt>
                <c:pt idx="9">
                  <c:v>2018</c:v>
                </c:pt>
                <c:pt idx="10">
                  <c:v>2019</c:v>
                </c:pt>
                <c:pt idx="11">
                  <c:v>(blank)</c:v>
                </c:pt>
              </c:strCache>
            </c:strRef>
          </c:cat>
          <c:val>
            <c:numRef>
              <c:f>'Average Price by Year'!$B$4:$B$16</c:f>
              <c:numCache>
                <c:formatCode>General</c:formatCode>
                <c:ptCount val="12"/>
                <c:pt idx="0">
                  <c:v>15.4</c:v>
                </c:pt>
                <c:pt idx="1">
                  <c:v>13.48</c:v>
                </c:pt>
                <c:pt idx="2">
                  <c:v>15.1</c:v>
                </c:pt>
                <c:pt idx="3">
                  <c:v>15.3</c:v>
                </c:pt>
                <c:pt idx="4">
                  <c:v>14.6</c:v>
                </c:pt>
                <c:pt idx="5">
                  <c:v>14.64</c:v>
                </c:pt>
                <c:pt idx="6">
                  <c:v>10.42</c:v>
                </c:pt>
                <c:pt idx="7">
                  <c:v>13.18</c:v>
                </c:pt>
                <c:pt idx="8">
                  <c:v>11.38</c:v>
                </c:pt>
                <c:pt idx="9">
                  <c:v>10.52</c:v>
                </c:pt>
                <c:pt idx="10">
                  <c:v>10.08</c:v>
                </c:pt>
              </c:numCache>
            </c:numRef>
          </c:val>
          <c:smooth val="0"/>
          <c:extLst>
            <c:ext xmlns:c16="http://schemas.microsoft.com/office/drawing/2014/chart" uri="{C3380CC4-5D6E-409C-BE32-E72D297353CC}">
              <c16:uniqueId val="{00000000-4DFA-4BF0-BCD9-90AE0F05F909}"/>
            </c:ext>
          </c:extLst>
        </c:ser>
        <c:dLbls>
          <c:showLegendKey val="0"/>
          <c:showVal val="0"/>
          <c:showCatName val="0"/>
          <c:showSerName val="0"/>
          <c:showPercent val="0"/>
          <c:showBubbleSize val="0"/>
        </c:dLbls>
        <c:marker val="1"/>
        <c:smooth val="0"/>
        <c:axId val="1105331800"/>
        <c:axId val="1105332880"/>
      </c:lineChart>
      <c:catAx>
        <c:axId val="110533180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5332880"/>
        <c:crosses val="autoZero"/>
        <c:auto val="1"/>
        <c:lblAlgn val="ctr"/>
        <c:lblOffset val="100"/>
        <c:noMultiLvlLbl val="0"/>
      </c:catAx>
      <c:valAx>
        <c:axId val="11053328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5331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[Dashboard_amazon.xlsx]Top Authors!PivotTable4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Authors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marker>
          <c:symbol val="diamond"/>
          <c:size val="5"/>
          <c:spPr>
            <a:blipFill>
              <a:blip xmlns:r="http://schemas.openxmlformats.org/officeDocument/2006/relationships" r:embed="rId3">
                <a:duotone>
                  <a:schemeClr val="accent1">
                    <a:shade val="88000"/>
                    <a:lumMod val="88000"/>
                  </a:schemeClr>
                  <a:schemeClr val="accent1"/>
                </a:duotone>
              </a:blip>
              <a:tile tx="0" ty="0" sx="100000" sy="100000" flip="none" algn="tl"/>
            </a:blipFill>
            <a:ln w="9525">
              <a:solidFill>
                <a:schemeClr val="accent1"/>
              </a:solidFill>
              <a:round/>
            </a:ln>
            <a:effectLst>
              <a:outerShdw blurRad="25400" dist="12700" dir="5400000"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Authors'!$B$3</c:f>
              <c:strCache>
                <c:ptCount val="1"/>
                <c:pt idx="0">
                  <c:v>Total</c:v>
                </c:pt>
              </c:strCache>
            </c:strRef>
          </c:tx>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invertIfNegative val="0"/>
          <c:cat>
            <c:strRef>
              <c:f>'Top Authors'!$A$4:$A$17</c:f>
              <c:strCache>
                <c:ptCount val="13"/>
                <c:pt idx="0">
                  <c:v>Jeff Kinney</c:v>
                </c:pt>
                <c:pt idx="1">
                  <c:v>Rick Riordan</c:v>
                </c:pt>
                <c:pt idx="2">
                  <c:v>Suzanne Collins</c:v>
                </c:pt>
                <c:pt idx="3">
                  <c:v>Gary Chapman</c:v>
                </c:pt>
                <c:pt idx="4">
                  <c:v>American Psychological Association</c:v>
                </c:pt>
                <c:pt idx="5">
                  <c:v>Gallup</c:v>
                </c:pt>
                <c:pt idx="6">
                  <c:v>Dr. Seuss</c:v>
                </c:pt>
                <c:pt idx="7">
                  <c:v>Rob Elliott</c:v>
                </c:pt>
                <c:pt idx="8">
                  <c:v>Stephen R. Covey</c:v>
                </c:pt>
                <c:pt idx="9">
                  <c:v>Stephenie Meyer</c:v>
                </c:pt>
                <c:pt idx="10">
                  <c:v>Eric Carle</c:v>
                </c:pt>
                <c:pt idx="11">
                  <c:v>Bill O'Reilly</c:v>
                </c:pt>
                <c:pt idx="12">
                  <c:v>Dav Pilkey</c:v>
                </c:pt>
              </c:strCache>
            </c:strRef>
          </c:cat>
          <c:val>
            <c:numRef>
              <c:f>'Top Authors'!$B$4:$B$17</c:f>
              <c:numCache>
                <c:formatCode>General</c:formatCode>
                <c:ptCount val="13"/>
                <c:pt idx="0">
                  <c:v>12</c:v>
                </c:pt>
                <c:pt idx="1">
                  <c:v>11</c:v>
                </c:pt>
                <c:pt idx="2">
                  <c:v>11</c:v>
                </c:pt>
                <c:pt idx="3">
                  <c:v>11</c:v>
                </c:pt>
                <c:pt idx="4">
                  <c:v>10</c:v>
                </c:pt>
                <c:pt idx="5">
                  <c:v>9</c:v>
                </c:pt>
                <c:pt idx="6">
                  <c:v>9</c:v>
                </c:pt>
                <c:pt idx="7">
                  <c:v>8</c:v>
                </c:pt>
                <c:pt idx="8">
                  <c:v>7</c:v>
                </c:pt>
                <c:pt idx="9">
                  <c:v>7</c:v>
                </c:pt>
                <c:pt idx="10">
                  <c:v>7</c:v>
                </c:pt>
                <c:pt idx="11">
                  <c:v>7</c:v>
                </c:pt>
                <c:pt idx="12">
                  <c:v>7</c:v>
                </c:pt>
              </c:numCache>
            </c:numRef>
          </c:val>
          <c:extLst>
            <c:ext xmlns:c16="http://schemas.microsoft.com/office/drawing/2014/chart" uri="{C3380CC4-5D6E-409C-BE32-E72D297353CC}">
              <c16:uniqueId val="{00000000-CD64-4F19-9633-EDDB65D773B8}"/>
            </c:ext>
          </c:extLst>
        </c:ser>
        <c:dLbls>
          <c:showLegendKey val="0"/>
          <c:showVal val="0"/>
          <c:showCatName val="0"/>
          <c:showSerName val="0"/>
          <c:showPercent val="0"/>
          <c:showBubbleSize val="0"/>
        </c:dLbls>
        <c:gapWidth val="115"/>
        <c:overlap val="-20"/>
        <c:axId val="951359576"/>
        <c:axId val="951357776"/>
      </c:barChart>
      <c:catAx>
        <c:axId val="9513595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1357776"/>
        <c:crosses val="autoZero"/>
        <c:auto val="1"/>
        <c:lblAlgn val="ctr"/>
        <c:lblOffset val="100"/>
        <c:noMultiLvlLbl val="0"/>
      </c:catAx>
      <c:valAx>
        <c:axId val="95135777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1359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[Dashboard_amazon.xlsx]books_by_genre!PivotTable1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Books by 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books_by_genre!$B$3</c:f>
              <c:strCache>
                <c:ptCount val="1"/>
                <c:pt idx="0">
                  <c:v>Total</c:v>
                </c:pt>
              </c:strCache>
            </c:strRef>
          </c:tx>
          <c:spPr>
            <a:solidFill>
              <a:schemeClr val="accent1"/>
            </a:solidFill>
            <a:ln>
              <a:noFill/>
            </a:ln>
            <a:effectLst/>
          </c:spPr>
          <c:invertIfNegative val="0"/>
          <c:cat>
            <c:strRef>
              <c:f>books_by_genre!$A$4:$A$6</c:f>
              <c:strCache>
                <c:ptCount val="2"/>
                <c:pt idx="0">
                  <c:v>Fiction</c:v>
                </c:pt>
                <c:pt idx="1">
                  <c:v>Non Fiction</c:v>
                </c:pt>
              </c:strCache>
            </c:strRef>
          </c:cat>
          <c:val>
            <c:numRef>
              <c:f>books_by_genre!$B$4:$B$6</c:f>
              <c:numCache>
                <c:formatCode>General</c:formatCode>
                <c:ptCount val="2"/>
                <c:pt idx="0">
                  <c:v>240</c:v>
                </c:pt>
                <c:pt idx="1">
                  <c:v>310</c:v>
                </c:pt>
              </c:numCache>
            </c:numRef>
          </c:val>
          <c:extLst>
            <c:ext xmlns:c16="http://schemas.microsoft.com/office/drawing/2014/chart" uri="{C3380CC4-5D6E-409C-BE32-E72D297353CC}">
              <c16:uniqueId val="{00000000-7DDA-47EF-849D-63760A7FAA0D}"/>
            </c:ext>
          </c:extLst>
        </c:ser>
        <c:dLbls>
          <c:showLegendKey val="0"/>
          <c:showVal val="0"/>
          <c:showCatName val="0"/>
          <c:showSerName val="0"/>
          <c:showPercent val="0"/>
          <c:showBubbleSize val="0"/>
        </c:dLbls>
        <c:gapWidth val="219"/>
        <c:overlap val="-27"/>
        <c:axId val="946066872"/>
        <c:axId val="946070112"/>
      </c:barChart>
      <c:catAx>
        <c:axId val="946066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070112"/>
        <c:crosses val="autoZero"/>
        <c:auto val="1"/>
        <c:lblAlgn val="ctr"/>
        <c:lblOffset val="100"/>
        <c:noMultiLvlLbl val="0"/>
      </c:catAx>
      <c:valAx>
        <c:axId val="94607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066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[Dashboard_amazon.xlsx]average_rating_by_genre!PivotTable2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Rating</a:t>
            </a:r>
            <a:r>
              <a:rPr lang="en-US" baseline="0"/>
              <a:t> </a:t>
            </a:r>
            <a:r>
              <a:rPr lang="en-US"/>
              <a:t>by 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average_rating_by_genre!$B$3</c:f>
              <c:strCache>
                <c:ptCount val="1"/>
                <c:pt idx="0">
                  <c:v>Total</c:v>
                </c:pt>
              </c:strCache>
            </c:strRef>
          </c:tx>
          <c:spPr>
            <a:solidFill>
              <a:schemeClr val="accent1"/>
            </a:solidFill>
            <a:ln>
              <a:noFill/>
            </a:ln>
            <a:effectLst/>
          </c:spPr>
          <c:invertIfNegative val="0"/>
          <c:cat>
            <c:strRef>
              <c:f>average_rating_by_genre!$A$4:$A$6</c:f>
              <c:strCache>
                <c:ptCount val="2"/>
                <c:pt idx="0">
                  <c:v>Fiction</c:v>
                </c:pt>
                <c:pt idx="1">
                  <c:v>Non Fiction</c:v>
                </c:pt>
              </c:strCache>
            </c:strRef>
          </c:cat>
          <c:val>
            <c:numRef>
              <c:f>average_rating_by_genre!$B$4:$B$6</c:f>
              <c:numCache>
                <c:formatCode>General</c:formatCode>
                <c:ptCount val="2"/>
                <c:pt idx="0">
                  <c:v>4.6483333333333308</c:v>
                </c:pt>
                <c:pt idx="1">
                  <c:v>4.5951612903225776</c:v>
                </c:pt>
              </c:numCache>
            </c:numRef>
          </c:val>
          <c:extLst>
            <c:ext xmlns:c16="http://schemas.microsoft.com/office/drawing/2014/chart" uri="{C3380CC4-5D6E-409C-BE32-E72D297353CC}">
              <c16:uniqueId val="{00000000-6744-4EFA-8F17-3E143E6EBFCD}"/>
            </c:ext>
          </c:extLst>
        </c:ser>
        <c:dLbls>
          <c:showLegendKey val="0"/>
          <c:showVal val="0"/>
          <c:showCatName val="0"/>
          <c:showSerName val="0"/>
          <c:showPercent val="0"/>
          <c:showBubbleSize val="0"/>
        </c:dLbls>
        <c:gapWidth val="182"/>
        <c:axId val="956041840"/>
        <c:axId val="956043280"/>
      </c:barChart>
      <c:catAx>
        <c:axId val="956041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043280"/>
        <c:crosses val="autoZero"/>
        <c:auto val="1"/>
        <c:lblAlgn val="ctr"/>
        <c:lblOffset val="100"/>
        <c:noMultiLvlLbl val="0"/>
      </c:catAx>
      <c:valAx>
        <c:axId val="956043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04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[Dashboard_amazon.xlsx]Average Price by Genre!PivotTable3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Price by 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Price by Genre'!$B$3</c:f>
              <c:strCache>
                <c:ptCount val="1"/>
                <c:pt idx="0">
                  <c:v>Total</c:v>
                </c:pt>
              </c:strCache>
            </c:strRef>
          </c:tx>
          <c:spPr>
            <a:solidFill>
              <a:schemeClr val="accent1"/>
            </a:solidFill>
            <a:ln>
              <a:noFill/>
            </a:ln>
            <a:effectLst/>
          </c:spPr>
          <c:invertIfNegative val="0"/>
          <c:cat>
            <c:strRef>
              <c:f>'Average Price by Genre'!$A$4:$A$6</c:f>
              <c:strCache>
                <c:ptCount val="2"/>
                <c:pt idx="0">
                  <c:v>Fiction</c:v>
                </c:pt>
                <c:pt idx="1">
                  <c:v>Non Fiction</c:v>
                </c:pt>
              </c:strCache>
            </c:strRef>
          </c:cat>
          <c:val>
            <c:numRef>
              <c:f>'Average Price by Genre'!$B$4:$B$6</c:f>
              <c:numCache>
                <c:formatCode>General</c:formatCode>
                <c:ptCount val="2"/>
                <c:pt idx="0">
                  <c:v>10.85</c:v>
                </c:pt>
                <c:pt idx="1">
                  <c:v>14.841935483870968</c:v>
                </c:pt>
              </c:numCache>
            </c:numRef>
          </c:val>
          <c:extLst>
            <c:ext xmlns:c16="http://schemas.microsoft.com/office/drawing/2014/chart" uri="{C3380CC4-5D6E-409C-BE32-E72D297353CC}">
              <c16:uniqueId val="{00000000-F909-4C67-ADB6-E055A02435AE}"/>
            </c:ext>
          </c:extLst>
        </c:ser>
        <c:dLbls>
          <c:showLegendKey val="0"/>
          <c:showVal val="0"/>
          <c:showCatName val="0"/>
          <c:showSerName val="0"/>
          <c:showPercent val="0"/>
          <c:showBubbleSize val="0"/>
        </c:dLbls>
        <c:gapWidth val="219"/>
        <c:overlap val="-27"/>
        <c:axId val="943357880"/>
        <c:axId val="943359320"/>
      </c:barChart>
      <c:catAx>
        <c:axId val="943357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359320"/>
        <c:crosses val="autoZero"/>
        <c:auto val="1"/>
        <c:lblAlgn val="ctr"/>
        <c:lblOffset val="100"/>
        <c:noMultiLvlLbl val="0"/>
      </c:catAx>
      <c:valAx>
        <c:axId val="943359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357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[Dashboard_amazon.xlsx]Top Authors!PivotTable4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Authors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Authors'!$B$3</c:f>
              <c:strCache>
                <c:ptCount val="1"/>
                <c:pt idx="0">
                  <c:v>Total</c:v>
                </c:pt>
              </c:strCache>
            </c:strRef>
          </c:tx>
          <c:spPr>
            <a:solidFill>
              <a:schemeClr val="accent1"/>
            </a:solidFill>
            <a:ln>
              <a:noFill/>
            </a:ln>
            <a:effectLst/>
          </c:spPr>
          <c:invertIfNegative val="0"/>
          <c:cat>
            <c:strRef>
              <c:f>'Top Authors'!$A$4:$A$17</c:f>
              <c:strCache>
                <c:ptCount val="13"/>
                <c:pt idx="0">
                  <c:v>Jeff Kinney</c:v>
                </c:pt>
                <c:pt idx="1">
                  <c:v>Rick Riordan</c:v>
                </c:pt>
                <c:pt idx="2">
                  <c:v>Suzanne Collins</c:v>
                </c:pt>
                <c:pt idx="3">
                  <c:v>Gary Chapman</c:v>
                </c:pt>
                <c:pt idx="4">
                  <c:v>American Psychological Association</c:v>
                </c:pt>
                <c:pt idx="5">
                  <c:v>Gallup</c:v>
                </c:pt>
                <c:pt idx="6">
                  <c:v>Dr. Seuss</c:v>
                </c:pt>
                <c:pt idx="7">
                  <c:v>Rob Elliott</c:v>
                </c:pt>
                <c:pt idx="8">
                  <c:v>Stephen R. Covey</c:v>
                </c:pt>
                <c:pt idx="9">
                  <c:v>Stephenie Meyer</c:v>
                </c:pt>
                <c:pt idx="10">
                  <c:v>Eric Carle</c:v>
                </c:pt>
                <c:pt idx="11">
                  <c:v>Bill O'Reilly</c:v>
                </c:pt>
                <c:pt idx="12">
                  <c:v>Dav Pilkey</c:v>
                </c:pt>
              </c:strCache>
            </c:strRef>
          </c:cat>
          <c:val>
            <c:numRef>
              <c:f>'Top Authors'!$B$4:$B$17</c:f>
              <c:numCache>
                <c:formatCode>General</c:formatCode>
                <c:ptCount val="13"/>
                <c:pt idx="0">
                  <c:v>12</c:v>
                </c:pt>
                <c:pt idx="1">
                  <c:v>11</c:v>
                </c:pt>
                <c:pt idx="2">
                  <c:v>11</c:v>
                </c:pt>
                <c:pt idx="3">
                  <c:v>11</c:v>
                </c:pt>
                <c:pt idx="4">
                  <c:v>10</c:v>
                </c:pt>
                <c:pt idx="5">
                  <c:v>9</c:v>
                </c:pt>
                <c:pt idx="6">
                  <c:v>9</c:v>
                </c:pt>
                <c:pt idx="7">
                  <c:v>8</c:v>
                </c:pt>
                <c:pt idx="8">
                  <c:v>7</c:v>
                </c:pt>
                <c:pt idx="9">
                  <c:v>7</c:v>
                </c:pt>
                <c:pt idx="10">
                  <c:v>7</c:v>
                </c:pt>
                <c:pt idx="11">
                  <c:v>7</c:v>
                </c:pt>
                <c:pt idx="12">
                  <c:v>7</c:v>
                </c:pt>
              </c:numCache>
            </c:numRef>
          </c:val>
          <c:extLst>
            <c:ext xmlns:c16="http://schemas.microsoft.com/office/drawing/2014/chart" uri="{C3380CC4-5D6E-409C-BE32-E72D297353CC}">
              <c16:uniqueId val="{00000000-CE7C-4408-BEA0-8DC35AD75D55}"/>
            </c:ext>
          </c:extLst>
        </c:ser>
        <c:dLbls>
          <c:showLegendKey val="0"/>
          <c:showVal val="0"/>
          <c:showCatName val="0"/>
          <c:showSerName val="0"/>
          <c:showPercent val="0"/>
          <c:showBubbleSize val="0"/>
        </c:dLbls>
        <c:gapWidth val="182"/>
        <c:axId val="951359576"/>
        <c:axId val="951357776"/>
      </c:barChart>
      <c:catAx>
        <c:axId val="951359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357776"/>
        <c:crosses val="autoZero"/>
        <c:auto val="1"/>
        <c:lblAlgn val="ctr"/>
        <c:lblOffset val="100"/>
        <c:noMultiLvlLbl val="0"/>
      </c:catAx>
      <c:valAx>
        <c:axId val="951357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359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[Dashboard_amazon.xlsx]Reviews by Year!PivotTable5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Reviews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'Reviews by Year'!$B$3</c:f>
              <c:strCache>
                <c:ptCount val="1"/>
                <c:pt idx="0">
                  <c:v>Total</c:v>
                </c:pt>
              </c:strCache>
            </c:strRef>
          </c:tx>
          <c:spPr>
            <a:ln w="28575" cap="rnd">
              <a:solidFill>
                <a:schemeClr val="accent1"/>
              </a:solidFill>
              <a:round/>
            </a:ln>
            <a:effectLst/>
          </c:spPr>
          <c:marker>
            <c:symbol val="none"/>
          </c:marker>
          <c:cat>
            <c:strRef>
              <c:f>'Reviews by Year'!$A$4:$A$16</c:f>
              <c:strCache>
                <c:ptCount val="12"/>
                <c:pt idx="0">
                  <c:v>2009</c:v>
                </c:pt>
                <c:pt idx="1">
                  <c:v>2010</c:v>
                </c:pt>
                <c:pt idx="2">
                  <c:v>2011</c:v>
                </c:pt>
                <c:pt idx="3">
                  <c:v>2012</c:v>
                </c:pt>
                <c:pt idx="4">
                  <c:v>2013</c:v>
                </c:pt>
                <c:pt idx="5">
                  <c:v>2014</c:v>
                </c:pt>
                <c:pt idx="6">
                  <c:v>2015</c:v>
                </c:pt>
                <c:pt idx="7">
                  <c:v>2016</c:v>
                </c:pt>
                <c:pt idx="8">
                  <c:v>2017</c:v>
                </c:pt>
                <c:pt idx="9">
                  <c:v>2018</c:v>
                </c:pt>
                <c:pt idx="10">
                  <c:v>2019</c:v>
                </c:pt>
                <c:pt idx="11">
                  <c:v>(blank)</c:v>
                </c:pt>
              </c:strCache>
            </c:strRef>
          </c:cat>
          <c:val>
            <c:numRef>
              <c:f>'Reviews by Year'!$B$4:$B$16</c:f>
              <c:numCache>
                <c:formatCode>General</c:formatCode>
                <c:ptCount val="12"/>
                <c:pt idx="0">
                  <c:v>4710.12</c:v>
                </c:pt>
                <c:pt idx="1">
                  <c:v>5479.62</c:v>
                </c:pt>
                <c:pt idx="2">
                  <c:v>8100.82</c:v>
                </c:pt>
                <c:pt idx="3">
                  <c:v>13090.92</c:v>
                </c:pt>
                <c:pt idx="4">
                  <c:v>13098.14</c:v>
                </c:pt>
                <c:pt idx="5">
                  <c:v>15859.94</c:v>
                </c:pt>
                <c:pt idx="6">
                  <c:v>14233.38</c:v>
                </c:pt>
                <c:pt idx="7">
                  <c:v>14196</c:v>
                </c:pt>
                <c:pt idx="8">
                  <c:v>12888.4</c:v>
                </c:pt>
                <c:pt idx="9">
                  <c:v>13930.42</c:v>
                </c:pt>
                <c:pt idx="10">
                  <c:v>15898.34</c:v>
                </c:pt>
              </c:numCache>
            </c:numRef>
          </c:val>
          <c:smooth val="0"/>
          <c:extLst>
            <c:ext xmlns:c16="http://schemas.microsoft.com/office/drawing/2014/chart" uri="{C3380CC4-5D6E-409C-BE32-E72D297353CC}">
              <c16:uniqueId val="{00000000-65FD-4DFE-A23B-E25B21A8A388}"/>
            </c:ext>
          </c:extLst>
        </c:ser>
        <c:dLbls>
          <c:showLegendKey val="0"/>
          <c:showVal val="0"/>
          <c:showCatName val="0"/>
          <c:showSerName val="0"/>
          <c:showPercent val="0"/>
          <c:showBubbleSize val="0"/>
        </c:dLbls>
        <c:smooth val="0"/>
        <c:axId val="656182912"/>
        <c:axId val="656183272"/>
      </c:lineChart>
      <c:catAx>
        <c:axId val="65618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183272"/>
        <c:crosses val="autoZero"/>
        <c:auto val="1"/>
        <c:lblAlgn val="ctr"/>
        <c:lblOffset val="100"/>
        <c:noMultiLvlLbl val="0"/>
      </c:catAx>
      <c:valAx>
        <c:axId val="656183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18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[Dashboard_amazon.xlsx]Average Price by Year!PivotTable6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Price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Price by Year'!$B$3</c:f>
              <c:strCache>
                <c:ptCount val="1"/>
                <c:pt idx="0">
                  <c:v>Total</c:v>
                </c:pt>
              </c:strCache>
            </c:strRef>
          </c:tx>
          <c:spPr>
            <a:ln w="28575" cap="rnd">
              <a:solidFill>
                <a:schemeClr val="accent1"/>
              </a:solidFill>
              <a:round/>
            </a:ln>
            <a:effectLst/>
          </c:spPr>
          <c:marker>
            <c:symbol val="none"/>
          </c:marker>
          <c:cat>
            <c:strRef>
              <c:f>'Average Price by Year'!$A$4:$A$16</c:f>
              <c:strCache>
                <c:ptCount val="12"/>
                <c:pt idx="0">
                  <c:v>2009</c:v>
                </c:pt>
                <c:pt idx="1">
                  <c:v>2010</c:v>
                </c:pt>
                <c:pt idx="2">
                  <c:v>2011</c:v>
                </c:pt>
                <c:pt idx="3">
                  <c:v>2012</c:v>
                </c:pt>
                <c:pt idx="4">
                  <c:v>2013</c:v>
                </c:pt>
                <c:pt idx="5">
                  <c:v>2014</c:v>
                </c:pt>
                <c:pt idx="6">
                  <c:v>2015</c:v>
                </c:pt>
                <c:pt idx="7">
                  <c:v>2016</c:v>
                </c:pt>
                <c:pt idx="8">
                  <c:v>2017</c:v>
                </c:pt>
                <c:pt idx="9">
                  <c:v>2018</c:v>
                </c:pt>
                <c:pt idx="10">
                  <c:v>2019</c:v>
                </c:pt>
                <c:pt idx="11">
                  <c:v>(blank)</c:v>
                </c:pt>
              </c:strCache>
            </c:strRef>
          </c:cat>
          <c:val>
            <c:numRef>
              <c:f>'Average Price by Year'!$B$4:$B$16</c:f>
              <c:numCache>
                <c:formatCode>General</c:formatCode>
                <c:ptCount val="12"/>
                <c:pt idx="0">
                  <c:v>15.4</c:v>
                </c:pt>
                <c:pt idx="1">
                  <c:v>13.48</c:v>
                </c:pt>
                <c:pt idx="2">
                  <c:v>15.1</c:v>
                </c:pt>
                <c:pt idx="3">
                  <c:v>15.3</c:v>
                </c:pt>
                <c:pt idx="4">
                  <c:v>14.6</c:v>
                </c:pt>
                <c:pt idx="5">
                  <c:v>14.64</c:v>
                </c:pt>
                <c:pt idx="6">
                  <c:v>10.42</c:v>
                </c:pt>
                <c:pt idx="7">
                  <c:v>13.18</c:v>
                </c:pt>
                <c:pt idx="8">
                  <c:v>11.38</c:v>
                </c:pt>
                <c:pt idx="9">
                  <c:v>10.52</c:v>
                </c:pt>
                <c:pt idx="10">
                  <c:v>10.08</c:v>
                </c:pt>
              </c:numCache>
            </c:numRef>
          </c:val>
          <c:smooth val="0"/>
          <c:extLst>
            <c:ext xmlns:c16="http://schemas.microsoft.com/office/drawing/2014/chart" uri="{C3380CC4-5D6E-409C-BE32-E72D297353CC}">
              <c16:uniqueId val="{00000000-2D9A-4202-B16C-F11E3948EB2F}"/>
            </c:ext>
          </c:extLst>
        </c:ser>
        <c:dLbls>
          <c:showLegendKey val="0"/>
          <c:showVal val="0"/>
          <c:showCatName val="0"/>
          <c:showSerName val="0"/>
          <c:showPercent val="0"/>
          <c:showBubbleSize val="0"/>
        </c:dLbls>
        <c:smooth val="0"/>
        <c:axId val="1105331800"/>
        <c:axId val="1105332880"/>
      </c:lineChart>
      <c:catAx>
        <c:axId val="1105331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332880"/>
        <c:crosses val="autoZero"/>
        <c:auto val="1"/>
        <c:lblAlgn val="ctr"/>
        <c:lblOffset val="100"/>
        <c:noMultiLvlLbl val="0"/>
      </c:catAx>
      <c:valAx>
        <c:axId val="1105332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331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586740</xdr:colOff>
      <xdr:row>13</xdr:row>
      <xdr:rowOff>137160</xdr:rowOff>
    </xdr:from>
    <xdr:to>
      <xdr:col>7</xdr:col>
      <xdr:colOff>655320</xdr:colOff>
      <xdr:row>25</xdr:row>
      <xdr:rowOff>7620</xdr:rowOff>
    </xdr:to>
    <xdr:graphicFrame macro="">
      <xdr:nvGraphicFramePr>
        <xdr:cNvPr id="3" name="Chart 2">
          <a:extLst>
            <a:ext uri="{FF2B5EF4-FFF2-40B4-BE49-F238E27FC236}">
              <a16:creationId xmlns:a16="http://schemas.microsoft.com/office/drawing/2014/main" id="{654D6ECA-BC0A-40E1-B424-4DBFC6844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14</xdr:row>
      <xdr:rowOff>0</xdr:rowOff>
    </xdr:from>
    <xdr:to>
      <xdr:col>13</xdr:col>
      <xdr:colOff>601980</xdr:colOff>
      <xdr:row>25</xdr:row>
      <xdr:rowOff>0</xdr:rowOff>
    </xdr:to>
    <xdr:graphicFrame macro="">
      <xdr:nvGraphicFramePr>
        <xdr:cNvPr id="5" name="Chart 4">
          <a:extLst>
            <a:ext uri="{FF2B5EF4-FFF2-40B4-BE49-F238E27FC236}">
              <a16:creationId xmlns:a16="http://schemas.microsoft.com/office/drawing/2014/main" id="{5FA44EC2-B4EB-478E-9A51-81F0D4EAB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594360</xdr:colOff>
      <xdr:row>3</xdr:row>
      <xdr:rowOff>7620</xdr:rowOff>
    </xdr:from>
    <xdr:to>
      <xdr:col>7</xdr:col>
      <xdr:colOff>655320</xdr:colOff>
      <xdr:row>13</xdr:row>
      <xdr:rowOff>160020</xdr:rowOff>
    </xdr:to>
    <xdr:graphicFrame macro="">
      <xdr:nvGraphicFramePr>
        <xdr:cNvPr id="8" name="Chart 7">
          <a:extLst>
            <a:ext uri="{FF2B5EF4-FFF2-40B4-BE49-F238E27FC236}">
              <a16:creationId xmlns:a16="http://schemas.microsoft.com/office/drawing/2014/main" id="{B24E0249-EAF6-4894-A4D6-DE9D1E10D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3</xdr:row>
      <xdr:rowOff>22860</xdr:rowOff>
    </xdr:from>
    <xdr:to>
      <xdr:col>13</xdr:col>
      <xdr:colOff>601980</xdr:colOff>
      <xdr:row>14</xdr:row>
      <xdr:rowOff>30480</xdr:rowOff>
    </xdr:to>
    <xdr:graphicFrame macro="">
      <xdr:nvGraphicFramePr>
        <xdr:cNvPr id="9" name="Chart 8">
          <a:extLst>
            <a:ext uri="{FF2B5EF4-FFF2-40B4-BE49-F238E27FC236}">
              <a16:creationId xmlns:a16="http://schemas.microsoft.com/office/drawing/2014/main" id="{427F727A-B417-4ADB-BF0D-D3482111F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617220</xdr:colOff>
      <xdr:row>3</xdr:row>
      <xdr:rowOff>15240</xdr:rowOff>
    </xdr:from>
    <xdr:to>
      <xdr:col>19</xdr:col>
      <xdr:colOff>510540</xdr:colOff>
      <xdr:row>24</xdr:row>
      <xdr:rowOff>168287</xdr:rowOff>
    </xdr:to>
    <xdr:graphicFrame macro="">
      <xdr:nvGraphicFramePr>
        <xdr:cNvPr id="11" name="Chart 10">
          <a:extLst>
            <a:ext uri="{FF2B5EF4-FFF2-40B4-BE49-F238E27FC236}">
              <a16:creationId xmlns:a16="http://schemas.microsoft.com/office/drawing/2014/main" id="{BD45504D-B5A4-4993-A2B6-25AE9B531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14</xdr:row>
      <xdr:rowOff>121920</xdr:rowOff>
    </xdr:from>
    <xdr:to>
      <xdr:col>2</xdr:col>
      <xdr:colOff>464820</xdr:colOff>
      <xdr:row>25</xdr:row>
      <xdr:rowOff>91439</xdr:rowOff>
    </xdr:to>
    <mc:AlternateContent xmlns:mc="http://schemas.openxmlformats.org/markup-compatibility/2006">
      <mc:Choice xmlns:a14="http://schemas.microsoft.com/office/drawing/2010/main" Requires="a14">
        <xdr:graphicFrame macro="">
          <xdr:nvGraphicFramePr>
            <xdr:cNvPr id="14" name="year">
              <a:extLst>
                <a:ext uri="{FF2B5EF4-FFF2-40B4-BE49-F238E27FC236}">
                  <a16:creationId xmlns:a16="http://schemas.microsoft.com/office/drawing/2014/main" id="{F8A3D6A1-E2C9-6DCC-D4EB-E53A6A3E807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0" y="2971800"/>
              <a:ext cx="1805940" cy="189737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160021</xdr:rowOff>
    </xdr:from>
    <xdr:to>
      <xdr:col>2</xdr:col>
      <xdr:colOff>464820</xdr:colOff>
      <xdr:row>14</xdr:row>
      <xdr:rowOff>83821</xdr:rowOff>
    </xdr:to>
    <mc:AlternateContent xmlns:mc="http://schemas.openxmlformats.org/markup-compatibility/2006">
      <mc:Choice xmlns:a14="http://schemas.microsoft.com/office/drawing/2010/main" Requires="a14">
        <xdr:graphicFrame macro="">
          <xdr:nvGraphicFramePr>
            <xdr:cNvPr id="15" name="rating_category">
              <a:extLst>
                <a:ext uri="{FF2B5EF4-FFF2-40B4-BE49-F238E27FC236}">
                  <a16:creationId xmlns:a16="http://schemas.microsoft.com/office/drawing/2014/main" id="{D18C5DC9-1054-FEFE-9E67-473AFE6BEB96}"/>
                </a:ext>
              </a:extLst>
            </xdr:cNvPr>
            <xdr:cNvGraphicFramePr/>
          </xdr:nvGraphicFramePr>
          <xdr:xfrm>
            <a:off x="0" y="0"/>
            <a:ext cx="0" cy="0"/>
          </xdr:xfrm>
          <a:graphic>
            <a:graphicData uri="http://schemas.microsoft.com/office/drawing/2010/slicer">
              <sle:slicer xmlns:sle="http://schemas.microsoft.com/office/drawing/2010/slicer" name="rating_category"/>
            </a:graphicData>
          </a:graphic>
        </xdr:graphicFrame>
      </mc:Choice>
      <mc:Fallback>
        <xdr:sp macro="" textlink="">
          <xdr:nvSpPr>
            <xdr:cNvPr id="0" name=""/>
            <xdr:cNvSpPr>
              <a:spLocks noTextEdit="1"/>
            </xdr:cNvSpPr>
          </xdr:nvSpPr>
          <xdr:spPr>
            <a:xfrm>
              <a:off x="0" y="1958341"/>
              <a:ext cx="1805940" cy="97536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175261</xdr:rowOff>
    </xdr:from>
    <xdr:to>
      <xdr:col>2</xdr:col>
      <xdr:colOff>464820</xdr:colOff>
      <xdr:row>8</xdr:row>
      <xdr:rowOff>121921</xdr:rowOff>
    </xdr:to>
    <mc:AlternateContent xmlns:mc="http://schemas.openxmlformats.org/markup-compatibility/2006">
      <mc:Choice xmlns:a14="http://schemas.microsoft.com/office/drawing/2010/main" Requires="a14">
        <xdr:graphicFrame macro="">
          <xdr:nvGraphicFramePr>
            <xdr:cNvPr id="16" name="price_category">
              <a:extLst>
                <a:ext uri="{FF2B5EF4-FFF2-40B4-BE49-F238E27FC236}">
                  <a16:creationId xmlns:a16="http://schemas.microsoft.com/office/drawing/2014/main" id="{59B8F465-7C08-8FBD-5692-B1800465F7FF}"/>
                </a:ext>
              </a:extLst>
            </xdr:cNvPr>
            <xdr:cNvGraphicFramePr/>
          </xdr:nvGraphicFramePr>
          <xdr:xfrm>
            <a:off x="0" y="0"/>
            <a:ext cx="0" cy="0"/>
          </xdr:xfrm>
          <a:graphic>
            <a:graphicData uri="http://schemas.microsoft.com/office/drawing/2010/slicer">
              <sle:slicer xmlns:sle="http://schemas.microsoft.com/office/drawing/2010/slicer" name="price_category"/>
            </a:graphicData>
          </a:graphic>
        </xdr:graphicFrame>
      </mc:Choice>
      <mc:Fallback>
        <xdr:sp macro="" textlink="">
          <xdr:nvSpPr>
            <xdr:cNvPr id="0" name=""/>
            <xdr:cNvSpPr>
              <a:spLocks noTextEdit="1"/>
            </xdr:cNvSpPr>
          </xdr:nvSpPr>
          <xdr:spPr>
            <a:xfrm>
              <a:off x="0" y="922021"/>
              <a:ext cx="1805940" cy="99822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182880</xdr:colOff>
      <xdr:row>6</xdr:row>
      <xdr:rowOff>41910</xdr:rowOff>
    </xdr:from>
    <xdr:to>
      <xdr:col>11</xdr:col>
      <xdr:colOff>487680</xdr:colOff>
      <xdr:row>21</xdr:row>
      <xdr:rowOff>41910</xdr:rowOff>
    </xdr:to>
    <xdr:graphicFrame macro="">
      <xdr:nvGraphicFramePr>
        <xdr:cNvPr id="2" name="Chart 1">
          <a:extLst>
            <a:ext uri="{FF2B5EF4-FFF2-40B4-BE49-F238E27FC236}">
              <a16:creationId xmlns:a16="http://schemas.microsoft.com/office/drawing/2014/main" id="{A79C0D40-1B71-FEA6-42A9-EEBB80AF2F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30480</xdr:colOff>
      <xdr:row>4</xdr:row>
      <xdr:rowOff>19050</xdr:rowOff>
    </xdr:from>
    <xdr:to>
      <xdr:col>11</xdr:col>
      <xdr:colOff>335280</xdr:colOff>
      <xdr:row>19</xdr:row>
      <xdr:rowOff>19050</xdr:rowOff>
    </xdr:to>
    <xdr:graphicFrame macro="">
      <xdr:nvGraphicFramePr>
        <xdr:cNvPr id="3" name="Chart 2">
          <a:extLst>
            <a:ext uri="{FF2B5EF4-FFF2-40B4-BE49-F238E27FC236}">
              <a16:creationId xmlns:a16="http://schemas.microsoft.com/office/drawing/2014/main" id="{DD98E5B5-C1B6-E031-277F-6CDA974DCC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83820</xdr:colOff>
      <xdr:row>6</xdr:row>
      <xdr:rowOff>41910</xdr:rowOff>
    </xdr:from>
    <xdr:to>
      <xdr:col>11</xdr:col>
      <xdr:colOff>388620</xdr:colOff>
      <xdr:row>21</xdr:row>
      <xdr:rowOff>41910</xdr:rowOff>
    </xdr:to>
    <xdr:graphicFrame macro="">
      <xdr:nvGraphicFramePr>
        <xdr:cNvPr id="2" name="Chart 1">
          <a:extLst>
            <a:ext uri="{FF2B5EF4-FFF2-40B4-BE49-F238E27FC236}">
              <a16:creationId xmlns:a16="http://schemas.microsoft.com/office/drawing/2014/main" id="{BFFB6E4D-2FEB-4158-D3C4-9BAD17926B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541020</xdr:colOff>
      <xdr:row>0</xdr:row>
      <xdr:rowOff>152400</xdr:rowOff>
    </xdr:from>
    <xdr:to>
      <xdr:col>10</xdr:col>
      <xdr:colOff>297180</xdr:colOff>
      <xdr:row>18</xdr:row>
      <xdr:rowOff>167640</xdr:rowOff>
    </xdr:to>
    <xdr:graphicFrame macro="">
      <xdr:nvGraphicFramePr>
        <xdr:cNvPr id="2" name="Chart 1">
          <a:extLst>
            <a:ext uri="{FF2B5EF4-FFF2-40B4-BE49-F238E27FC236}">
              <a16:creationId xmlns:a16="http://schemas.microsoft.com/office/drawing/2014/main" id="{CFC959F9-0212-9DB3-BE32-29EAEBA49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556260</xdr:colOff>
      <xdr:row>6</xdr:row>
      <xdr:rowOff>41910</xdr:rowOff>
    </xdr:from>
    <xdr:to>
      <xdr:col>11</xdr:col>
      <xdr:colOff>251460</xdr:colOff>
      <xdr:row>21</xdr:row>
      <xdr:rowOff>41910</xdr:rowOff>
    </xdr:to>
    <xdr:graphicFrame macro="">
      <xdr:nvGraphicFramePr>
        <xdr:cNvPr id="2" name="Chart 1">
          <a:extLst>
            <a:ext uri="{FF2B5EF4-FFF2-40B4-BE49-F238E27FC236}">
              <a16:creationId xmlns:a16="http://schemas.microsoft.com/office/drawing/2014/main" id="{B1773308-99BE-58F7-EBA0-EC53EDA7DA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83820</xdr:colOff>
      <xdr:row>6</xdr:row>
      <xdr:rowOff>41910</xdr:rowOff>
    </xdr:from>
    <xdr:to>
      <xdr:col>11</xdr:col>
      <xdr:colOff>388620</xdr:colOff>
      <xdr:row>21</xdr:row>
      <xdr:rowOff>41910</xdr:rowOff>
    </xdr:to>
    <xdr:graphicFrame macro="">
      <xdr:nvGraphicFramePr>
        <xdr:cNvPr id="2" name="Chart 1">
          <a:extLst>
            <a:ext uri="{FF2B5EF4-FFF2-40B4-BE49-F238E27FC236}">
              <a16:creationId xmlns:a16="http://schemas.microsoft.com/office/drawing/2014/main" id="{A1D77208-D015-B025-031D-4ADE186449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ner" refreshedDate="46122.3341" createdVersion="8" refreshedVersion="8" minRefreshableVersion="3" recordCount="551" xr:uid="{0511B8CC-983B-4A18-BC95-CA389D339F90}">
  <cacheSource type="worksheet">
    <worksheetSource ref="A1:K1048576" sheet="amazon_books_cleaned"/>
  </cacheSource>
  <cacheFields count="11">
    <cacheField name="name" numFmtId="0">
      <sharedItems containsBlank="1" count="351">
        <s v="Cabin Fever (Diary of a Wimpy Kid, Book 6)"/>
        <s v="Diary of a Wimpy Kid: Hard Luck, Book 8"/>
        <s v="Frozen (Little Golden Book)"/>
        <s v="JOURNEY TO THE ICE P"/>
        <s v="Little Blue Truck"/>
        <s v="The Constitution of the United States"/>
        <s v="The Getaway"/>
        <s v="The Short Second Life of Bree Tanner: An Eclipse Novella (The Twilight Saga)"/>
        <s v="To Kill a Mockingbird"/>
        <s v="Eat This Not That! Supermarket Survival Guide: The No-Diet Weight Loss Solution"/>
        <s v="A Patriot's History of the United States: From Columbus's Great Discovery to the War on Terror"/>
        <s v="Fear: Trump in the White House"/>
        <s v="Percy Jackson and the Olympians Paperback Boxed Set (Books 1-3)"/>
        <s v="The Girl with the Dragon Tattoo (Millennium Series)"/>
        <s v="A Higher Loyalty: Truth, Lies, and Leadership"/>
        <s v="Adult Coloring Book Designs: Stress Relief Coloring Book: Garden Designs, Mandalas, Animals, and Paisley Patterns"/>
        <s v="Calm the F*ck Down: An Irreverent Adult Coloring Book (Irreverent Book Series)"/>
        <s v="Creative Haven Creative Cats Coloring Book (Adult Coloring)"/>
        <s v="Dead And Gone: A Sookie Stackhouse Novel (Sookie Stackhouse/True Blood)"/>
        <s v="Dead Reckoning (Sookie Stackhouse/True Blood, Book 11)"/>
        <s v="Dog Man: Brawl of the Wild: From the Creator of Captain Underpants (Dog Man #6)"/>
        <s v="First 100 Words"/>
        <s v="Giraffes Can't Dance"/>
        <s v="Have a Little Faith: A True Story"/>
        <s v="If Animals Kissed Good Night"/>
        <s v="Knock-Knock Jokes for Kids"/>
        <s v="Laugh-Out-Loud Jokes for Kids"/>
        <s v="Puppy Birthday to You! (Paw Patrol) (Little Golden Book)"/>
        <s v="The Wonky Donkey"/>
        <s v="Unicorn Coloring Book: For Kids Ages 4-8 (US Edition) (Silly Bear Coloring Books)"/>
        <s v="A Wrinkle in Time (Time Quintet)"/>
        <s v="Arguing with Idiots: How to Stop Small Minds and Big Government"/>
        <s v="Baby Touch and Feel: Animals"/>
        <s v="Brown Bear, Brown Bear, What Do You See?"/>
        <s v="Creative Haven Owls Coloring Book (Adult Coloring)"/>
        <s v="Dear Zoo: A Lift-the-Flap Book"/>
        <s v="Difficult Riddles For Smart Kids: 300 Difficult Riddles And Brain Teasers Families Will Love (Books for Smart Kids)"/>
        <s v="Dover Creative Haven Art Nouveau Animal Designs Coloring Book (Creative Haven Coloring Books)"/>
        <s v="Game of Thrones Boxed Set: A Game of Thrones/A Clash of Kings/A Storm of Swords/A Feast for Crows"/>
        <s v="Goodnight Moon"/>
        <s v="Killing Reagan: The Violent Assault That Changed a Presidency (Bill O'Reilly's Killing Series)"/>
        <s v="Love You Forever"/>
        <s v="P is for Potty! (Sesame Street) (Lift-the-Flap)"/>
        <s v="The Going-To-Bed Book"/>
        <s v="The Magnolia Story"/>
        <s v="The Pout-Pout Fish"/>
        <s v="The Very Hungry Caterpillar"/>
        <s v="Ultimate Sticker Book: Frozen: More Than 60 Reusable Full-Color Stickers"/>
        <s v="1984 (Signet Classics)"/>
        <s v="Adult Coloring Book: Stress Relieving Animal Designs"/>
        <s v="Adult Coloring Book: Stress Relieving Patterns"/>
        <s v="Divergent / Insurgent"/>
        <s v="Divine Soul Mind Body Healing and Transmission System: The Divine Way to Heal You, Humanity, Mother Earth, and Allâ€¦"/>
        <s v="Dog Man and Cat Kid: From the Creator of Captain Underpants (Dog Man #4)"/>
        <s v="Dog Man: Lord of the Fleas: From the Creator of Captain Underpants (Dog Man #5)"/>
        <s v="Fire and Fury: Inside the Trump White House"/>
        <s v="Going Rogue: An American Life"/>
        <s v="Good Days Start With Gratitude: A 52 Week Guide To Cultivate An Attitude Of Gratitude: Gratitude Journal"/>
        <s v="Killing Patton: The Strange Death of World War II's Most Audacious General (Bill O'Reilly's Killing Series)"/>
        <s v="Killing the Rising Sun: How America Vanquished World War II Japan (Bill O'Reilly's Killing Series)"/>
        <s v="Lettering and Modern Calligraphy: A Beginner's Guide: Learn Hand Lettering and Brush Lettering"/>
        <s v="Milk and Vine: Inspirational Quotes From Classic Vines"/>
        <s v="School Zone - Big Preschool Workbook - Ages 4 and Up, Colors, Shapes, Numbers 1-10, Alphabet, Pre-Writing, Pre-Readingâ€¦"/>
        <s v="Shred: The Revolutionary Diet: 6 Weeks 4 Inches 2 Sizes"/>
        <s v="Strange Planet (Strange Planet Series)"/>
        <s v="The Book Thief"/>
        <s v="The Complete Ketogenic Diet for Beginners: Your Essential Guide to Living the Keto Lifestyle"/>
        <s v="The Five Dysfunctions of a Team: A Leadership Fable"/>
        <s v="The Four Agreements: A Practical Guide to Personal Freedom (A Toltec Wisdom Book)"/>
        <s v="The Help"/>
        <s v="The Time Traveler's Wife"/>
        <s v="Wheat Belly: Lose the Wheat, Lose the Weight, and Find Your Path Back to Health"/>
        <s v="Eclipse (Twilight Sagas)"/>
        <s v="Fifty Shades Darker"/>
        <s v="Goodnight, Goodnight Construction Site (Hardcover Books for Toddlers, Preschool Books for Kids)"/>
        <s v="Guts"/>
        <s v="I Am Confident, Brave &amp; Beautiful: A Coloring Book for Girls"/>
        <s v="I, Alex Cross"/>
        <s v="Looking for Alaska"/>
        <s v="Old School (Diary of a Wimpy Kid #10)"/>
        <s v="Quiet: The Power of Introverts in a World That Can't Stop Talking"/>
        <s v="The Fault in Our Stars"/>
        <s v="The Girl on the Train"/>
        <s v="The Great Gatsby"/>
        <s v="The Handmaid's Tale"/>
        <s v="The Instant Pot Electric Pressure Cooker Cookbook: Easy Recipes for Fast &amp; Healthy Meals"/>
        <s v="The Last Olympian (Percy Jackson and the Olympians, Book 5)"/>
        <s v="The Third Wheel (Diary of a Wimpy Kid, Book 7)"/>
        <s v="10-Day Green Smoothie Cleanse"/>
        <s v="A Man Called Ove: A Novel"/>
        <s v="Adult Coloring Books: A Coloring Book for Adults Featuring Mandalas and Henna Inspired Flowers, Animals, and Paisleyâ€¦"/>
        <s v="Broke: The Plan to Restore Our Trust, Truth and Treasure"/>
        <s v="Crazy Rich Asians (Crazy Rich Asians Trilogy)"/>
        <s v="Dead in the Family (Sookie Stackhouse/True Blood, Book 10)"/>
        <s v="Dog Man: A Tale of Two Kitties: From the Creator of Captain Underpants (Dog Man #3)"/>
        <s v="Dog Man: Fetch-22: From the Creator of Captain Underpants (Dog Man #8)"/>
        <s v="Dog Man: For Whom the Ball Rolls: From the Creator of Captain Underpants (Dog Man #7)"/>
        <s v="Fahrenheit 451"/>
        <s v="Jesus Calling: Enjoying Peace in His Presence (with Scripture References)"/>
        <s v="Kitchen Confidential Updated Edition: Adventures in the Culinary Underbelly (P.S.)"/>
        <s v="Milk and Honey"/>
        <s v="Mockingjay (The Hunger Games)"/>
        <s v="Oh, the Places You'll Go!"/>
        <s v="The 5 Love Languages: The Secret to Love that Lasts"/>
        <s v="The Book with No Pictures"/>
        <s v="The Hunger Games (Book 1)"/>
        <s v="The Maze Runner (Book 1)"/>
        <s v="The Meltdown (Diary of a Wimpy Kid Book 13)"/>
        <s v="The Shack: Where Tragedy Confronts Eternity"/>
        <s v="Wrecking Ball (Diary of a Wimpy Kid Book 14)"/>
        <s v="You Are a Badass: How to Stop Doubting Your Greatness and Start Living an Awesome Life"/>
        <s v="American Sniper: The Autobiography of the Most Lethal Sniper in U.S. Military History"/>
        <s v="Astrophysics for People in a Hurry"/>
        <s v="Eat to Live: The Amazing Nutrient-Rich Program for Fast and Sustained Weight Loss, Revised Edition"/>
        <s v="Enchanted Forest: An Inky Quest and Coloring book (Activity Books, Mindfulness and Meditation, Illustrated Floral Printsâ€¦"/>
        <s v="Food Rules: An Eater's Manual"/>
        <s v="Game Change: Obama and the Clintons, McCain and Palin, and the Race of a Lifetime"/>
        <s v="Go the F**k to Sleep"/>
        <s v="Gone Girl"/>
        <s v="Harry Potter Coloring Book"/>
        <s v="If I Stay"/>
        <s v="Night (Night)"/>
        <s v="Option B: Facing Adversity, Building Resilience, and Finding Joy"/>
        <s v="PokÃ©mon Deluxe Essential Handbook: The Need-to-Know Stats and Facts on Over 700 PokÃ©mon"/>
        <s v="Radical: Taking Back Your Faith from the American Dream"/>
        <s v="Secret Garden: An Inky Treasure Hunt and Coloring Book (For Adults, mindfulness coloring)"/>
        <s v="The Amateur"/>
        <s v="The Day the Crayons Quit"/>
        <s v="The Five Love Languages: How to Express Heartfelt Commitment to Your Mate"/>
        <s v="The Girl Who Played with Fire (Millennium Series)"/>
        <s v="The Immortal Life of Henrietta Lacks"/>
        <s v="The Last Lecture"/>
        <s v="The Martian"/>
        <s v="The Sun and Her Flowers"/>
        <s v="The Tipping Point: How Little Things Can Make a Big Difference"/>
        <s v="Thirteen Reasons Why"/>
        <s v="Twilight (The Twilight Saga, Book 1)"/>
        <s v="Uninvited: Living Loved When You Feel Less Than, Left Out, and Lonely"/>
        <s v="What to Expect When You're Expecting"/>
        <s v="Wonder"/>
        <s v="Daring Greatly: How the Courage to Be Vulnerable Transforms the Way We Live, Love, Parent, and Lead"/>
        <s v="Grain Brain: The Surprising Truth about Wheat, Carbs, and Sugar--Your Brain's Silent Killers"/>
        <s v="Heaven is for Real: A Little Boy's Astounding Story of His Trip to Heaven and Back"/>
        <s v="Killing Lincoln: The Shocking Assassination that Changed America Forever (Bill O'Reilly's Killing Series)"/>
        <s v="Little Bee: A Novel"/>
        <s v="Mindset: The New Psychology of Success"/>
        <s v="New Moon (The Twilight Saga)"/>
        <s v="Proof of Heaven: A Neurosurgeon's Journey into the Afterlife"/>
        <s v="Sarah's Key"/>
        <s v="The Art of Racing in the Rain: A Novel"/>
        <s v="The Guernsey Literary and Potato Peel Pie Society"/>
        <s v="The Mark of Athena (Heroes of Olympus, Book 3)"/>
        <s v="The Son of Neptune (Heroes of Olympus, Book 2)"/>
        <s v="The Throne of Fire (The Kane Chronicles, Book 2)"/>
        <s v="The Total Money Makeover: Classic Edition: A Proven Plan for Financial Fitness"/>
        <s v="The Unofficial Harry Potter Cookbook: From Cauldron Cakes to Knickerbocker Glory--More Than 150 Magical Recipes forâ€¦"/>
        <s v="The Wonderful Things You Will Be"/>
        <s v="A Dance with Dragons (A Song of Ice and Fire)"/>
        <s v="Balance (Angie's Extreme Stress Menders)"/>
        <s v="Becoming"/>
        <s v="Catching Fire (The Hunger Games)"/>
        <s v="Cutting for Stone"/>
        <s v="Fifty Shades Freed: Book Three of the Fifty Shades Trilogy (Fifty Shades of Grey Series) (English Edition)"/>
        <s v="Glenn Beck's Common Sense: The Case Against an Out-of-Control Government, Inspired by Thomas Paine"/>
        <s v="Happy, Happy, Happy: My Life and Legacy as the Duck Commander"/>
        <s v="How to Win Friends &amp; Influence People"/>
        <s v="Make Your Bed: Little Things That Can Change Your Life...And Maybe the World"/>
        <s v="National Geographic Little Kids First Big Book of Why (National Geographic Little Kids First Big Books)"/>
        <s v="Orphan Train"/>
        <s v="Sh*t My Dad Says"/>
        <s v="The Blood of Olympus (The Heroes of Olympus (5))"/>
        <s v="The Daily Show with Jon Stewart Presents Earth (The Book): A Visitor's Guide to the Human Race"/>
        <s v="The Elegance of the Hedgehog"/>
        <s v="The Hate U Give"/>
        <s v="The Life-Changing Magic of Tidying Up: The Japanese Art of Decluttering and Organizing"/>
        <s v="The Nightingale: A Novel"/>
        <s v="Three Cups of Tea: One Man's Mission to Promote Peace - One School at a Time"/>
        <s v="Unfreedom of the Press"/>
        <s v="Women Food and God: An Unexpected Path to Almost Everything"/>
        <s v="5,000 Awesome Facts (About Everything!) (National Geographic Kids)"/>
        <s v="Dog Days (Diary of a Wimpy Kid, Book 4) (Volume 4)"/>
        <s v="Girl, Stop Apologizing: A Shame-Free Plan for Embracing and Achieving Your Goals"/>
        <s v="Girl, Wash Your Face: Stop Believing the Lies About Who You Are So You Can Become Who You Were Meant to Be"/>
        <s v="Harry Potter and the Cursed Child, Parts 1 &amp; 2, Special Rehearsal Edition Script"/>
        <s v="It's Not Supposed to Be This Way: Finding Unexpected Strength When Disappointments Leave You Shattered"/>
        <s v="Joyland (Hard Case Crime)"/>
        <s v="Killing Jesus (Bill O'Reilly's Killing Series)"/>
        <s v="Little Fires Everywhere"/>
        <s v="Olive Kitteridge"/>
        <s v="Ready Player One: A Novel"/>
        <s v="Rush Revere and the Brave Pilgrims: Time-Travel Adventures with Exceptional Americans (1)"/>
        <s v="Rush Revere and the First Patriots: Time-Travel Adventures With Exceptional Americans (2)"/>
        <s v="The 5000 Year Leap"/>
        <s v="The Body Keeps the Score: Brain, Mind, and Body in the Healing of Trauma"/>
        <s v="The Boys in the Boat: Nine Americans and Their Epic Quest for Gold at the 1936 Berlin Olympics"/>
        <s v="The Casual Vacancy"/>
        <s v="The Mueller Report"/>
        <s v="The Red Pyramid (The Kane Chronicles, Book 1)"/>
        <s v="The Serpent's Shadow (The Kane Chronicles, Book 3)"/>
        <s v="The Ugly Truth (Diary of a Wimpy Kid, Book 5)"/>
        <s v="Tina Fey: Bossypants"/>
        <s v="Water for Elephants: A Novel"/>
        <s v="Whose Boat Is This Boat?: Comments That Don't Help in the Aftermath of a Hurricane"/>
        <s v="Alexander Hamilton"/>
        <s v="Allegiant"/>
        <s v="And the Mountains Echoed"/>
        <s v="Between the World and Me"/>
        <s v="Breaking Dawn (The Twilight Saga, Book 4)"/>
        <s v="David and Goliath: Underdogs, Misfits, and the Art of Battling Giants"/>
        <s v="Doctor Sleep: A Novel"/>
        <s v="Instant Pot Pressure Cooker Cookbook: 500 Everyday Recipes for Beginners and Advanced Users. Try Easy and Healthyâ€¦"/>
        <s v="Last Week Tonight with John Oliver Presents A Day in the Life of Marlon Bundo (Better Bundo Book, LGBT ChildrenÂ’s Book)"/>
        <s v="Lean In: Women, Work, and the Will to Lead"/>
        <s v="Love Wins: A Book About Heaven, Hell, and the Fate of Every Person Who Ever Lived"/>
        <s v="One Thousand Gifts: A Dare to Live Fully Right Where You Are"/>
        <s v="Origin: A Novel (Robert Langdon)"/>
        <s v="Switch: How to Change Things When Change Is Hard"/>
        <s v="The Confession: A Novel"/>
        <s v="The Harbinger: The Ancient Mystery that Holds the Secret of America's Future"/>
        <s v="The Lego Ideas Book: Unlock Your Imagination"/>
        <s v="The Love Dare"/>
        <s v="Unbroken: A World War II Story of Survival, Resilience, and Redemption"/>
        <s v="What Should Danny Do? (The Power to Choose Series)"/>
        <s v="Where the Wild Things Are"/>
        <s v="All the Light We Cannot See"/>
        <s v="Autobiography of Mark Twain, Vol. 1"/>
        <s v="Crazy Love: Overwhelmed by a Relentless God"/>
        <s v="Eat This, Not That! Thousands of Simple Food Swaps that Can Save You 10, 20, 30 Pounds--or More!"/>
        <s v="Fifty Shades of Grey: Book One of the Fifty Shades Trilogy (Fifty Shades of Grey Series)"/>
        <s v="Good to Great: Why Some Companies Make the Leap and Others Don't"/>
        <s v="Grey: Fifty Shades of Grey as Told by Christian (Fifty Shades of Grey Series)"/>
        <s v="Hillbilly Elegy: A Memoir of a Family and Culture in Crisis"/>
        <s v="Inferno"/>
        <s v="No Easy Day: The Autobiography of a Navy Seal: The Firsthand Account of the Mission That Killed Osama Bin Laden"/>
        <s v="The Blood Sugar Solution: The UltraHealthy Program for Losing Weight, Preventing Disease, and Feeling Great Now!"/>
        <s v="The Girl Who Kicked the Hornet's Nest (Millennium Trilogy)"/>
        <s v="The Guardians: A Novel"/>
        <s v="The House of Hades (Heroes of Olympus, Book 4)"/>
        <s v="The Hunger Games"/>
        <s v="The Lost Hero (Heroes of Olympus, Book 1)"/>
        <s v="The Pioneer Woman Cooks: Dinnertime - Comfort Classics, Freezer Food, 16-minute Meals, and Other Delicious Ways to Solveâ€¦"/>
        <s v="The Road to Serfdom: Text and Documents--The Definitive Edition (The Collected Works of F. A. Hayek, Volume 2)"/>
        <s v="The Silent Patient"/>
        <s v="What Pet Should I Get? (Classic Seuss)"/>
        <s v="When Breath Becomes Air"/>
        <s v="12 Rules for Life: An Antidote to Chaos"/>
        <s v="A Gentleman in Moscow: A Novel"/>
        <s v="Being Mortal: Medicine and What Matters in the End"/>
        <s v="Delivering Happiness: A Path to Profits, Passion, and Purpose"/>
        <s v="Diary of a Wimpy Kid: The Last Straw (Book 3)"/>
        <s v="Divergent"/>
        <s v="Educated: A Memoir"/>
        <s v="Fantastic Beasts and Where to Find Them: The Original Screenplay (Harry Potter)"/>
        <s v="Humans of New York"/>
        <s v="Liberty and Tyranny: A Conservative Manifesto"/>
        <s v="The Dukan Diet: 2 Steps to Lose the Weight, 2 Steps to Keep It Off Forever"/>
        <s v="The Subtle Art of Not Giving a F*ck: A Counterintuitive Approach to Living a Good Life"/>
        <s v="Things That Matter: Three Decades of Passions, Pastimes and Politics [Deckled Edge]"/>
        <s v="True Compass: A Memoir"/>
        <s v="Where the Crawdads Sing"/>
        <s v="Winter of the World: Book Two of the Century Trilogy"/>
        <s v="Cravings: Recipes for All the Food You Want to Eat: A Cookbook"/>
        <s v="Drive: The Surprising Truth About What Motivates Us"/>
        <s v="George Washington's Secret Six: The Spy Ring That Saved the American Revolution"/>
        <s v="Howard Stern Comes Again"/>
        <s v="Magnolia Table: A Collection of Recipes for Gathering"/>
        <s v="National Geographic Kids Why?: Over 1,111 Answers to Everything"/>
        <s v="Ship of Fools: How a Selfish Ruling Class Is Bringing America to the Brink of Revolution"/>
        <s v="The 7 Habits of Highly Effective People: Powerful Lessons in Personal Change"/>
        <s v="The Girl Who Played with Fire (Millennium)"/>
        <s v="The Paris Wife: A Novel"/>
        <s v="The Whole30: The 30-Day Guide to Total Health and Food Freedom"/>
        <s v="The Wright Brothers"/>
        <s v="Act Like a Lady, Think Like a Man: What Men Really Think About Love, Relationships, Intimacy, and Commitment"/>
        <s v="Decision Points"/>
        <s v="Humans of New York : Stories"/>
        <s v="Hyperbole and a Half: Unfortunate Situations, Flawed Coping Mechanisms, Mayhem, and Other Things That Happened"/>
        <s v="Killers of the Flower Moon: The Osage Murders and the Birth of the FBI"/>
        <s v="Soul Healing Miracles: Ancient and New Sacred Wisdom, Knowledge, and Practical Techniques for Healing the Spiritualâ€¦"/>
        <s v="StrengthsFinder 2.0"/>
        <s v="The Big Short: Inside the Doomsday Machine"/>
        <s v="The Pioneer Woman Cooks: A Year of Holidays: 140 Step-by-Step Recipes for Simple, Scrumptious Celebrations"/>
        <s v="The Plant Paradox: The Hidden Dangers in &quot;Healthy&quot; Foods That Cause Disease and Weight Gain"/>
        <s v="What If?: Serious Scientific Answers to Absurd Hypothetical Questions"/>
        <s v="Born to Run"/>
        <s v="Can't Hurt Me: Master Your Mind and Defy the Odds"/>
        <s v="Eclipse (Twilight)"/>
        <s v="Harry Potter and the Goblet of Fire: The Illustrated Edition (Harry Potter, Book 4) (4)"/>
        <s v="Life"/>
        <s v="Super Freakonomics: Global Cooling, Patriotic Prostitutes, and Why Suicide Bombers Should Buy Life Insurance"/>
        <s v="Sycamore Row (Jake Brigance)"/>
        <s v="The Litigators"/>
        <s v="The Plant Paradox Cookbook: 100 Delicious Recipes to Help You Lose Weight, Heal Your Gut, and Live Lectin-Free"/>
        <s v="The President Is Missing: A Novel"/>
        <s v="The Racketeer"/>
        <s v="What Happened"/>
        <s v="Wild: From Lost to Found on the Pacific Crest Trail"/>
        <s v="Go Set a Watchman: A Novel"/>
        <s v="The Lost Symbol"/>
        <s v="Thinking, Fast and Slow"/>
        <s v="Double Down (Diary of a Wimpy Kid #11)"/>
        <s v="George Washington's Sacred Fire"/>
        <s v="Inheritance: Book IV (Inheritance Cycle)"/>
        <s v="Make It Ahead: A Barefoot Contessa Cookbook"/>
        <s v="Outliers: The Story of Success"/>
        <s v="Salt, Fat, Acid, Heat: Mastering the Elements of Good Cooking"/>
        <s v="Steve Jobs"/>
        <s v="Teach Like a Champion: 49 Techniques that Put Students on the Path to College"/>
        <s v="The Goldfinch: A Novel (Pulitzer Prize for Fiction)"/>
        <s v="The Legend of Zelda: Hyrule Historia"/>
        <s v="Under the Dome: A Novel"/>
        <s v="Barefoot Contessa, How Easy Is That?: Fabulous Recipes &amp; Easy Tips"/>
        <s v="In the Garden of Beasts: Love, Terror, and an American Family in Hitler's Berlin"/>
        <s v="Leonardo da Vinci"/>
        <s v="The 4 Hour Body: An Uncommon Guide to Rapid Fat Loss, Incredible Sex and Becoming Superhuman"/>
        <s v="The China Study: The Most Comprehensive Study of Nutrition Ever Conducted And the Startling Implications for Dietâ€¦"/>
        <s v="The Pioneer Woman Cooks: Food from My Frontier"/>
        <s v="The Power of Habit: Why We Do What We Do in Life and Business"/>
        <s v="Tools of Titans: The Tactics, Routines, and Habits of Billionaires, Icons, and World-Class Performers"/>
        <s v="Towers of Midnight (Wheel of Time, Book Thirteen)"/>
        <s v="11/22/63: A Novel"/>
        <s v="Diary of a Wimpy Kid: The Long Haul"/>
        <s v="Harry Potter and the Sorcerer's Stone: The Illustrated Edition (Harry Potter, Book 1)"/>
        <s v="Homebody: A Guide to Creating Spaces You Never Want to Leave"/>
        <s v="Obama: An Intimate Portrait"/>
        <s v="The 17 Day Diet: A Doctor's Plan Designed for Rapid Results"/>
        <s v="Thomas Jefferson: The Art of Power"/>
        <s v="Thug Kitchen: The Official Cookbook: Eat Like You Give a F*ck (Thug Kitchen Cookbooks)"/>
        <s v="Barefoot Contessa Foolproof: Recipes You Can Trust: A Cookbook"/>
        <s v="Killing Kennedy: The End of Camelot"/>
        <s v="Sookie Stackhouse"/>
        <s v="Mastering the Art of French Cooking, Vol. 2"/>
        <s v="Player's Handbook (Dungeons &amp; Dragons)"/>
        <s v="Capital in the Twenty First Century"/>
        <s v="A Game of Thrones / A Clash of Kings / A Storm of Swords / A Feast of Crows / A Dance with Dragons"/>
        <s v="Harry Potter and the Chamber of Secrets: The Illustrated Edition (Harry Potter, Book 2)"/>
        <s v="Harry Potter and the Prisoner of Azkaban: The Illustrated Edition (Harry Potter, Book 3)"/>
        <s v="The Hunger Games Trilogy Boxed Set (1)"/>
        <s v="A Stolen Life: A Memoir"/>
        <s v="Fifty Shades Trilogy (Fifty Shades of Grey / Fifty Shades Darker / Fifty Shades Freed)"/>
        <s v="The Official SAT Study Guide, 2016 Edition (Official Study Guide for the New Sat)"/>
        <s v="The Alchemist"/>
        <s v="The Official SAT Study Guide"/>
        <s v="Watchmen"/>
        <s v="Publication Manual of the American Psychological Association, 6th Edition"/>
        <s v="Harry Potter Paperback Box Set (Books 1-7)"/>
        <s v="The Book of Basketball: The NBA According to The Sports Guy"/>
        <s v="Hamilton: The Revolution"/>
        <s v="The Twilight Saga Collection"/>
        <s v="Diagnostic and Statistical Manual of Mental Disorders, 5th Edition: DSM-5"/>
        <m/>
      </sharedItems>
    </cacheField>
    <cacheField name="author" numFmtId="0">
      <sharedItems containsBlank="1" count="249">
        <s v="Jeff Kinney"/>
        <s v="RH Disney"/>
        <s v="Alice Schertle"/>
        <s v="Delegates of the ConstitutionalÂ…"/>
        <s v="Stephenie Meyer"/>
        <s v="Harper Lee"/>
        <s v="David Zinczenko"/>
        <s v="Larry Schweikart"/>
        <s v="Bob Woodward"/>
        <s v="Rick Riordan"/>
        <s v="Stieg Larsson"/>
        <s v="James Comey"/>
        <s v="Adult Coloring Book Designs"/>
        <s v="Sasha O'Hara"/>
        <s v="Marjorie Sarnat"/>
        <s v="Charlaine Harris"/>
        <s v="Dav Pilkey"/>
        <s v="Roger Priddy"/>
        <s v="Giles Andreae"/>
        <s v="Mitch Albom"/>
        <s v="Ann Whitford Paul"/>
        <s v="Rob Elliott"/>
        <s v="Golden Books"/>
        <s v="Craig Smith"/>
        <s v="Silly Bear"/>
        <s v="Madeleine L'Engle"/>
        <s v="Glenn Beck"/>
        <s v="DK"/>
        <s v="Bill Martin Jr."/>
        <s v="Rod Campbell"/>
        <s v="M Prefontaine"/>
        <s v="Marty Noble"/>
        <s v="George R.R. Martin"/>
        <s v="Margaret Wise Brown"/>
        <s v="Bill O'Reilly"/>
        <s v="Robert Munsch"/>
        <s v="Naomi Kleinberg"/>
        <s v="Sandra Boynton"/>
        <s v="Chip Gaines"/>
        <s v="Deborah Diesen"/>
        <s v="Eric Carle"/>
        <s v="George Orwell"/>
        <s v="Blue Star Coloring"/>
        <s v="Veronica Roth"/>
        <s v="Zhi Gang Sha"/>
        <s v="Michael Wolff"/>
        <s v="Sarah Palin"/>
        <s v="Pretty Simple Press"/>
        <s v="Paper Peony Press"/>
        <s v="Adam Gasiewski"/>
        <s v="School Zone"/>
        <s v="Ian K. Smith M.D."/>
        <s v="Nathan W. Pyle"/>
        <s v="Markus Zusak"/>
        <s v="Amy Ramos"/>
        <s v="Patrick Lencioni"/>
        <s v="Don Miguel Ruiz"/>
        <s v="Kathryn Stockett"/>
        <s v="Audrey Niffenegger"/>
        <s v="William Davis"/>
        <s v="E L James"/>
        <s v="Sherri Duskey Rinker"/>
        <s v="Raina Telgemeier"/>
        <s v="Hopscotch Girls"/>
        <s v="James Patterson"/>
        <s v="John Green"/>
        <s v="Susan Cain"/>
        <s v="Paula Hawkins"/>
        <s v="F. Scott Fitzgerald"/>
        <s v="Margaret Atwood"/>
        <s v="Laurel Randolph"/>
        <s v="JJ Smith"/>
        <s v="Fredrik Backman"/>
        <s v="Coloring Books for Adults"/>
        <s v="Kevin Kwan"/>
        <s v="Ray Bradbury"/>
        <s v="Sarah Young"/>
        <s v="Anthony Bourdain"/>
        <s v="Rupi Kaur"/>
        <s v="Suzanne Collins"/>
        <s v="Dr. Seuss"/>
        <s v="Gary Chapman"/>
        <s v="B. J. Novak"/>
        <s v="James Dashner"/>
        <s v="William P. Young"/>
        <s v="Jen Sincero"/>
        <s v="Chris Kyle"/>
        <s v="Neil deGrasse Tyson"/>
        <s v="Joel Fuhrman MD"/>
        <s v="Johanna Basford"/>
        <s v="Michael Pollan"/>
        <s v="John Heilemann"/>
        <s v="Adam Mansbach"/>
        <s v="Gillian Flynn"/>
        <s v="Scholastic"/>
        <s v="Gayle Forman"/>
        <s v="Elie Wiesel"/>
        <s v="Sheryl Sandberg"/>
        <s v="David Platt"/>
        <s v="Edward Klein"/>
        <s v="Drew Daywalt"/>
        <s v="Rebecca Skloot"/>
        <s v="Randy Pausch"/>
        <s v="Andy Weir"/>
        <s v="Malcolm Gladwell"/>
        <s v="Jay Asher"/>
        <s v="Lysa TerKeurst"/>
        <s v="Heidi Murkoff"/>
        <s v="R. J. Palacio"/>
        <s v="BreneÌ Brown"/>
        <s v="David Perlmutter MD"/>
        <s v="Todd Burpo"/>
        <s v="Chris Cleave"/>
        <s v="Carol S. Dweck"/>
        <s v="Eben Alexander"/>
        <s v="Tatiana de Rosnay"/>
        <s v="Garth Stein"/>
        <s v="Mary Ann Shaffer"/>
        <s v="Dave Ramsey"/>
        <s v="Dinah Bucholz"/>
        <s v="Emily Winfield Martin"/>
        <s v="George R. R. Martin"/>
        <s v="Angie Grace"/>
        <s v="Michelle Obama"/>
        <s v="Abraham Verghese"/>
        <s v="Phil Robertson"/>
        <s v="Dale Carnegie"/>
        <s v="Admiral William H. McRaven"/>
        <s v="Amy Shields"/>
        <s v="Christina Baker Kline"/>
        <s v="Justin Halpern"/>
        <s v="Jon Stewart"/>
        <s v="Muriel Barbery"/>
        <s v="Angie Thomas"/>
        <s v="Marie KondÅ"/>
        <s v="Kristin Hannah"/>
        <s v="Greg Mortenson"/>
        <s v="Mark R. Levin"/>
        <s v="Geneen Roth"/>
        <s v="National Geographic Kids"/>
        <s v="Rachel Hollis"/>
        <s v="J.K. Rowling"/>
        <s v="Stephen King"/>
        <s v="Celeste Ng"/>
        <s v="Elizabeth Strout"/>
        <s v="Ernest Cline"/>
        <s v="Rush Limbaugh"/>
        <s v="W. Cleon Skousen"/>
        <s v="Bessel van der Kolk M.D."/>
        <s v="Daniel James Brown"/>
        <s v="The Washington Post"/>
        <s v="Tina Fey"/>
        <s v="Sara Gruen"/>
        <s v="The Staff of The Late Show withÂ…"/>
        <s v="Ron Chernow"/>
        <s v="Khaled Hosseini"/>
        <s v="Ta-Nehisi Coates"/>
        <s v="Jennifer Smith"/>
        <s v="Jill Twiss"/>
        <s v="Rob Bell"/>
        <s v="Ann Voskamp"/>
        <s v="Dan Brown"/>
        <s v="Chip Heath"/>
        <s v="John Grisham"/>
        <s v="Jonathan Cahn"/>
        <s v="Daniel Lipkowitz"/>
        <s v="Stephen Kendrick"/>
        <s v="Laura Hillenbrand"/>
        <s v="Adir Levy"/>
        <s v="Maurice Sendak"/>
        <s v="Anthony Doerr"/>
        <s v="Mark Twain"/>
        <s v="Francis Chan"/>
        <s v="Jim Collins"/>
        <s v="J. D. Vance"/>
        <s v="Mark Owen"/>
        <s v="Mark Hyman M.D."/>
        <s v="Ree Drummond"/>
        <s v="F. A. Hayek"/>
        <s v="Alex Michaelides"/>
        <s v="Paul Kalanithi"/>
        <s v="Jordan B. Peterson"/>
        <s v="Amor Towles"/>
        <s v="Atul Gawande"/>
        <s v="Tony Hsieh"/>
        <s v="Tara Westover"/>
        <s v="Brandon Stanton"/>
        <s v="Pierre Dukan"/>
        <s v="Mark Manson"/>
        <s v="Charles Krauthammer"/>
        <s v="Edward M. Kennedy"/>
        <s v="Delia Owens"/>
        <s v="Ken Follett"/>
        <s v="Chrissy Teigen"/>
        <s v="Daniel H. Pink"/>
        <s v="Brian Kilmeade"/>
        <s v="Howard Stern"/>
        <s v="Joanna Gaines"/>
        <s v="Crispin Boyer"/>
        <s v="Tucker Carlson"/>
        <s v="Stephen R. Covey"/>
        <s v="Paula McLain"/>
        <s v="Melissa Hartwig Urban"/>
        <s v="David McCullough"/>
        <s v="Steve Harvey"/>
        <s v="George W. Bush"/>
        <s v="Allie Brosh"/>
        <s v="David Grann"/>
        <s v="Gallup"/>
        <s v="Michael Lewis"/>
        <s v="Dr. Steven R Gundry MD"/>
        <s v="Randall Munroe"/>
        <s v="Bruce Springsteen"/>
        <s v="David Goggins"/>
        <s v="J. K. Rowling"/>
        <s v="Keith Richards"/>
        <s v="Steven D. Levitt"/>
        <s v="Hillary Rodham Clinton"/>
        <s v="Cheryl Strayed"/>
        <s v="Daniel Kahneman"/>
        <s v="Peter A. Lillback"/>
        <s v="Christopher Paolini"/>
        <s v="Ina Garten"/>
        <s v="Samin Nosrat"/>
        <s v="Walter Isaacson"/>
        <s v="Doug Lemov"/>
        <s v="Donna Tartt"/>
        <s v="Patrick Thorpe"/>
        <s v="Eric Larson"/>
        <s v="Timothy Ferriss"/>
        <s v="Thomas Campbell"/>
        <s v="Charles Duhigg"/>
        <s v="Robert Jordan"/>
        <s v="Pete Souza"/>
        <s v="Mike Moreno"/>
        <s v="Jon Meacham"/>
        <s v="Thug Kitchen"/>
        <s v="Julia Child"/>
        <s v="Wizards RPG Team"/>
        <s v="Thomas Piketty"/>
        <s v="Jaycee Dugard"/>
        <s v="The College Board"/>
        <s v="Paulo Coelho"/>
        <s v="Alan Moore"/>
        <s v="American Psychological Association"/>
        <s v="Bill Simmons"/>
        <s v="Lin-Manuel Miranda"/>
        <s v="American Psychiatric Association"/>
        <m/>
      </sharedItems>
    </cacheField>
    <cacheField name="user_rating" numFmtId="167">
      <sharedItems containsString="0" containsBlank="1" containsNumber="1" minValue="3.3" maxValue="4.9000000000000004"/>
    </cacheField>
    <cacheField name="reviews" numFmtId="1">
      <sharedItems containsString="0" containsBlank="1" containsNumber="1" containsInteger="1" minValue="37" maxValue="87841"/>
    </cacheField>
    <cacheField name="price" numFmtId="1">
      <sharedItems containsString="0" containsBlank="1" containsNumber="1" containsInteger="1" minValue="0" maxValue="105" count="41">
        <n v="0"/>
        <n v="1"/>
        <n v="2"/>
        <n v="3"/>
        <n v="4"/>
        <n v="5"/>
        <n v="6"/>
        <n v="7"/>
        <n v="8"/>
        <n v="9"/>
        <n v="10"/>
        <n v="11"/>
        <n v="12"/>
        <n v="13"/>
        <n v="14"/>
        <n v="15"/>
        <n v="16"/>
        <n v="17"/>
        <n v="18"/>
        <n v="19"/>
        <n v="20"/>
        <n v="21"/>
        <n v="22"/>
        <n v="23"/>
        <n v="24"/>
        <n v="25"/>
        <n v="27"/>
        <n v="28"/>
        <n v="30"/>
        <n v="32"/>
        <n v="36"/>
        <n v="39"/>
        <n v="40"/>
        <n v="42"/>
        <n v="46"/>
        <n v="52"/>
        <n v="53"/>
        <n v="54"/>
        <n v="82"/>
        <n v="105"/>
        <m/>
      </sharedItems>
    </cacheField>
    <cacheField name="year" numFmtId="0">
      <sharedItems containsString="0" containsBlank="1" containsNumber="1" containsInteger="1" minValue="2009" maxValue="2019" count="12">
        <n v="2011"/>
        <n v="2013"/>
        <n v="2014"/>
        <n v="2016"/>
        <n v="2017"/>
        <n v="2010"/>
        <n v="2015"/>
        <n v="2009"/>
        <n v="2018"/>
        <n v="2019"/>
        <n v="2012"/>
        <m/>
      </sharedItems>
    </cacheField>
    <cacheField name="genre" numFmtId="0">
      <sharedItems containsBlank="1" count="3">
        <s v="Fiction"/>
        <s v="Non Fiction"/>
        <m/>
      </sharedItems>
    </cacheField>
    <cacheField name="clean_author" numFmtId="0">
      <sharedItems containsBlank="1"/>
    </cacheField>
    <cacheField name="rating_category" numFmtId="0">
      <sharedItems containsBlank="1" count="3">
        <s v="Excellent"/>
        <s v="Average"/>
        <m/>
      </sharedItems>
    </cacheField>
    <cacheField name="price_category" numFmtId="0">
      <sharedItems containsBlank="1" count="3">
        <s v="Affordable"/>
        <s v="Expensive"/>
        <m/>
      </sharedItems>
    </cacheField>
    <cacheField name="review_level" numFmtId="0">
      <sharedItems containsBlank="1"/>
    </cacheField>
  </cacheFields>
  <extLst>
    <ext xmlns:x14="http://schemas.microsoft.com/office/spreadsheetml/2009/9/main" uri="{725AE2AE-9491-48be-B2B4-4EB974FC3084}">
      <x14:pivotCacheDefinition pivotCacheId="2671957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1">
  <r>
    <x v="0"/>
    <x v="0"/>
    <n v="4.8"/>
    <n v="4505"/>
    <x v="0"/>
    <x v="0"/>
    <x v="0"/>
    <s v="Jeff Kinney"/>
    <x v="0"/>
    <x v="0"/>
    <s v="Low"/>
  </r>
  <r>
    <x v="1"/>
    <x v="0"/>
    <n v="4.8"/>
    <n v="6812"/>
    <x v="0"/>
    <x v="1"/>
    <x v="0"/>
    <s v="Jeff Kinney"/>
    <x v="0"/>
    <x v="0"/>
    <s v="Low"/>
  </r>
  <r>
    <x v="2"/>
    <x v="1"/>
    <n v="4.7"/>
    <n v="3642"/>
    <x v="0"/>
    <x v="2"/>
    <x v="0"/>
    <s v="RH Disney"/>
    <x v="0"/>
    <x v="0"/>
    <s v="Low"/>
  </r>
  <r>
    <x v="3"/>
    <x v="1"/>
    <n v="4.5999999999999996"/>
    <n v="978"/>
    <x v="0"/>
    <x v="2"/>
    <x v="0"/>
    <s v="RH Disney"/>
    <x v="0"/>
    <x v="0"/>
    <s v="Low"/>
  </r>
  <r>
    <x v="4"/>
    <x v="2"/>
    <n v="4.9000000000000004"/>
    <n v="1884"/>
    <x v="0"/>
    <x v="2"/>
    <x v="0"/>
    <s v="Alice Schertle"/>
    <x v="0"/>
    <x v="0"/>
    <s v="Low"/>
  </r>
  <r>
    <x v="5"/>
    <x v="3"/>
    <n v="4.8"/>
    <n v="2774"/>
    <x v="0"/>
    <x v="3"/>
    <x v="1"/>
    <s v="Delegates of the ConstitutionalÂ…"/>
    <x v="0"/>
    <x v="0"/>
    <s v="Low"/>
  </r>
  <r>
    <x v="6"/>
    <x v="0"/>
    <n v="4.8"/>
    <n v="5836"/>
    <x v="0"/>
    <x v="4"/>
    <x v="0"/>
    <s v="Jeff Kinney"/>
    <x v="0"/>
    <x v="0"/>
    <s v="Low"/>
  </r>
  <r>
    <x v="7"/>
    <x v="4"/>
    <n v="4.5999999999999996"/>
    <n v="2122"/>
    <x v="0"/>
    <x v="5"/>
    <x v="0"/>
    <s v="Stephenie Meyer"/>
    <x v="0"/>
    <x v="0"/>
    <s v="Low"/>
  </r>
  <r>
    <x v="8"/>
    <x v="5"/>
    <n v="4.8"/>
    <n v="26234"/>
    <x v="0"/>
    <x v="1"/>
    <x v="0"/>
    <s v="Harper Lee"/>
    <x v="0"/>
    <x v="0"/>
    <s v="High"/>
  </r>
  <r>
    <x v="8"/>
    <x v="5"/>
    <n v="4.8"/>
    <n v="26234"/>
    <x v="0"/>
    <x v="2"/>
    <x v="0"/>
    <s v="Harper Lee"/>
    <x v="0"/>
    <x v="0"/>
    <s v="High"/>
  </r>
  <r>
    <x v="8"/>
    <x v="5"/>
    <n v="4.8"/>
    <n v="26234"/>
    <x v="0"/>
    <x v="6"/>
    <x v="0"/>
    <s v="Harper Lee"/>
    <x v="0"/>
    <x v="0"/>
    <s v="High"/>
  </r>
  <r>
    <x v="8"/>
    <x v="5"/>
    <n v="4.8"/>
    <n v="26234"/>
    <x v="0"/>
    <x v="3"/>
    <x v="0"/>
    <s v="Harper Lee"/>
    <x v="0"/>
    <x v="0"/>
    <s v="High"/>
  </r>
  <r>
    <x v="9"/>
    <x v="6"/>
    <n v="4.5"/>
    <n v="720"/>
    <x v="1"/>
    <x v="7"/>
    <x v="1"/>
    <s v="David Zinczenko"/>
    <x v="0"/>
    <x v="0"/>
    <s v="Low"/>
  </r>
  <r>
    <x v="10"/>
    <x v="7"/>
    <n v="4.5999999999999996"/>
    <n v="460"/>
    <x v="2"/>
    <x v="5"/>
    <x v="1"/>
    <s v="Larry Schweikart"/>
    <x v="0"/>
    <x v="0"/>
    <s v="Low"/>
  </r>
  <r>
    <x v="11"/>
    <x v="8"/>
    <n v="4.4000000000000004"/>
    <n v="6042"/>
    <x v="2"/>
    <x v="8"/>
    <x v="1"/>
    <s v="Bob Woodward"/>
    <x v="1"/>
    <x v="0"/>
    <s v="Low"/>
  </r>
  <r>
    <x v="12"/>
    <x v="9"/>
    <n v="4.8"/>
    <n v="548"/>
    <x v="2"/>
    <x v="5"/>
    <x v="0"/>
    <s v="Rick Riordan"/>
    <x v="0"/>
    <x v="0"/>
    <s v="Low"/>
  </r>
  <r>
    <x v="13"/>
    <x v="10"/>
    <n v="4.4000000000000004"/>
    <n v="10559"/>
    <x v="2"/>
    <x v="7"/>
    <x v="0"/>
    <s v="Stieg Larsson"/>
    <x v="1"/>
    <x v="0"/>
    <s v="High"/>
  </r>
  <r>
    <x v="13"/>
    <x v="10"/>
    <n v="4.4000000000000004"/>
    <n v="10559"/>
    <x v="2"/>
    <x v="5"/>
    <x v="0"/>
    <s v="Stieg Larsson"/>
    <x v="1"/>
    <x v="0"/>
    <s v="High"/>
  </r>
  <r>
    <x v="14"/>
    <x v="11"/>
    <n v="4.7"/>
    <n v="5983"/>
    <x v="3"/>
    <x v="8"/>
    <x v="1"/>
    <s v="James Comey"/>
    <x v="0"/>
    <x v="0"/>
    <s v="Low"/>
  </r>
  <r>
    <x v="15"/>
    <x v="12"/>
    <n v="4.5"/>
    <n v="2313"/>
    <x v="4"/>
    <x v="3"/>
    <x v="1"/>
    <s v="Adult Coloring Book Designs"/>
    <x v="0"/>
    <x v="0"/>
    <s v="Low"/>
  </r>
  <r>
    <x v="16"/>
    <x v="13"/>
    <n v="4.5999999999999996"/>
    <n v="10369"/>
    <x v="4"/>
    <x v="3"/>
    <x v="1"/>
    <s v="Sasha O'Hara"/>
    <x v="0"/>
    <x v="0"/>
    <s v="High"/>
  </r>
  <r>
    <x v="17"/>
    <x v="14"/>
    <n v="4.8"/>
    <n v="4022"/>
    <x v="4"/>
    <x v="6"/>
    <x v="1"/>
    <s v="Marjorie Sarnat"/>
    <x v="0"/>
    <x v="0"/>
    <s v="Low"/>
  </r>
  <r>
    <x v="18"/>
    <x v="15"/>
    <n v="4.5999999999999996"/>
    <n v="1541"/>
    <x v="4"/>
    <x v="7"/>
    <x v="0"/>
    <s v="Charlaine Harris"/>
    <x v="0"/>
    <x v="0"/>
    <s v="Low"/>
  </r>
  <r>
    <x v="19"/>
    <x v="15"/>
    <n v="4.2"/>
    <n v="2094"/>
    <x v="4"/>
    <x v="0"/>
    <x v="0"/>
    <s v="Charlaine Harris"/>
    <x v="1"/>
    <x v="0"/>
    <s v="Low"/>
  </r>
  <r>
    <x v="20"/>
    <x v="16"/>
    <n v="4.9000000000000004"/>
    <n v="7235"/>
    <x v="4"/>
    <x v="8"/>
    <x v="0"/>
    <s v="Dav Pilkey"/>
    <x v="0"/>
    <x v="0"/>
    <s v="Low"/>
  </r>
  <r>
    <x v="20"/>
    <x v="16"/>
    <n v="4.9000000000000004"/>
    <n v="7235"/>
    <x v="4"/>
    <x v="9"/>
    <x v="0"/>
    <s v="Dav Pilkey"/>
    <x v="0"/>
    <x v="0"/>
    <s v="Low"/>
  </r>
  <r>
    <x v="21"/>
    <x v="17"/>
    <n v="4.7"/>
    <n v="17323"/>
    <x v="4"/>
    <x v="2"/>
    <x v="1"/>
    <s v="Roger Priddy"/>
    <x v="0"/>
    <x v="0"/>
    <s v="High"/>
  </r>
  <r>
    <x v="21"/>
    <x v="17"/>
    <n v="4.7"/>
    <n v="17323"/>
    <x v="4"/>
    <x v="6"/>
    <x v="1"/>
    <s v="Roger Priddy"/>
    <x v="0"/>
    <x v="0"/>
    <s v="High"/>
  </r>
  <r>
    <x v="21"/>
    <x v="17"/>
    <n v="4.7"/>
    <n v="17323"/>
    <x v="4"/>
    <x v="3"/>
    <x v="1"/>
    <s v="Roger Priddy"/>
    <x v="0"/>
    <x v="0"/>
    <s v="High"/>
  </r>
  <r>
    <x v="21"/>
    <x v="17"/>
    <n v="4.7"/>
    <n v="17323"/>
    <x v="4"/>
    <x v="4"/>
    <x v="1"/>
    <s v="Roger Priddy"/>
    <x v="0"/>
    <x v="0"/>
    <s v="High"/>
  </r>
  <r>
    <x v="21"/>
    <x v="17"/>
    <n v="4.7"/>
    <n v="17323"/>
    <x v="4"/>
    <x v="8"/>
    <x v="1"/>
    <s v="Roger Priddy"/>
    <x v="0"/>
    <x v="0"/>
    <s v="High"/>
  </r>
  <r>
    <x v="22"/>
    <x v="18"/>
    <n v="4.8"/>
    <n v="14038"/>
    <x v="4"/>
    <x v="6"/>
    <x v="0"/>
    <s v="Giles Andreae"/>
    <x v="0"/>
    <x v="0"/>
    <s v="High"/>
  </r>
  <r>
    <x v="22"/>
    <x v="18"/>
    <n v="4.8"/>
    <n v="14038"/>
    <x v="4"/>
    <x v="3"/>
    <x v="0"/>
    <s v="Giles Andreae"/>
    <x v="0"/>
    <x v="0"/>
    <s v="High"/>
  </r>
  <r>
    <x v="22"/>
    <x v="18"/>
    <n v="4.8"/>
    <n v="14038"/>
    <x v="4"/>
    <x v="4"/>
    <x v="0"/>
    <s v="Giles Andreae"/>
    <x v="0"/>
    <x v="0"/>
    <s v="High"/>
  </r>
  <r>
    <x v="22"/>
    <x v="18"/>
    <n v="4.8"/>
    <n v="14038"/>
    <x v="4"/>
    <x v="8"/>
    <x v="0"/>
    <s v="Giles Andreae"/>
    <x v="0"/>
    <x v="0"/>
    <s v="High"/>
  </r>
  <r>
    <x v="22"/>
    <x v="18"/>
    <n v="4.8"/>
    <n v="14038"/>
    <x v="4"/>
    <x v="9"/>
    <x v="0"/>
    <s v="Giles Andreae"/>
    <x v="0"/>
    <x v="0"/>
    <s v="High"/>
  </r>
  <r>
    <x v="23"/>
    <x v="19"/>
    <n v="4.8"/>
    <n v="1930"/>
    <x v="4"/>
    <x v="7"/>
    <x v="1"/>
    <s v="Mitch Albom"/>
    <x v="0"/>
    <x v="0"/>
    <s v="Low"/>
  </r>
  <r>
    <x v="24"/>
    <x v="20"/>
    <n v="4.8"/>
    <n v="16643"/>
    <x v="4"/>
    <x v="4"/>
    <x v="0"/>
    <s v="Ann Whitford Paul"/>
    <x v="0"/>
    <x v="0"/>
    <s v="High"/>
  </r>
  <r>
    <x v="24"/>
    <x v="20"/>
    <n v="4.8"/>
    <n v="16643"/>
    <x v="4"/>
    <x v="9"/>
    <x v="0"/>
    <s v="Ann Whitford Paul"/>
    <x v="0"/>
    <x v="0"/>
    <s v="High"/>
  </r>
  <r>
    <x v="25"/>
    <x v="21"/>
    <n v="4.5"/>
    <n v="3673"/>
    <x v="4"/>
    <x v="1"/>
    <x v="1"/>
    <s v="Rob Elliott"/>
    <x v="0"/>
    <x v="0"/>
    <s v="Low"/>
  </r>
  <r>
    <x v="25"/>
    <x v="21"/>
    <n v="4.5"/>
    <n v="3673"/>
    <x v="4"/>
    <x v="2"/>
    <x v="1"/>
    <s v="Rob Elliott"/>
    <x v="0"/>
    <x v="0"/>
    <s v="Low"/>
  </r>
  <r>
    <x v="25"/>
    <x v="21"/>
    <n v="4.5"/>
    <n v="3673"/>
    <x v="4"/>
    <x v="6"/>
    <x v="1"/>
    <s v="Rob Elliott"/>
    <x v="0"/>
    <x v="0"/>
    <s v="Low"/>
  </r>
  <r>
    <x v="26"/>
    <x v="21"/>
    <n v="4.5999999999999996"/>
    <n v="6990"/>
    <x v="4"/>
    <x v="1"/>
    <x v="1"/>
    <s v="Rob Elliott"/>
    <x v="0"/>
    <x v="0"/>
    <s v="Low"/>
  </r>
  <r>
    <x v="26"/>
    <x v="21"/>
    <n v="4.5999999999999996"/>
    <n v="6990"/>
    <x v="4"/>
    <x v="2"/>
    <x v="1"/>
    <s v="Rob Elliott"/>
    <x v="0"/>
    <x v="0"/>
    <s v="Low"/>
  </r>
  <r>
    <x v="26"/>
    <x v="21"/>
    <n v="4.5999999999999996"/>
    <n v="6990"/>
    <x v="4"/>
    <x v="6"/>
    <x v="1"/>
    <s v="Rob Elliott"/>
    <x v="0"/>
    <x v="0"/>
    <s v="Low"/>
  </r>
  <r>
    <x v="26"/>
    <x v="21"/>
    <n v="4.5999999999999996"/>
    <n v="6990"/>
    <x v="4"/>
    <x v="3"/>
    <x v="1"/>
    <s v="Rob Elliott"/>
    <x v="0"/>
    <x v="0"/>
    <s v="Low"/>
  </r>
  <r>
    <x v="26"/>
    <x v="21"/>
    <n v="4.5999999999999996"/>
    <n v="6990"/>
    <x v="4"/>
    <x v="4"/>
    <x v="1"/>
    <s v="Rob Elliott"/>
    <x v="0"/>
    <x v="0"/>
    <s v="Low"/>
  </r>
  <r>
    <x v="27"/>
    <x v="22"/>
    <n v="4.8"/>
    <n v="4757"/>
    <x v="4"/>
    <x v="4"/>
    <x v="0"/>
    <s v="Golden Books"/>
    <x v="0"/>
    <x v="0"/>
    <s v="Low"/>
  </r>
  <r>
    <x v="28"/>
    <x v="23"/>
    <n v="4.8"/>
    <n v="30183"/>
    <x v="4"/>
    <x v="8"/>
    <x v="0"/>
    <s v="Craig Smith"/>
    <x v="0"/>
    <x v="0"/>
    <s v="High"/>
  </r>
  <r>
    <x v="28"/>
    <x v="23"/>
    <n v="4.8"/>
    <n v="30183"/>
    <x v="4"/>
    <x v="9"/>
    <x v="0"/>
    <s v="Craig Smith"/>
    <x v="0"/>
    <x v="0"/>
    <s v="High"/>
  </r>
  <r>
    <x v="29"/>
    <x v="24"/>
    <n v="4.8"/>
    <n v="6108"/>
    <x v="4"/>
    <x v="9"/>
    <x v="1"/>
    <s v="Silly Bear"/>
    <x v="0"/>
    <x v="0"/>
    <s v="Low"/>
  </r>
  <r>
    <x v="30"/>
    <x v="25"/>
    <n v="4.5"/>
    <n v="5153"/>
    <x v="5"/>
    <x v="8"/>
    <x v="0"/>
    <s v="Madeleine L'Engle"/>
    <x v="0"/>
    <x v="0"/>
    <s v="Low"/>
  </r>
  <r>
    <x v="31"/>
    <x v="26"/>
    <n v="4.5999999999999996"/>
    <n v="798"/>
    <x v="5"/>
    <x v="7"/>
    <x v="1"/>
    <s v="Glenn Beck"/>
    <x v="0"/>
    <x v="0"/>
    <s v="Low"/>
  </r>
  <r>
    <x v="32"/>
    <x v="27"/>
    <n v="4.5999999999999996"/>
    <n v="5360"/>
    <x v="5"/>
    <x v="6"/>
    <x v="1"/>
    <s v="DK"/>
    <x v="0"/>
    <x v="0"/>
    <s v="Low"/>
  </r>
  <r>
    <x v="33"/>
    <x v="28"/>
    <n v="4.9000000000000004"/>
    <n v="14344"/>
    <x v="5"/>
    <x v="4"/>
    <x v="0"/>
    <s v="Bill Martin Jr."/>
    <x v="0"/>
    <x v="0"/>
    <s v="High"/>
  </r>
  <r>
    <x v="33"/>
    <x v="28"/>
    <n v="4.9000000000000004"/>
    <n v="14344"/>
    <x v="5"/>
    <x v="9"/>
    <x v="0"/>
    <s v="Bill Martin Jr."/>
    <x v="0"/>
    <x v="0"/>
    <s v="High"/>
  </r>
  <r>
    <x v="34"/>
    <x v="14"/>
    <n v="4.8"/>
    <n v="3871"/>
    <x v="5"/>
    <x v="6"/>
    <x v="1"/>
    <s v="Marjorie Sarnat"/>
    <x v="0"/>
    <x v="0"/>
    <s v="Low"/>
  </r>
  <r>
    <x v="35"/>
    <x v="29"/>
    <n v="4.8"/>
    <n v="10922"/>
    <x v="5"/>
    <x v="6"/>
    <x v="0"/>
    <s v="Rod Campbell"/>
    <x v="0"/>
    <x v="0"/>
    <s v="High"/>
  </r>
  <r>
    <x v="35"/>
    <x v="29"/>
    <n v="4.8"/>
    <n v="10922"/>
    <x v="5"/>
    <x v="3"/>
    <x v="0"/>
    <s v="Rod Campbell"/>
    <x v="0"/>
    <x v="0"/>
    <s v="High"/>
  </r>
  <r>
    <x v="35"/>
    <x v="29"/>
    <n v="4.8"/>
    <n v="10922"/>
    <x v="5"/>
    <x v="4"/>
    <x v="0"/>
    <s v="Rod Campbell"/>
    <x v="0"/>
    <x v="0"/>
    <s v="High"/>
  </r>
  <r>
    <x v="35"/>
    <x v="29"/>
    <n v="4.8"/>
    <n v="10922"/>
    <x v="5"/>
    <x v="8"/>
    <x v="0"/>
    <s v="Rod Campbell"/>
    <x v="0"/>
    <x v="0"/>
    <s v="High"/>
  </r>
  <r>
    <x v="36"/>
    <x v="30"/>
    <n v="4.5999999999999996"/>
    <n v="7955"/>
    <x v="5"/>
    <x v="9"/>
    <x v="1"/>
    <s v="M Prefontaine"/>
    <x v="0"/>
    <x v="0"/>
    <s v="Low"/>
  </r>
  <r>
    <x v="37"/>
    <x v="31"/>
    <n v="4.5999999999999996"/>
    <n v="2134"/>
    <x v="5"/>
    <x v="6"/>
    <x v="1"/>
    <s v="Marty Noble"/>
    <x v="0"/>
    <x v="0"/>
    <s v="Low"/>
  </r>
  <r>
    <x v="38"/>
    <x v="32"/>
    <n v="4.5999999999999996"/>
    <n v="5594"/>
    <x v="5"/>
    <x v="0"/>
    <x v="0"/>
    <s v="George R.R. Martin"/>
    <x v="0"/>
    <x v="0"/>
    <s v="Low"/>
  </r>
  <r>
    <x v="38"/>
    <x v="32"/>
    <n v="4.5999999999999996"/>
    <n v="5594"/>
    <x v="5"/>
    <x v="10"/>
    <x v="0"/>
    <s v="George R.R. Martin"/>
    <x v="0"/>
    <x v="0"/>
    <s v="Low"/>
  </r>
  <r>
    <x v="38"/>
    <x v="32"/>
    <n v="4.5999999999999996"/>
    <n v="5594"/>
    <x v="5"/>
    <x v="1"/>
    <x v="0"/>
    <s v="George R.R. Martin"/>
    <x v="0"/>
    <x v="0"/>
    <s v="Low"/>
  </r>
  <r>
    <x v="39"/>
    <x v="33"/>
    <n v="4.8"/>
    <n v="8837"/>
    <x v="5"/>
    <x v="4"/>
    <x v="0"/>
    <s v="Margaret Wise Brown"/>
    <x v="0"/>
    <x v="0"/>
    <s v="Low"/>
  </r>
  <r>
    <x v="39"/>
    <x v="33"/>
    <n v="4.8"/>
    <n v="8837"/>
    <x v="5"/>
    <x v="8"/>
    <x v="0"/>
    <s v="Margaret Wise Brown"/>
    <x v="0"/>
    <x v="0"/>
    <s v="Low"/>
  </r>
  <r>
    <x v="39"/>
    <x v="33"/>
    <n v="4.8"/>
    <n v="8837"/>
    <x v="5"/>
    <x v="9"/>
    <x v="0"/>
    <s v="Margaret Wise Brown"/>
    <x v="0"/>
    <x v="0"/>
    <s v="Low"/>
  </r>
  <r>
    <x v="40"/>
    <x v="34"/>
    <n v="4.5999999999999996"/>
    <n v="5235"/>
    <x v="5"/>
    <x v="6"/>
    <x v="1"/>
    <s v="Bill O'Reilly"/>
    <x v="0"/>
    <x v="0"/>
    <s v="Low"/>
  </r>
  <r>
    <x v="41"/>
    <x v="35"/>
    <n v="4.8"/>
    <n v="18613"/>
    <x v="5"/>
    <x v="2"/>
    <x v="0"/>
    <s v="Robert Munsch"/>
    <x v="0"/>
    <x v="0"/>
    <s v="High"/>
  </r>
  <r>
    <x v="41"/>
    <x v="35"/>
    <n v="4.8"/>
    <n v="18613"/>
    <x v="5"/>
    <x v="6"/>
    <x v="0"/>
    <s v="Robert Munsch"/>
    <x v="0"/>
    <x v="0"/>
    <s v="High"/>
  </r>
  <r>
    <x v="42"/>
    <x v="36"/>
    <n v="4.7"/>
    <n v="10820"/>
    <x v="5"/>
    <x v="8"/>
    <x v="1"/>
    <s v="Naomi Kleinberg"/>
    <x v="0"/>
    <x v="0"/>
    <s v="High"/>
  </r>
  <r>
    <x v="42"/>
    <x v="36"/>
    <n v="4.7"/>
    <n v="10820"/>
    <x v="5"/>
    <x v="9"/>
    <x v="1"/>
    <s v="Naomi Kleinberg"/>
    <x v="0"/>
    <x v="0"/>
    <s v="High"/>
  </r>
  <r>
    <x v="43"/>
    <x v="37"/>
    <n v="4.8"/>
    <n v="5249"/>
    <x v="5"/>
    <x v="3"/>
    <x v="0"/>
    <s v="Sandra Boynton"/>
    <x v="0"/>
    <x v="0"/>
    <s v="Low"/>
  </r>
  <r>
    <x v="43"/>
    <x v="37"/>
    <n v="4.8"/>
    <n v="5249"/>
    <x v="5"/>
    <x v="4"/>
    <x v="0"/>
    <s v="Sandra Boynton"/>
    <x v="0"/>
    <x v="0"/>
    <s v="Low"/>
  </r>
  <r>
    <x v="44"/>
    <x v="38"/>
    <n v="4.9000000000000004"/>
    <n v="7861"/>
    <x v="5"/>
    <x v="3"/>
    <x v="1"/>
    <s v="Chip Gaines"/>
    <x v="0"/>
    <x v="0"/>
    <s v="Low"/>
  </r>
  <r>
    <x v="45"/>
    <x v="39"/>
    <n v="4.8"/>
    <n v="9784"/>
    <x v="5"/>
    <x v="4"/>
    <x v="0"/>
    <s v="Deborah Diesen"/>
    <x v="0"/>
    <x v="0"/>
    <s v="Low"/>
  </r>
  <r>
    <x v="45"/>
    <x v="39"/>
    <n v="4.8"/>
    <n v="9784"/>
    <x v="5"/>
    <x v="8"/>
    <x v="0"/>
    <s v="Deborah Diesen"/>
    <x v="0"/>
    <x v="0"/>
    <s v="Low"/>
  </r>
  <r>
    <x v="46"/>
    <x v="40"/>
    <n v="4.9000000000000004"/>
    <n v="19546"/>
    <x v="5"/>
    <x v="1"/>
    <x v="0"/>
    <s v="Eric Carle"/>
    <x v="0"/>
    <x v="0"/>
    <s v="High"/>
  </r>
  <r>
    <x v="46"/>
    <x v="40"/>
    <n v="4.9000000000000004"/>
    <n v="19546"/>
    <x v="5"/>
    <x v="2"/>
    <x v="0"/>
    <s v="Eric Carle"/>
    <x v="0"/>
    <x v="0"/>
    <s v="High"/>
  </r>
  <r>
    <x v="46"/>
    <x v="40"/>
    <n v="4.9000000000000004"/>
    <n v="19546"/>
    <x v="5"/>
    <x v="6"/>
    <x v="0"/>
    <s v="Eric Carle"/>
    <x v="0"/>
    <x v="0"/>
    <s v="High"/>
  </r>
  <r>
    <x v="46"/>
    <x v="40"/>
    <n v="4.9000000000000004"/>
    <n v="19546"/>
    <x v="5"/>
    <x v="3"/>
    <x v="0"/>
    <s v="Eric Carle"/>
    <x v="0"/>
    <x v="0"/>
    <s v="High"/>
  </r>
  <r>
    <x v="46"/>
    <x v="40"/>
    <n v="4.9000000000000004"/>
    <n v="19546"/>
    <x v="5"/>
    <x v="4"/>
    <x v="0"/>
    <s v="Eric Carle"/>
    <x v="0"/>
    <x v="0"/>
    <s v="High"/>
  </r>
  <r>
    <x v="46"/>
    <x v="40"/>
    <n v="4.9000000000000004"/>
    <n v="19546"/>
    <x v="5"/>
    <x v="8"/>
    <x v="0"/>
    <s v="Eric Carle"/>
    <x v="0"/>
    <x v="0"/>
    <s v="High"/>
  </r>
  <r>
    <x v="46"/>
    <x v="40"/>
    <n v="4.9000000000000004"/>
    <n v="19546"/>
    <x v="5"/>
    <x v="9"/>
    <x v="0"/>
    <s v="Eric Carle"/>
    <x v="0"/>
    <x v="0"/>
    <s v="High"/>
  </r>
  <r>
    <x v="47"/>
    <x v="27"/>
    <n v="4.5"/>
    <n v="2586"/>
    <x v="5"/>
    <x v="2"/>
    <x v="0"/>
    <s v="DK"/>
    <x v="0"/>
    <x v="0"/>
    <s v="Low"/>
  </r>
  <r>
    <x v="48"/>
    <x v="41"/>
    <n v="4.7"/>
    <n v="21424"/>
    <x v="6"/>
    <x v="4"/>
    <x v="0"/>
    <s v="George Orwell"/>
    <x v="0"/>
    <x v="0"/>
    <s v="High"/>
  </r>
  <r>
    <x v="49"/>
    <x v="42"/>
    <n v="4.5999999999999996"/>
    <n v="2925"/>
    <x v="6"/>
    <x v="6"/>
    <x v="1"/>
    <s v="Blue Star Coloring"/>
    <x v="0"/>
    <x v="0"/>
    <s v="Low"/>
  </r>
  <r>
    <x v="50"/>
    <x v="42"/>
    <n v="4.4000000000000004"/>
    <n v="2951"/>
    <x v="6"/>
    <x v="6"/>
    <x v="1"/>
    <s v="Blue Star Coloring"/>
    <x v="1"/>
    <x v="0"/>
    <s v="Low"/>
  </r>
  <r>
    <x v="51"/>
    <x v="43"/>
    <n v="4.5"/>
    <n v="17684"/>
    <x v="6"/>
    <x v="2"/>
    <x v="0"/>
    <s v="Veronica Roth"/>
    <x v="0"/>
    <x v="0"/>
    <s v="High"/>
  </r>
  <r>
    <x v="52"/>
    <x v="44"/>
    <n v="4.5999999999999996"/>
    <n v="37"/>
    <x v="6"/>
    <x v="7"/>
    <x v="1"/>
    <s v="Zhi Gang Sha"/>
    <x v="0"/>
    <x v="0"/>
    <s v="Low"/>
  </r>
  <r>
    <x v="53"/>
    <x v="16"/>
    <n v="4.9000000000000004"/>
    <n v="5062"/>
    <x v="6"/>
    <x v="8"/>
    <x v="0"/>
    <s v="Dav Pilkey"/>
    <x v="0"/>
    <x v="0"/>
    <s v="Low"/>
  </r>
  <r>
    <x v="54"/>
    <x v="16"/>
    <n v="4.9000000000000004"/>
    <n v="5470"/>
    <x v="6"/>
    <x v="8"/>
    <x v="0"/>
    <s v="Dav Pilkey"/>
    <x v="0"/>
    <x v="0"/>
    <s v="Low"/>
  </r>
  <r>
    <x v="55"/>
    <x v="45"/>
    <n v="4.2"/>
    <n v="13677"/>
    <x v="6"/>
    <x v="8"/>
    <x v="1"/>
    <s v="Michael Wolff"/>
    <x v="1"/>
    <x v="0"/>
    <s v="High"/>
  </r>
  <r>
    <x v="56"/>
    <x v="46"/>
    <n v="4.5999999999999996"/>
    <n v="1636"/>
    <x v="6"/>
    <x v="7"/>
    <x v="1"/>
    <s v="Sarah Palin"/>
    <x v="0"/>
    <x v="0"/>
    <s v="Low"/>
  </r>
  <r>
    <x v="57"/>
    <x v="47"/>
    <n v="4.5999999999999996"/>
    <n v="10141"/>
    <x v="6"/>
    <x v="9"/>
    <x v="1"/>
    <s v="Pretty Simple Press"/>
    <x v="0"/>
    <x v="0"/>
    <s v="High"/>
  </r>
  <r>
    <x v="58"/>
    <x v="34"/>
    <n v="4.5999999999999996"/>
    <n v="10927"/>
    <x v="6"/>
    <x v="2"/>
    <x v="1"/>
    <s v="Bill O'Reilly"/>
    <x v="0"/>
    <x v="0"/>
    <s v="High"/>
  </r>
  <r>
    <x v="59"/>
    <x v="34"/>
    <n v="4.8"/>
    <n v="8916"/>
    <x v="6"/>
    <x v="3"/>
    <x v="1"/>
    <s v="Bill O'Reilly"/>
    <x v="0"/>
    <x v="0"/>
    <s v="Low"/>
  </r>
  <r>
    <x v="60"/>
    <x v="48"/>
    <n v="4.4000000000000004"/>
    <n v="7550"/>
    <x v="6"/>
    <x v="8"/>
    <x v="1"/>
    <s v="Paper Peony Press"/>
    <x v="1"/>
    <x v="0"/>
    <s v="Low"/>
  </r>
  <r>
    <x v="61"/>
    <x v="49"/>
    <n v="4.4000000000000004"/>
    <n v="3113"/>
    <x v="6"/>
    <x v="4"/>
    <x v="1"/>
    <s v="Adam Gasiewski"/>
    <x v="1"/>
    <x v="0"/>
    <s v="Low"/>
  </r>
  <r>
    <x v="62"/>
    <x v="50"/>
    <n v="4.8"/>
    <n v="23047"/>
    <x v="6"/>
    <x v="8"/>
    <x v="1"/>
    <s v="School Zone"/>
    <x v="0"/>
    <x v="0"/>
    <s v="High"/>
  </r>
  <r>
    <x v="62"/>
    <x v="50"/>
    <n v="4.8"/>
    <n v="23047"/>
    <x v="6"/>
    <x v="9"/>
    <x v="1"/>
    <s v="School Zone"/>
    <x v="0"/>
    <x v="0"/>
    <s v="High"/>
  </r>
  <r>
    <x v="63"/>
    <x v="51"/>
    <n v="4.0999999999999996"/>
    <n v="2272"/>
    <x v="6"/>
    <x v="1"/>
    <x v="1"/>
    <s v="Ian K. Smith M.D."/>
    <x v="1"/>
    <x v="0"/>
    <s v="Low"/>
  </r>
  <r>
    <x v="64"/>
    <x v="52"/>
    <n v="4.9000000000000004"/>
    <n v="9382"/>
    <x v="6"/>
    <x v="9"/>
    <x v="0"/>
    <s v="Nathan W. Pyle"/>
    <x v="0"/>
    <x v="0"/>
    <s v="Low"/>
  </r>
  <r>
    <x v="65"/>
    <x v="53"/>
    <n v="4.5999999999999996"/>
    <n v="23148"/>
    <x v="6"/>
    <x v="1"/>
    <x v="0"/>
    <s v="Markus Zusak"/>
    <x v="0"/>
    <x v="0"/>
    <s v="High"/>
  </r>
  <r>
    <x v="65"/>
    <x v="53"/>
    <n v="4.5999999999999996"/>
    <n v="23148"/>
    <x v="6"/>
    <x v="2"/>
    <x v="0"/>
    <s v="Markus Zusak"/>
    <x v="0"/>
    <x v="0"/>
    <s v="High"/>
  </r>
  <r>
    <x v="66"/>
    <x v="54"/>
    <n v="4.3"/>
    <n v="13061"/>
    <x v="6"/>
    <x v="8"/>
    <x v="1"/>
    <s v="Amy Ramos"/>
    <x v="1"/>
    <x v="0"/>
    <s v="High"/>
  </r>
  <r>
    <x v="66"/>
    <x v="54"/>
    <n v="4.3"/>
    <n v="13061"/>
    <x v="6"/>
    <x v="9"/>
    <x v="1"/>
    <s v="Amy Ramos"/>
    <x v="1"/>
    <x v="0"/>
    <s v="High"/>
  </r>
  <r>
    <x v="67"/>
    <x v="55"/>
    <n v="4.5999999999999996"/>
    <n v="3207"/>
    <x v="6"/>
    <x v="7"/>
    <x v="1"/>
    <s v="Patrick Lencioni"/>
    <x v="0"/>
    <x v="0"/>
    <s v="Low"/>
  </r>
  <r>
    <x v="67"/>
    <x v="55"/>
    <n v="4.5999999999999996"/>
    <n v="3207"/>
    <x v="6"/>
    <x v="5"/>
    <x v="1"/>
    <s v="Patrick Lencioni"/>
    <x v="0"/>
    <x v="0"/>
    <s v="Low"/>
  </r>
  <r>
    <x v="67"/>
    <x v="55"/>
    <n v="4.5999999999999996"/>
    <n v="3207"/>
    <x v="6"/>
    <x v="0"/>
    <x v="1"/>
    <s v="Patrick Lencioni"/>
    <x v="0"/>
    <x v="0"/>
    <s v="Low"/>
  </r>
  <r>
    <x v="67"/>
    <x v="55"/>
    <n v="4.5999999999999996"/>
    <n v="3207"/>
    <x v="6"/>
    <x v="10"/>
    <x v="1"/>
    <s v="Patrick Lencioni"/>
    <x v="0"/>
    <x v="0"/>
    <s v="Low"/>
  </r>
  <r>
    <x v="67"/>
    <x v="55"/>
    <n v="4.5999999999999996"/>
    <n v="3207"/>
    <x v="6"/>
    <x v="1"/>
    <x v="1"/>
    <s v="Patrick Lencioni"/>
    <x v="0"/>
    <x v="0"/>
    <s v="Low"/>
  </r>
  <r>
    <x v="68"/>
    <x v="56"/>
    <n v="4.7"/>
    <n v="23308"/>
    <x v="6"/>
    <x v="1"/>
    <x v="1"/>
    <s v="Don Miguel Ruiz"/>
    <x v="0"/>
    <x v="0"/>
    <s v="High"/>
  </r>
  <r>
    <x v="68"/>
    <x v="56"/>
    <n v="4.7"/>
    <n v="23308"/>
    <x v="6"/>
    <x v="6"/>
    <x v="1"/>
    <s v="Don Miguel Ruiz"/>
    <x v="0"/>
    <x v="0"/>
    <s v="High"/>
  </r>
  <r>
    <x v="68"/>
    <x v="56"/>
    <n v="4.7"/>
    <n v="23308"/>
    <x v="6"/>
    <x v="3"/>
    <x v="1"/>
    <s v="Don Miguel Ruiz"/>
    <x v="0"/>
    <x v="0"/>
    <s v="High"/>
  </r>
  <r>
    <x v="68"/>
    <x v="56"/>
    <n v="4.7"/>
    <n v="23308"/>
    <x v="6"/>
    <x v="4"/>
    <x v="1"/>
    <s v="Don Miguel Ruiz"/>
    <x v="0"/>
    <x v="0"/>
    <s v="High"/>
  </r>
  <r>
    <x v="68"/>
    <x v="56"/>
    <n v="4.7"/>
    <n v="23308"/>
    <x v="6"/>
    <x v="8"/>
    <x v="1"/>
    <s v="Don Miguel Ruiz"/>
    <x v="0"/>
    <x v="0"/>
    <s v="High"/>
  </r>
  <r>
    <x v="68"/>
    <x v="56"/>
    <n v="4.7"/>
    <n v="23308"/>
    <x v="6"/>
    <x v="9"/>
    <x v="1"/>
    <s v="Don Miguel Ruiz"/>
    <x v="0"/>
    <x v="0"/>
    <s v="High"/>
  </r>
  <r>
    <x v="69"/>
    <x v="57"/>
    <n v="4.8"/>
    <n v="13871"/>
    <x v="6"/>
    <x v="7"/>
    <x v="0"/>
    <s v="Kathryn Stockett"/>
    <x v="0"/>
    <x v="0"/>
    <s v="High"/>
  </r>
  <r>
    <x v="69"/>
    <x v="57"/>
    <n v="4.8"/>
    <n v="13871"/>
    <x v="6"/>
    <x v="5"/>
    <x v="0"/>
    <s v="Kathryn Stockett"/>
    <x v="0"/>
    <x v="0"/>
    <s v="High"/>
  </r>
  <r>
    <x v="70"/>
    <x v="58"/>
    <n v="4.4000000000000004"/>
    <n v="3759"/>
    <x v="6"/>
    <x v="7"/>
    <x v="0"/>
    <s v="Audrey Niffenegger"/>
    <x v="1"/>
    <x v="0"/>
    <s v="Low"/>
  </r>
  <r>
    <x v="71"/>
    <x v="59"/>
    <n v="4.4000000000000004"/>
    <n v="7497"/>
    <x v="6"/>
    <x v="10"/>
    <x v="1"/>
    <s v="William Davis"/>
    <x v="1"/>
    <x v="0"/>
    <s v="Low"/>
  </r>
  <r>
    <x v="71"/>
    <x v="59"/>
    <n v="4.4000000000000004"/>
    <n v="7497"/>
    <x v="6"/>
    <x v="1"/>
    <x v="1"/>
    <s v="William Davis"/>
    <x v="1"/>
    <x v="0"/>
    <s v="Low"/>
  </r>
  <r>
    <x v="72"/>
    <x v="4"/>
    <n v="4.7"/>
    <n v="5505"/>
    <x v="7"/>
    <x v="7"/>
    <x v="0"/>
    <s v="Stephenie Meyer"/>
    <x v="0"/>
    <x v="0"/>
    <s v="Low"/>
  </r>
  <r>
    <x v="73"/>
    <x v="60"/>
    <n v="4.4000000000000004"/>
    <n v="23631"/>
    <x v="7"/>
    <x v="10"/>
    <x v="0"/>
    <s v="E L James"/>
    <x v="1"/>
    <x v="0"/>
    <s v="High"/>
  </r>
  <r>
    <x v="74"/>
    <x v="61"/>
    <n v="4.9000000000000004"/>
    <n v="7038"/>
    <x v="7"/>
    <x v="10"/>
    <x v="0"/>
    <s v="Sherri Duskey Rinker"/>
    <x v="0"/>
    <x v="0"/>
    <s v="Low"/>
  </r>
  <r>
    <x v="74"/>
    <x v="61"/>
    <n v="4.9000000000000004"/>
    <n v="7038"/>
    <x v="7"/>
    <x v="1"/>
    <x v="0"/>
    <s v="Sherri Duskey Rinker"/>
    <x v="0"/>
    <x v="0"/>
    <s v="Low"/>
  </r>
  <r>
    <x v="75"/>
    <x v="62"/>
    <n v="4.8"/>
    <n v="5476"/>
    <x v="7"/>
    <x v="9"/>
    <x v="1"/>
    <s v="Raina Telgemeier"/>
    <x v="0"/>
    <x v="0"/>
    <s v="Low"/>
  </r>
  <r>
    <x v="76"/>
    <x v="63"/>
    <n v="4.8"/>
    <n v="9737"/>
    <x v="7"/>
    <x v="9"/>
    <x v="1"/>
    <s v="Hopscotch Girls"/>
    <x v="0"/>
    <x v="0"/>
    <s v="Low"/>
  </r>
  <r>
    <x v="77"/>
    <x v="64"/>
    <n v="4.5999999999999996"/>
    <n v="1320"/>
    <x v="7"/>
    <x v="7"/>
    <x v="0"/>
    <s v="James Patterson"/>
    <x v="0"/>
    <x v="0"/>
    <s v="Low"/>
  </r>
  <r>
    <x v="78"/>
    <x v="65"/>
    <n v="4.5"/>
    <n v="8491"/>
    <x v="7"/>
    <x v="2"/>
    <x v="0"/>
    <s v="John Green"/>
    <x v="0"/>
    <x v="0"/>
    <s v="Low"/>
  </r>
  <r>
    <x v="79"/>
    <x v="0"/>
    <n v="4.8"/>
    <n v="6169"/>
    <x v="7"/>
    <x v="6"/>
    <x v="0"/>
    <s v="Jeff Kinney"/>
    <x v="0"/>
    <x v="0"/>
    <s v="Low"/>
  </r>
  <r>
    <x v="80"/>
    <x v="66"/>
    <n v="4.5999999999999996"/>
    <n v="10009"/>
    <x v="7"/>
    <x v="1"/>
    <x v="1"/>
    <s v="Susan Cain"/>
    <x v="0"/>
    <x v="0"/>
    <s v="High"/>
  </r>
  <r>
    <x v="81"/>
    <x v="65"/>
    <n v="4.7"/>
    <n v="50482"/>
    <x v="7"/>
    <x v="2"/>
    <x v="0"/>
    <s v="John Green"/>
    <x v="0"/>
    <x v="0"/>
    <s v="High"/>
  </r>
  <r>
    <x v="82"/>
    <x v="67"/>
    <n v="4.0999999999999996"/>
    <n v="79446"/>
    <x v="7"/>
    <x v="3"/>
    <x v="0"/>
    <s v="Paula Hawkins"/>
    <x v="1"/>
    <x v="0"/>
    <s v="High"/>
  </r>
  <r>
    <x v="83"/>
    <x v="68"/>
    <n v="4.4000000000000004"/>
    <n v="11616"/>
    <x v="7"/>
    <x v="10"/>
    <x v="0"/>
    <s v="F. Scott Fitzgerald"/>
    <x v="1"/>
    <x v="0"/>
    <s v="High"/>
  </r>
  <r>
    <x v="83"/>
    <x v="68"/>
    <n v="4.4000000000000004"/>
    <n v="11616"/>
    <x v="7"/>
    <x v="1"/>
    <x v="0"/>
    <s v="F. Scott Fitzgerald"/>
    <x v="1"/>
    <x v="0"/>
    <s v="High"/>
  </r>
  <r>
    <x v="83"/>
    <x v="68"/>
    <n v="4.4000000000000004"/>
    <n v="11616"/>
    <x v="7"/>
    <x v="2"/>
    <x v="0"/>
    <s v="F. Scott Fitzgerald"/>
    <x v="1"/>
    <x v="0"/>
    <s v="High"/>
  </r>
  <r>
    <x v="84"/>
    <x v="69"/>
    <n v="4.3"/>
    <n v="29442"/>
    <x v="7"/>
    <x v="4"/>
    <x v="0"/>
    <s v="Margaret Atwood"/>
    <x v="1"/>
    <x v="0"/>
    <s v="High"/>
  </r>
  <r>
    <x v="69"/>
    <x v="57"/>
    <n v="4.8"/>
    <n v="13871"/>
    <x v="7"/>
    <x v="0"/>
    <x v="0"/>
    <s v="Kathryn Stockett"/>
    <x v="0"/>
    <x v="0"/>
    <s v="High"/>
  </r>
  <r>
    <x v="85"/>
    <x v="70"/>
    <n v="4.3"/>
    <n v="7368"/>
    <x v="7"/>
    <x v="4"/>
    <x v="1"/>
    <s v="Laurel Randolph"/>
    <x v="1"/>
    <x v="0"/>
    <s v="Low"/>
  </r>
  <r>
    <x v="85"/>
    <x v="70"/>
    <n v="4.3"/>
    <n v="7368"/>
    <x v="7"/>
    <x v="8"/>
    <x v="1"/>
    <s v="Laurel Randolph"/>
    <x v="1"/>
    <x v="0"/>
    <s v="Low"/>
  </r>
  <r>
    <x v="86"/>
    <x v="9"/>
    <n v="4.8"/>
    <n v="4628"/>
    <x v="7"/>
    <x v="7"/>
    <x v="0"/>
    <s v="Rick Riordan"/>
    <x v="0"/>
    <x v="0"/>
    <s v="Low"/>
  </r>
  <r>
    <x v="86"/>
    <x v="9"/>
    <n v="4.8"/>
    <n v="4628"/>
    <x v="7"/>
    <x v="5"/>
    <x v="0"/>
    <s v="Rick Riordan"/>
    <x v="0"/>
    <x v="0"/>
    <s v="Low"/>
  </r>
  <r>
    <x v="87"/>
    <x v="0"/>
    <n v="4.7"/>
    <n v="6377"/>
    <x v="7"/>
    <x v="10"/>
    <x v="0"/>
    <s v="Jeff Kinney"/>
    <x v="0"/>
    <x v="0"/>
    <s v="Low"/>
  </r>
  <r>
    <x v="8"/>
    <x v="5"/>
    <n v="4.8"/>
    <n v="26234"/>
    <x v="7"/>
    <x v="9"/>
    <x v="0"/>
    <s v="Harper Lee"/>
    <x v="0"/>
    <x v="0"/>
    <s v="High"/>
  </r>
  <r>
    <x v="88"/>
    <x v="71"/>
    <n v="4.7"/>
    <n v="17350"/>
    <x v="8"/>
    <x v="3"/>
    <x v="1"/>
    <s v="JJ Smith"/>
    <x v="0"/>
    <x v="0"/>
    <s v="High"/>
  </r>
  <r>
    <x v="89"/>
    <x v="72"/>
    <n v="4.5999999999999996"/>
    <n v="23848"/>
    <x v="8"/>
    <x v="3"/>
    <x v="0"/>
    <s v="Fredrik Backman"/>
    <x v="0"/>
    <x v="0"/>
    <s v="High"/>
  </r>
  <r>
    <x v="89"/>
    <x v="72"/>
    <n v="4.5999999999999996"/>
    <n v="23848"/>
    <x v="8"/>
    <x v="4"/>
    <x v="0"/>
    <s v="Fredrik Backman"/>
    <x v="0"/>
    <x v="0"/>
    <s v="High"/>
  </r>
  <r>
    <x v="90"/>
    <x v="73"/>
    <n v="4.5"/>
    <n v="2426"/>
    <x v="8"/>
    <x v="6"/>
    <x v="1"/>
    <s v="Coloring Books for Adults"/>
    <x v="0"/>
    <x v="0"/>
    <s v="Low"/>
  </r>
  <r>
    <x v="91"/>
    <x v="26"/>
    <n v="4.5"/>
    <n v="471"/>
    <x v="8"/>
    <x v="5"/>
    <x v="1"/>
    <s v="Glenn Beck"/>
    <x v="0"/>
    <x v="0"/>
    <s v="Low"/>
  </r>
  <r>
    <x v="92"/>
    <x v="74"/>
    <n v="4.3"/>
    <n v="6143"/>
    <x v="8"/>
    <x v="8"/>
    <x v="0"/>
    <s v="Kevin Kwan"/>
    <x v="1"/>
    <x v="0"/>
    <s v="Low"/>
  </r>
  <r>
    <x v="93"/>
    <x v="15"/>
    <n v="4.3"/>
    <n v="1924"/>
    <x v="8"/>
    <x v="5"/>
    <x v="0"/>
    <s v="Charlaine Harris"/>
    <x v="1"/>
    <x v="0"/>
    <s v="Low"/>
  </r>
  <r>
    <x v="94"/>
    <x v="16"/>
    <n v="4.9000000000000004"/>
    <n v="4786"/>
    <x v="8"/>
    <x v="4"/>
    <x v="0"/>
    <s v="Dav Pilkey"/>
    <x v="0"/>
    <x v="0"/>
    <s v="Low"/>
  </r>
  <r>
    <x v="95"/>
    <x v="16"/>
    <n v="4.9000000000000004"/>
    <n v="12619"/>
    <x v="8"/>
    <x v="9"/>
    <x v="0"/>
    <s v="Dav Pilkey"/>
    <x v="0"/>
    <x v="0"/>
    <s v="High"/>
  </r>
  <r>
    <x v="96"/>
    <x v="16"/>
    <n v="4.9000000000000004"/>
    <n v="9089"/>
    <x v="8"/>
    <x v="9"/>
    <x v="0"/>
    <s v="Dav Pilkey"/>
    <x v="0"/>
    <x v="0"/>
    <s v="Low"/>
  </r>
  <r>
    <x v="97"/>
    <x v="75"/>
    <n v="4.5999999999999996"/>
    <n v="10721"/>
    <x v="8"/>
    <x v="3"/>
    <x v="0"/>
    <s v="Ray Bradbury"/>
    <x v="0"/>
    <x v="0"/>
    <s v="High"/>
  </r>
  <r>
    <x v="97"/>
    <x v="75"/>
    <n v="4.5999999999999996"/>
    <n v="10721"/>
    <x v="8"/>
    <x v="8"/>
    <x v="0"/>
    <s v="Ray Bradbury"/>
    <x v="0"/>
    <x v="0"/>
    <s v="High"/>
  </r>
  <r>
    <x v="98"/>
    <x v="76"/>
    <n v="4.9000000000000004"/>
    <n v="19576"/>
    <x v="8"/>
    <x v="0"/>
    <x v="1"/>
    <s v="Sarah Young"/>
    <x v="0"/>
    <x v="0"/>
    <s v="High"/>
  </r>
  <r>
    <x v="98"/>
    <x v="76"/>
    <n v="4.9000000000000004"/>
    <n v="19576"/>
    <x v="8"/>
    <x v="10"/>
    <x v="1"/>
    <s v="Sarah Young"/>
    <x v="0"/>
    <x v="0"/>
    <s v="High"/>
  </r>
  <r>
    <x v="98"/>
    <x v="76"/>
    <n v="4.9000000000000004"/>
    <n v="19576"/>
    <x v="8"/>
    <x v="1"/>
    <x v="1"/>
    <s v="Sarah Young"/>
    <x v="0"/>
    <x v="0"/>
    <s v="High"/>
  </r>
  <r>
    <x v="98"/>
    <x v="76"/>
    <n v="4.9000000000000004"/>
    <n v="19576"/>
    <x v="8"/>
    <x v="2"/>
    <x v="1"/>
    <s v="Sarah Young"/>
    <x v="0"/>
    <x v="0"/>
    <s v="High"/>
  </r>
  <r>
    <x v="98"/>
    <x v="76"/>
    <n v="4.9000000000000004"/>
    <n v="19576"/>
    <x v="8"/>
    <x v="6"/>
    <x v="1"/>
    <s v="Sarah Young"/>
    <x v="0"/>
    <x v="0"/>
    <s v="High"/>
  </r>
  <r>
    <x v="98"/>
    <x v="76"/>
    <n v="4.9000000000000004"/>
    <n v="19576"/>
    <x v="8"/>
    <x v="3"/>
    <x v="1"/>
    <s v="Sarah Young"/>
    <x v="0"/>
    <x v="0"/>
    <s v="High"/>
  </r>
  <r>
    <x v="99"/>
    <x v="77"/>
    <n v="4.8"/>
    <n v="2507"/>
    <x v="8"/>
    <x v="8"/>
    <x v="1"/>
    <s v="Anthony Bourdain"/>
    <x v="0"/>
    <x v="0"/>
    <s v="Low"/>
  </r>
  <r>
    <x v="100"/>
    <x v="78"/>
    <n v="4.7"/>
    <n v="17739"/>
    <x v="8"/>
    <x v="3"/>
    <x v="1"/>
    <s v="Rupi Kaur"/>
    <x v="0"/>
    <x v="0"/>
    <s v="High"/>
  </r>
  <r>
    <x v="100"/>
    <x v="78"/>
    <n v="4.7"/>
    <n v="17739"/>
    <x v="8"/>
    <x v="4"/>
    <x v="1"/>
    <s v="Rupi Kaur"/>
    <x v="0"/>
    <x v="0"/>
    <s v="High"/>
  </r>
  <r>
    <x v="100"/>
    <x v="78"/>
    <n v="4.7"/>
    <n v="17739"/>
    <x v="8"/>
    <x v="8"/>
    <x v="1"/>
    <s v="Rupi Kaur"/>
    <x v="0"/>
    <x v="0"/>
    <s v="High"/>
  </r>
  <r>
    <x v="101"/>
    <x v="79"/>
    <n v="4.5"/>
    <n v="26741"/>
    <x v="8"/>
    <x v="5"/>
    <x v="0"/>
    <s v="Suzanne Collins"/>
    <x v="0"/>
    <x v="0"/>
    <s v="High"/>
  </r>
  <r>
    <x v="101"/>
    <x v="79"/>
    <n v="4.5"/>
    <n v="26741"/>
    <x v="8"/>
    <x v="0"/>
    <x v="0"/>
    <s v="Suzanne Collins"/>
    <x v="0"/>
    <x v="0"/>
    <s v="High"/>
  </r>
  <r>
    <x v="101"/>
    <x v="79"/>
    <n v="4.5"/>
    <n v="26741"/>
    <x v="8"/>
    <x v="10"/>
    <x v="0"/>
    <s v="Suzanne Collins"/>
    <x v="0"/>
    <x v="0"/>
    <s v="High"/>
  </r>
  <r>
    <x v="102"/>
    <x v="80"/>
    <n v="4.9000000000000004"/>
    <n v="21834"/>
    <x v="8"/>
    <x v="10"/>
    <x v="0"/>
    <s v="Dr. Seuss"/>
    <x v="0"/>
    <x v="0"/>
    <s v="High"/>
  </r>
  <r>
    <x v="102"/>
    <x v="80"/>
    <n v="4.9000000000000004"/>
    <n v="21834"/>
    <x v="8"/>
    <x v="1"/>
    <x v="0"/>
    <s v="Dr. Seuss"/>
    <x v="0"/>
    <x v="0"/>
    <s v="High"/>
  </r>
  <r>
    <x v="102"/>
    <x v="80"/>
    <n v="4.9000000000000004"/>
    <n v="21834"/>
    <x v="8"/>
    <x v="2"/>
    <x v="0"/>
    <s v="Dr. Seuss"/>
    <x v="0"/>
    <x v="0"/>
    <s v="High"/>
  </r>
  <r>
    <x v="102"/>
    <x v="80"/>
    <n v="4.9000000000000004"/>
    <n v="21834"/>
    <x v="8"/>
    <x v="6"/>
    <x v="0"/>
    <s v="Dr. Seuss"/>
    <x v="0"/>
    <x v="0"/>
    <s v="High"/>
  </r>
  <r>
    <x v="102"/>
    <x v="80"/>
    <n v="4.9000000000000004"/>
    <n v="21834"/>
    <x v="8"/>
    <x v="3"/>
    <x v="0"/>
    <s v="Dr. Seuss"/>
    <x v="0"/>
    <x v="0"/>
    <s v="High"/>
  </r>
  <r>
    <x v="102"/>
    <x v="80"/>
    <n v="4.9000000000000004"/>
    <n v="21834"/>
    <x v="8"/>
    <x v="4"/>
    <x v="0"/>
    <s v="Dr. Seuss"/>
    <x v="0"/>
    <x v="0"/>
    <s v="High"/>
  </r>
  <r>
    <x v="102"/>
    <x v="80"/>
    <n v="4.9000000000000004"/>
    <n v="21834"/>
    <x v="8"/>
    <x v="8"/>
    <x v="0"/>
    <s v="Dr. Seuss"/>
    <x v="0"/>
    <x v="0"/>
    <s v="High"/>
  </r>
  <r>
    <x v="102"/>
    <x v="80"/>
    <n v="4.9000000000000004"/>
    <n v="21834"/>
    <x v="8"/>
    <x v="9"/>
    <x v="0"/>
    <s v="Dr. Seuss"/>
    <x v="0"/>
    <x v="0"/>
    <s v="High"/>
  </r>
  <r>
    <x v="103"/>
    <x v="81"/>
    <n v="4.8"/>
    <n v="25554"/>
    <x v="8"/>
    <x v="6"/>
    <x v="1"/>
    <s v="Gary Chapman"/>
    <x v="0"/>
    <x v="0"/>
    <s v="High"/>
  </r>
  <r>
    <x v="103"/>
    <x v="81"/>
    <n v="4.8"/>
    <n v="25554"/>
    <x v="8"/>
    <x v="3"/>
    <x v="1"/>
    <s v="Gary Chapman"/>
    <x v="0"/>
    <x v="0"/>
    <s v="High"/>
  </r>
  <r>
    <x v="103"/>
    <x v="81"/>
    <n v="4.8"/>
    <n v="25554"/>
    <x v="8"/>
    <x v="4"/>
    <x v="1"/>
    <s v="Gary Chapman"/>
    <x v="0"/>
    <x v="0"/>
    <s v="High"/>
  </r>
  <r>
    <x v="103"/>
    <x v="81"/>
    <n v="4.8"/>
    <n v="25554"/>
    <x v="8"/>
    <x v="8"/>
    <x v="1"/>
    <s v="Gary Chapman"/>
    <x v="0"/>
    <x v="0"/>
    <s v="High"/>
  </r>
  <r>
    <x v="103"/>
    <x v="81"/>
    <n v="4.8"/>
    <n v="25554"/>
    <x v="8"/>
    <x v="9"/>
    <x v="1"/>
    <s v="Gary Chapman"/>
    <x v="0"/>
    <x v="0"/>
    <s v="High"/>
  </r>
  <r>
    <x v="104"/>
    <x v="82"/>
    <n v="4.8"/>
    <n v="8081"/>
    <x v="8"/>
    <x v="2"/>
    <x v="0"/>
    <s v="B. J. Novak"/>
    <x v="0"/>
    <x v="0"/>
    <s v="Low"/>
  </r>
  <r>
    <x v="104"/>
    <x v="82"/>
    <n v="4.8"/>
    <n v="8081"/>
    <x v="8"/>
    <x v="6"/>
    <x v="0"/>
    <s v="B. J. Novak"/>
    <x v="0"/>
    <x v="0"/>
    <s v="Low"/>
  </r>
  <r>
    <x v="69"/>
    <x v="57"/>
    <n v="4.8"/>
    <n v="13871"/>
    <x v="8"/>
    <x v="0"/>
    <x v="0"/>
    <s v="Kathryn Stockett"/>
    <x v="0"/>
    <x v="0"/>
    <s v="High"/>
  </r>
  <r>
    <x v="105"/>
    <x v="79"/>
    <n v="4.7"/>
    <n v="32122"/>
    <x v="8"/>
    <x v="0"/>
    <x v="0"/>
    <s v="Suzanne Collins"/>
    <x v="0"/>
    <x v="0"/>
    <s v="High"/>
  </r>
  <r>
    <x v="105"/>
    <x v="79"/>
    <n v="4.7"/>
    <n v="32122"/>
    <x v="8"/>
    <x v="10"/>
    <x v="0"/>
    <s v="Suzanne Collins"/>
    <x v="0"/>
    <x v="0"/>
    <s v="High"/>
  </r>
  <r>
    <x v="106"/>
    <x v="83"/>
    <n v="4.5"/>
    <n v="10101"/>
    <x v="8"/>
    <x v="2"/>
    <x v="0"/>
    <s v="James Dashner"/>
    <x v="0"/>
    <x v="0"/>
    <s v="High"/>
  </r>
  <r>
    <x v="107"/>
    <x v="0"/>
    <n v="4.8"/>
    <n v="5898"/>
    <x v="8"/>
    <x v="8"/>
    <x v="0"/>
    <s v="Jeff Kinney"/>
    <x v="0"/>
    <x v="0"/>
    <s v="Low"/>
  </r>
  <r>
    <x v="108"/>
    <x v="84"/>
    <n v="4.5999999999999996"/>
    <n v="19720"/>
    <x v="8"/>
    <x v="7"/>
    <x v="0"/>
    <s v="William P. Young"/>
    <x v="0"/>
    <x v="0"/>
    <s v="High"/>
  </r>
  <r>
    <x v="108"/>
    <x v="84"/>
    <n v="4.5999999999999996"/>
    <n v="19720"/>
    <x v="8"/>
    <x v="4"/>
    <x v="0"/>
    <s v="William P. Young"/>
    <x v="0"/>
    <x v="0"/>
    <s v="High"/>
  </r>
  <r>
    <x v="109"/>
    <x v="0"/>
    <n v="4.9000000000000004"/>
    <n v="9413"/>
    <x v="8"/>
    <x v="9"/>
    <x v="0"/>
    <s v="Jeff Kinney"/>
    <x v="0"/>
    <x v="0"/>
    <s v="Low"/>
  </r>
  <r>
    <x v="110"/>
    <x v="85"/>
    <n v="4.7"/>
    <n v="14331"/>
    <x v="8"/>
    <x v="3"/>
    <x v="1"/>
    <s v="Jen Sincero"/>
    <x v="0"/>
    <x v="0"/>
    <s v="High"/>
  </r>
  <r>
    <x v="110"/>
    <x v="85"/>
    <n v="4.7"/>
    <n v="14331"/>
    <x v="8"/>
    <x v="4"/>
    <x v="1"/>
    <s v="Jen Sincero"/>
    <x v="0"/>
    <x v="0"/>
    <s v="High"/>
  </r>
  <r>
    <x v="110"/>
    <x v="85"/>
    <n v="4.7"/>
    <n v="14331"/>
    <x v="8"/>
    <x v="8"/>
    <x v="1"/>
    <s v="Jen Sincero"/>
    <x v="0"/>
    <x v="0"/>
    <s v="High"/>
  </r>
  <r>
    <x v="110"/>
    <x v="85"/>
    <n v="4.7"/>
    <n v="14331"/>
    <x v="8"/>
    <x v="9"/>
    <x v="1"/>
    <s v="Jen Sincero"/>
    <x v="0"/>
    <x v="0"/>
    <s v="High"/>
  </r>
  <r>
    <x v="111"/>
    <x v="86"/>
    <n v="4.5999999999999996"/>
    <n v="15921"/>
    <x v="9"/>
    <x v="6"/>
    <x v="1"/>
    <s v="Chris Kyle"/>
    <x v="0"/>
    <x v="0"/>
    <s v="High"/>
  </r>
  <r>
    <x v="112"/>
    <x v="87"/>
    <n v="4.7"/>
    <n v="9374"/>
    <x v="9"/>
    <x v="4"/>
    <x v="1"/>
    <s v="Neil deGrasse Tyson"/>
    <x v="0"/>
    <x v="0"/>
    <s v="Low"/>
  </r>
  <r>
    <x v="113"/>
    <x v="88"/>
    <n v="4.5"/>
    <n v="6346"/>
    <x v="9"/>
    <x v="0"/>
    <x v="1"/>
    <s v="Joel Fuhrman MD"/>
    <x v="0"/>
    <x v="0"/>
    <s v="Low"/>
  </r>
  <r>
    <x v="113"/>
    <x v="88"/>
    <n v="4.5"/>
    <n v="6346"/>
    <x v="9"/>
    <x v="10"/>
    <x v="1"/>
    <s v="Joel Fuhrman MD"/>
    <x v="0"/>
    <x v="0"/>
    <s v="Low"/>
  </r>
  <r>
    <x v="114"/>
    <x v="89"/>
    <n v="4.7"/>
    <n v="5413"/>
    <x v="9"/>
    <x v="6"/>
    <x v="1"/>
    <s v="Johanna Basford"/>
    <x v="0"/>
    <x v="0"/>
    <s v="Low"/>
  </r>
  <r>
    <x v="115"/>
    <x v="90"/>
    <n v="4.4000000000000004"/>
    <n v="1555"/>
    <x v="9"/>
    <x v="5"/>
    <x v="1"/>
    <s v="Michael Pollan"/>
    <x v="1"/>
    <x v="0"/>
    <s v="Low"/>
  </r>
  <r>
    <x v="116"/>
    <x v="91"/>
    <n v="4.4000000000000004"/>
    <n v="1215"/>
    <x v="9"/>
    <x v="5"/>
    <x v="1"/>
    <s v="John Heilemann"/>
    <x v="1"/>
    <x v="0"/>
    <s v="Low"/>
  </r>
  <r>
    <x v="117"/>
    <x v="92"/>
    <n v="4.8"/>
    <n v="9568"/>
    <x v="9"/>
    <x v="0"/>
    <x v="0"/>
    <s v="Adam Mansbach"/>
    <x v="0"/>
    <x v="0"/>
    <s v="Low"/>
  </r>
  <r>
    <x v="118"/>
    <x v="93"/>
    <n v="4"/>
    <n v="57271"/>
    <x v="9"/>
    <x v="2"/>
    <x v="0"/>
    <s v="Gillian Flynn"/>
    <x v="1"/>
    <x v="0"/>
    <s v="High"/>
  </r>
  <r>
    <x v="119"/>
    <x v="94"/>
    <n v="4.7"/>
    <n v="3564"/>
    <x v="9"/>
    <x v="6"/>
    <x v="1"/>
    <s v="Scholastic"/>
    <x v="0"/>
    <x v="0"/>
    <s v="Low"/>
  </r>
  <r>
    <x v="120"/>
    <x v="95"/>
    <n v="4.3"/>
    <n v="7153"/>
    <x v="9"/>
    <x v="2"/>
    <x v="0"/>
    <s v="Gayle Forman"/>
    <x v="1"/>
    <x v="0"/>
    <s v="Low"/>
  </r>
  <r>
    <x v="121"/>
    <x v="96"/>
    <n v="4.7"/>
    <n v="5178"/>
    <x v="9"/>
    <x v="3"/>
    <x v="1"/>
    <s v="Elie Wiesel"/>
    <x v="0"/>
    <x v="0"/>
    <s v="Low"/>
  </r>
  <r>
    <x v="122"/>
    <x v="97"/>
    <n v="4.5"/>
    <n v="1831"/>
    <x v="9"/>
    <x v="4"/>
    <x v="1"/>
    <s v="Sheryl Sandberg"/>
    <x v="0"/>
    <x v="0"/>
    <s v="Low"/>
  </r>
  <r>
    <x v="123"/>
    <x v="94"/>
    <n v="4.7"/>
    <n v="3503"/>
    <x v="9"/>
    <x v="3"/>
    <x v="0"/>
    <s v="Scholastic"/>
    <x v="0"/>
    <x v="0"/>
    <s v="Low"/>
  </r>
  <r>
    <x v="124"/>
    <x v="98"/>
    <n v="4.7"/>
    <n v="1985"/>
    <x v="9"/>
    <x v="5"/>
    <x v="1"/>
    <s v="David Platt"/>
    <x v="0"/>
    <x v="0"/>
    <s v="Low"/>
  </r>
  <r>
    <x v="124"/>
    <x v="98"/>
    <n v="4.7"/>
    <n v="1985"/>
    <x v="9"/>
    <x v="0"/>
    <x v="1"/>
    <s v="David Platt"/>
    <x v="0"/>
    <x v="0"/>
    <s v="Low"/>
  </r>
  <r>
    <x v="125"/>
    <x v="89"/>
    <n v="4.7"/>
    <n v="9366"/>
    <x v="9"/>
    <x v="6"/>
    <x v="1"/>
    <s v="Johanna Basford"/>
    <x v="0"/>
    <x v="0"/>
    <s v="Low"/>
  </r>
  <r>
    <x v="126"/>
    <x v="99"/>
    <n v="4.5999999999999996"/>
    <n v="2580"/>
    <x v="9"/>
    <x v="10"/>
    <x v="1"/>
    <s v="Edward Klein"/>
    <x v="0"/>
    <x v="0"/>
    <s v="Low"/>
  </r>
  <r>
    <x v="127"/>
    <x v="100"/>
    <n v="4.8"/>
    <n v="8922"/>
    <x v="9"/>
    <x v="1"/>
    <x v="0"/>
    <s v="Drew Daywalt"/>
    <x v="0"/>
    <x v="0"/>
    <s v="Low"/>
  </r>
  <r>
    <x v="127"/>
    <x v="100"/>
    <n v="4.8"/>
    <n v="8922"/>
    <x v="9"/>
    <x v="2"/>
    <x v="0"/>
    <s v="Drew Daywalt"/>
    <x v="0"/>
    <x v="0"/>
    <s v="Low"/>
  </r>
  <r>
    <x v="127"/>
    <x v="100"/>
    <n v="4.8"/>
    <n v="8922"/>
    <x v="9"/>
    <x v="6"/>
    <x v="0"/>
    <s v="Drew Daywalt"/>
    <x v="0"/>
    <x v="0"/>
    <s v="Low"/>
  </r>
  <r>
    <x v="128"/>
    <x v="81"/>
    <n v="4.5999999999999996"/>
    <n v="803"/>
    <x v="9"/>
    <x v="7"/>
    <x v="1"/>
    <s v="Gary Chapman"/>
    <x v="0"/>
    <x v="0"/>
    <s v="Low"/>
  </r>
  <r>
    <x v="129"/>
    <x v="10"/>
    <n v="4.7"/>
    <n v="7251"/>
    <x v="9"/>
    <x v="5"/>
    <x v="0"/>
    <s v="Stieg Larsson"/>
    <x v="0"/>
    <x v="0"/>
    <s v="Low"/>
  </r>
  <r>
    <x v="130"/>
    <x v="101"/>
    <n v="4.7"/>
    <n v="9289"/>
    <x v="9"/>
    <x v="0"/>
    <x v="1"/>
    <s v="Rebecca Skloot"/>
    <x v="0"/>
    <x v="0"/>
    <s v="Low"/>
  </r>
  <r>
    <x v="130"/>
    <x v="101"/>
    <n v="4.7"/>
    <n v="9289"/>
    <x v="9"/>
    <x v="10"/>
    <x v="1"/>
    <s v="Rebecca Skloot"/>
    <x v="0"/>
    <x v="0"/>
    <s v="Low"/>
  </r>
  <r>
    <x v="131"/>
    <x v="102"/>
    <n v="4.7"/>
    <n v="4028"/>
    <x v="9"/>
    <x v="7"/>
    <x v="1"/>
    <s v="Randy Pausch"/>
    <x v="0"/>
    <x v="0"/>
    <s v="Low"/>
  </r>
  <r>
    <x v="132"/>
    <x v="103"/>
    <n v="4.7"/>
    <n v="39459"/>
    <x v="9"/>
    <x v="6"/>
    <x v="0"/>
    <s v="Andy Weir"/>
    <x v="0"/>
    <x v="0"/>
    <s v="High"/>
  </r>
  <r>
    <x v="133"/>
    <x v="78"/>
    <n v="4.7"/>
    <n v="5487"/>
    <x v="9"/>
    <x v="4"/>
    <x v="1"/>
    <s v="Rupi Kaur"/>
    <x v="0"/>
    <x v="0"/>
    <s v="Low"/>
  </r>
  <r>
    <x v="134"/>
    <x v="104"/>
    <n v="4.4000000000000004"/>
    <n v="3503"/>
    <x v="9"/>
    <x v="7"/>
    <x v="1"/>
    <s v="Malcolm Gladwell"/>
    <x v="1"/>
    <x v="0"/>
    <s v="Low"/>
  </r>
  <r>
    <x v="135"/>
    <x v="105"/>
    <n v="4.5"/>
    <n v="7932"/>
    <x v="9"/>
    <x v="4"/>
    <x v="0"/>
    <s v="Jay Asher"/>
    <x v="0"/>
    <x v="0"/>
    <s v="Low"/>
  </r>
  <r>
    <x v="136"/>
    <x v="4"/>
    <n v="4.7"/>
    <n v="11676"/>
    <x v="9"/>
    <x v="7"/>
    <x v="0"/>
    <s v="Stephenie Meyer"/>
    <x v="0"/>
    <x v="0"/>
    <s v="High"/>
  </r>
  <r>
    <x v="137"/>
    <x v="106"/>
    <n v="4.7"/>
    <n v="4585"/>
    <x v="9"/>
    <x v="3"/>
    <x v="1"/>
    <s v="Lysa TerKeurst"/>
    <x v="0"/>
    <x v="0"/>
    <s v="Low"/>
  </r>
  <r>
    <x v="138"/>
    <x v="107"/>
    <n v="4.4000000000000004"/>
    <n v="3341"/>
    <x v="9"/>
    <x v="0"/>
    <x v="1"/>
    <s v="Heidi Murkoff"/>
    <x v="1"/>
    <x v="0"/>
    <s v="Low"/>
  </r>
  <r>
    <x v="139"/>
    <x v="108"/>
    <n v="4.8"/>
    <n v="21625"/>
    <x v="9"/>
    <x v="1"/>
    <x v="0"/>
    <s v="R. J. Palacio"/>
    <x v="0"/>
    <x v="0"/>
    <s v="High"/>
  </r>
  <r>
    <x v="139"/>
    <x v="108"/>
    <n v="4.8"/>
    <n v="21625"/>
    <x v="9"/>
    <x v="2"/>
    <x v="0"/>
    <s v="R. J. Palacio"/>
    <x v="0"/>
    <x v="0"/>
    <s v="High"/>
  </r>
  <r>
    <x v="139"/>
    <x v="108"/>
    <n v="4.8"/>
    <n v="21625"/>
    <x v="9"/>
    <x v="6"/>
    <x v="0"/>
    <s v="R. J. Palacio"/>
    <x v="0"/>
    <x v="0"/>
    <s v="High"/>
  </r>
  <r>
    <x v="139"/>
    <x v="108"/>
    <n v="4.8"/>
    <n v="21625"/>
    <x v="9"/>
    <x v="3"/>
    <x v="0"/>
    <s v="R. J. Palacio"/>
    <x v="0"/>
    <x v="0"/>
    <s v="High"/>
  </r>
  <r>
    <x v="139"/>
    <x v="108"/>
    <n v="4.8"/>
    <n v="21625"/>
    <x v="9"/>
    <x v="4"/>
    <x v="0"/>
    <s v="R. J. Palacio"/>
    <x v="0"/>
    <x v="0"/>
    <s v="High"/>
  </r>
  <r>
    <x v="140"/>
    <x v="109"/>
    <n v="4.8"/>
    <n v="1329"/>
    <x v="10"/>
    <x v="1"/>
    <x v="1"/>
    <s v="BreneÌ Brown"/>
    <x v="0"/>
    <x v="0"/>
    <s v="Low"/>
  </r>
  <r>
    <x v="118"/>
    <x v="93"/>
    <n v="4"/>
    <n v="57271"/>
    <x v="10"/>
    <x v="10"/>
    <x v="0"/>
    <s v="Gillian Flynn"/>
    <x v="1"/>
    <x v="0"/>
    <s v="High"/>
  </r>
  <r>
    <x v="118"/>
    <x v="93"/>
    <n v="4"/>
    <n v="57271"/>
    <x v="10"/>
    <x v="1"/>
    <x v="0"/>
    <s v="Gillian Flynn"/>
    <x v="1"/>
    <x v="0"/>
    <s v="High"/>
  </r>
  <r>
    <x v="141"/>
    <x v="110"/>
    <n v="4.5999999999999996"/>
    <n v="5972"/>
    <x v="10"/>
    <x v="2"/>
    <x v="1"/>
    <s v="David Perlmutter MD"/>
    <x v="0"/>
    <x v="0"/>
    <s v="Low"/>
  </r>
  <r>
    <x v="142"/>
    <x v="111"/>
    <n v="4.7"/>
    <n v="15779"/>
    <x v="10"/>
    <x v="0"/>
    <x v="1"/>
    <s v="Todd Burpo"/>
    <x v="0"/>
    <x v="0"/>
    <s v="High"/>
  </r>
  <r>
    <x v="142"/>
    <x v="111"/>
    <n v="4.7"/>
    <n v="15779"/>
    <x v="10"/>
    <x v="10"/>
    <x v="1"/>
    <s v="Todd Burpo"/>
    <x v="0"/>
    <x v="0"/>
    <s v="High"/>
  </r>
  <r>
    <x v="143"/>
    <x v="34"/>
    <n v="4.7"/>
    <n v="9342"/>
    <x v="10"/>
    <x v="0"/>
    <x v="1"/>
    <s v="Bill O'Reilly"/>
    <x v="0"/>
    <x v="0"/>
    <s v="Low"/>
  </r>
  <r>
    <x v="143"/>
    <x v="34"/>
    <n v="4.7"/>
    <n v="9342"/>
    <x v="10"/>
    <x v="10"/>
    <x v="1"/>
    <s v="Bill O'Reilly"/>
    <x v="0"/>
    <x v="0"/>
    <s v="Low"/>
  </r>
  <r>
    <x v="144"/>
    <x v="112"/>
    <n v="4.0999999999999996"/>
    <n v="1467"/>
    <x v="10"/>
    <x v="5"/>
    <x v="0"/>
    <s v="Chris Cleave"/>
    <x v="1"/>
    <x v="0"/>
    <s v="Low"/>
  </r>
  <r>
    <x v="145"/>
    <x v="113"/>
    <n v="4.5999999999999996"/>
    <n v="5542"/>
    <x v="10"/>
    <x v="2"/>
    <x v="1"/>
    <s v="Carol S. Dweck"/>
    <x v="0"/>
    <x v="0"/>
    <s v="Low"/>
  </r>
  <r>
    <x v="145"/>
    <x v="113"/>
    <n v="4.5999999999999996"/>
    <n v="5542"/>
    <x v="10"/>
    <x v="6"/>
    <x v="1"/>
    <s v="Carol S. Dweck"/>
    <x v="0"/>
    <x v="0"/>
    <s v="Low"/>
  </r>
  <r>
    <x v="145"/>
    <x v="113"/>
    <n v="4.5999999999999996"/>
    <n v="5542"/>
    <x v="10"/>
    <x v="3"/>
    <x v="1"/>
    <s v="Carol S. Dweck"/>
    <x v="0"/>
    <x v="0"/>
    <s v="Low"/>
  </r>
  <r>
    <x v="146"/>
    <x v="4"/>
    <n v="4.5999999999999996"/>
    <n v="5680"/>
    <x v="10"/>
    <x v="7"/>
    <x v="0"/>
    <s v="Stephenie Meyer"/>
    <x v="0"/>
    <x v="0"/>
    <s v="Low"/>
  </r>
  <r>
    <x v="147"/>
    <x v="114"/>
    <n v="4.3"/>
    <n v="13616"/>
    <x v="10"/>
    <x v="10"/>
    <x v="1"/>
    <s v="Eben Alexander"/>
    <x v="1"/>
    <x v="0"/>
    <s v="High"/>
  </r>
  <r>
    <x v="147"/>
    <x v="114"/>
    <n v="4.3"/>
    <n v="13616"/>
    <x v="10"/>
    <x v="1"/>
    <x v="1"/>
    <s v="Eben Alexander"/>
    <x v="1"/>
    <x v="0"/>
    <s v="High"/>
  </r>
  <r>
    <x v="148"/>
    <x v="115"/>
    <n v="4.5999999999999996"/>
    <n v="3619"/>
    <x v="10"/>
    <x v="5"/>
    <x v="0"/>
    <s v="Tatiana de Rosnay"/>
    <x v="0"/>
    <x v="0"/>
    <s v="Low"/>
  </r>
  <r>
    <x v="149"/>
    <x v="116"/>
    <n v="4.7"/>
    <n v="11813"/>
    <x v="10"/>
    <x v="5"/>
    <x v="0"/>
    <s v="Garth Stein"/>
    <x v="0"/>
    <x v="0"/>
    <s v="High"/>
  </r>
  <r>
    <x v="149"/>
    <x v="116"/>
    <n v="4.7"/>
    <n v="11813"/>
    <x v="10"/>
    <x v="0"/>
    <x v="0"/>
    <s v="Garth Stein"/>
    <x v="0"/>
    <x v="0"/>
    <s v="High"/>
  </r>
  <r>
    <x v="150"/>
    <x v="117"/>
    <n v="4.7"/>
    <n v="8587"/>
    <x v="10"/>
    <x v="7"/>
    <x v="0"/>
    <s v="Mary Ann Shaffer"/>
    <x v="0"/>
    <x v="0"/>
    <s v="Low"/>
  </r>
  <r>
    <x v="151"/>
    <x v="9"/>
    <n v="4.8"/>
    <n v="6247"/>
    <x v="10"/>
    <x v="10"/>
    <x v="0"/>
    <s v="Rick Riordan"/>
    <x v="0"/>
    <x v="0"/>
    <s v="Low"/>
  </r>
  <r>
    <x v="152"/>
    <x v="9"/>
    <n v="4.8"/>
    <n v="4290"/>
    <x v="10"/>
    <x v="0"/>
    <x v="0"/>
    <s v="Rick Riordan"/>
    <x v="0"/>
    <x v="0"/>
    <s v="Low"/>
  </r>
  <r>
    <x v="153"/>
    <x v="9"/>
    <n v="4.7"/>
    <n v="1463"/>
    <x v="10"/>
    <x v="0"/>
    <x v="0"/>
    <s v="Rick Riordan"/>
    <x v="0"/>
    <x v="0"/>
    <s v="Low"/>
  </r>
  <r>
    <x v="154"/>
    <x v="118"/>
    <n v="4.7"/>
    <n v="11550"/>
    <x v="10"/>
    <x v="9"/>
    <x v="1"/>
    <s v="Dave Ramsey"/>
    <x v="0"/>
    <x v="0"/>
    <s v="High"/>
  </r>
  <r>
    <x v="155"/>
    <x v="119"/>
    <n v="4.7"/>
    <n v="9030"/>
    <x v="10"/>
    <x v="9"/>
    <x v="1"/>
    <s v="Dinah Bucholz"/>
    <x v="0"/>
    <x v="0"/>
    <s v="Low"/>
  </r>
  <r>
    <x v="156"/>
    <x v="120"/>
    <n v="4.9000000000000004"/>
    <n v="8842"/>
    <x v="10"/>
    <x v="3"/>
    <x v="0"/>
    <s v="Emily Winfield Martin"/>
    <x v="0"/>
    <x v="0"/>
    <s v="Low"/>
  </r>
  <r>
    <x v="156"/>
    <x v="120"/>
    <n v="4.9000000000000004"/>
    <n v="8842"/>
    <x v="10"/>
    <x v="4"/>
    <x v="0"/>
    <s v="Emily Winfield Martin"/>
    <x v="0"/>
    <x v="0"/>
    <s v="Low"/>
  </r>
  <r>
    <x v="156"/>
    <x v="120"/>
    <n v="4.9000000000000004"/>
    <n v="8842"/>
    <x v="10"/>
    <x v="8"/>
    <x v="0"/>
    <s v="Emily Winfield Martin"/>
    <x v="0"/>
    <x v="0"/>
    <s v="Low"/>
  </r>
  <r>
    <x v="156"/>
    <x v="120"/>
    <n v="4.9000000000000004"/>
    <n v="8842"/>
    <x v="10"/>
    <x v="9"/>
    <x v="0"/>
    <s v="Emily Winfield Martin"/>
    <x v="0"/>
    <x v="0"/>
    <s v="Low"/>
  </r>
  <r>
    <x v="157"/>
    <x v="121"/>
    <n v="4.4000000000000004"/>
    <n v="12643"/>
    <x v="11"/>
    <x v="0"/>
    <x v="0"/>
    <s v="George R. R. Martin"/>
    <x v="1"/>
    <x v="0"/>
    <s v="High"/>
  </r>
  <r>
    <x v="158"/>
    <x v="122"/>
    <n v="4.5999999999999996"/>
    <n v="1909"/>
    <x v="11"/>
    <x v="6"/>
    <x v="1"/>
    <s v="Angie Grace"/>
    <x v="0"/>
    <x v="0"/>
    <s v="Low"/>
  </r>
  <r>
    <x v="159"/>
    <x v="123"/>
    <n v="4.8"/>
    <n v="61133"/>
    <x v="11"/>
    <x v="8"/>
    <x v="1"/>
    <s v="Michelle Obama"/>
    <x v="0"/>
    <x v="0"/>
    <s v="High"/>
  </r>
  <r>
    <x v="159"/>
    <x v="123"/>
    <n v="4.8"/>
    <n v="61133"/>
    <x v="11"/>
    <x v="9"/>
    <x v="1"/>
    <s v="Michelle Obama"/>
    <x v="0"/>
    <x v="0"/>
    <s v="High"/>
  </r>
  <r>
    <x v="160"/>
    <x v="79"/>
    <n v="4.7"/>
    <n v="22614"/>
    <x v="11"/>
    <x v="5"/>
    <x v="0"/>
    <s v="Suzanne Collins"/>
    <x v="0"/>
    <x v="0"/>
    <s v="High"/>
  </r>
  <r>
    <x v="160"/>
    <x v="79"/>
    <n v="4.7"/>
    <n v="22614"/>
    <x v="11"/>
    <x v="0"/>
    <x v="0"/>
    <s v="Suzanne Collins"/>
    <x v="0"/>
    <x v="0"/>
    <s v="High"/>
  </r>
  <r>
    <x v="160"/>
    <x v="79"/>
    <n v="4.7"/>
    <n v="22614"/>
    <x v="11"/>
    <x v="10"/>
    <x v="0"/>
    <s v="Suzanne Collins"/>
    <x v="0"/>
    <x v="0"/>
    <s v="High"/>
  </r>
  <r>
    <x v="161"/>
    <x v="124"/>
    <n v="4.5999999999999996"/>
    <n v="4866"/>
    <x v="11"/>
    <x v="5"/>
    <x v="0"/>
    <s v="Abraham Verghese"/>
    <x v="0"/>
    <x v="0"/>
    <s v="Low"/>
  </r>
  <r>
    <x v="161"/>
    <x v="124"/>
    <n v="4.5999999999999996"/>
    <n v="4866"/>
    <x v="11"/>
    <x v="0"/>
    <x v="0"/>
    <s v="Abraham Verghese"/>
    <x v="0"/>
    <x v="0"/>
    <s v="Low"/>
  </r>
  <r>
    <x v="162"/>
    <x v="60"/>
    <n v="4.5"/>
    <n v="20262"/>
    <x v="11"/>
    <x v="10"/>
    <x v="0"/>
    <s v="E L James"/>
    <x v="0"/>
    <x v="0"/>
    <s v="High"/>
  </r>
  <r>
    <x v="163"/>
    <x v="26"/>
    <n v="4.5999999999999996"/>
    <n v="1365"/>
    <x v="11"/>
    <x v="7"/>
    <x v="1"/>
    <s v="Glenn Beck"/>
    <x v="0"/>
    <x v="0"/>
    <s v="Low"/>
  </r>
  <r>
    <x v="164"/>
    <x v="125"/>
    <n v="4.8"/>
    <n v="4148"/>
    <x v="11"/>
    <x v="1"/>
    <x v="1"/>
    <s v="Phil Robertson"/>
    <x v="0"/>
    <x v="0"/>
    <s v="Low"/>
  </r>
  <r>
    <x v="165"/>
    <x v="126"/>
    <n v="4.7"/>
    <n v="25001"/>
    <x v="11"/>
    <x v="2"/>
    <x v="1"/>
    <s v="Dale Carnegie"/>
    <x v="0"/>
    <x v="0"/>
    <s v="High"/>
  </r>
  <r>
    <x v="165"/>
    <x v="126"/>
    <n v="4.7"/>
    <n v="25001"/>
    <x v="11"/>
    <x v="6"/>
    <x v="1"/>
    <s v="Dale Carnegie"/>
    <x v="0"/>
    <x v="0"/>
    <s v="High"/>
  </r>
  <r>
    <x v="165"/>
    <x v="126"/>
    <n v="4.7"/>
    <n v="25001"/>
    <x v="11"/>
    <x v="3"/>
    <x v="1"/>
    <s v="Dale Carnegie"/>
    <x v="0"/>
    <x v="0"/>
    <s v="High"/>
  </r>
  <r>
    <x v="165"/>
    <x v="126"/>
    <n v="4.7"/>
    <n v="25001"/>
    <x v="11"/>
    <x v="4"/>
    <x v="1"/>
    <s v="Dale Carnegie"/>
    <x v="0"/>
    <x v="0"/>
    <s v="High"/>
  </r>
  <r>
    <x v="165"/>
    <x v="126"/>
    <n v="4.7"/>
    <n v="25001"/>
    <x v="11"/>
    <x v="8"/>
    <x v="1"/>
    <s v="Dale Carnegie"/>
    <x v="0"/>
    <x v="0"/>
    <s v="High"/>
  </r>
  <r>
    <x v="166"/>
    <x v="127"/>
    <n v="4.7"/>
    <n v="10199"/>
    <x v="11"/>
    <x v="4"/>
    <x v="1"/>
    <s v="Admiral William H. McRaven"/>
    <x v="0"/>
    <x v="0"/>
    <s v="High"/>
  </r>
  <r>
    <x v="167"/>
    <x v="128"/>
    <n v="4.8"/>
    <n v="7866"/>
    <x v="11"/>
    <x v="9"/>
    <x v="1"/>
    <s v="Amy Shields"/>
    <x v="0"/>
    <x v="0"/>
    <s v="Low"/>
  </r>
  <r>
    <x v="168"/>
    <x v="129"/>
    <n v="4.5999999999999996"/>
    <n v="21930"/>
    <x v="11"/>
    <x v="2"/>
    <x v="0"/>
    <s v="Christina Baker Kline"/>
    <x v="0"/>
    <x v="0"/>
    <s v="High"/>
  </r>
  <r>
    <x v="169"/>
    <x v="130"/>
    <n v="4.7"/>
    <n v="1265"/>
    <x v="11"/>
    <x v="5"/>
    <x v="1"/>
    <s v="Justin Halpern"/>
    <x v="0"/>
    <x v="0"/>
    <s v="Low"/>
  </r>
  <r>
    <x v="170"/>
    <x v="9"/>
    <n v="4.8"/>
    <n v="6600"/>
    <x v="11"/>
    <x v="2"/>
    <x v="0"/>
    <s v="Rick Riordan"/>
    <x v="0"/>
    <x v="0"/>
    <s v="Low"/>
  </r>
  <r>
    <x v="171"/>
    <x v="131"/>
    <n v="4.4000000000000004"/>
    <n v="440"/>
    <x v="11"/>
    <x v="5"/>
    <x v="1"/>
    <s v="Jon Stewart"/>
    <x v="1"/>
    <x v="0"/>
    <s v="Low"/>
  </r>
  <r>
    <x v="172"/>
    <x v="132"/>
    <n v="4"/>
    <n v="1859"/>
    <x v="11"/>
    <x v="7"/>
    <x v="0"/>
    <s v="Muriel Barbery"/>
    <x v="1"/>
    <x v="0"/>
    <s v="Low"/>
  </r>
  <r>
    <x v="173"/>
    <x v="133"/>
    <n v="4.8"/>
    <n v="9947"/>
    <x v="11"/>
    <x v="8"/>
    <x v="0"/>
    <s v="Angie Thomas"/>
    <x v="0"/>
    <x v="0"/>
    <s v="Low"/>
  </r>
  <r>
    <x v="174"/>
    <x v="134"/>
    <n v="4.5"/>
    <n v="22641"/>
    <x v="11"/>
    <x v="6"/>
    <x v="1"/>
    <s v="Marie KondÅ"/>
    <x v="0"/>
    <x v="0"/>
    <s v="High"/>
  </r>
  <r>
    <x v="174"/>
    <x v="134"/>
    <n v="4.5"/>
    <n v="22641"/>
    <x v="11"/>
    <x v="3"/>
    <x v="1"/>
    <s v="Marie KondÅ"/>
    <x v="0"/>
    <x v="0"/>
    <s v="High"/>
  </r>
  <r>
    <x v="174"/>
    <x v="134"/>
    <n v="4.5"/>
    <n v="22641"/>
    <x v="11"/>
    <x v="4"/>
    <x v="1"/>
    <s v="Marie KondÅ"/>
    <x v="0"/>
    <x v="0"/>
    <s v="High"/>
  </r>
  <r>
    <x v="174"/>
    <x v="134"/>
    <n v="4.5"/>
    <n v="22641"/>
    <x v="11"/>
    <x v="9"/>
    <x v="1"/>
    <s v="Marie KondÅ"/>
    <x v="0"/>
    <x v="0"/>
    <s v="High"/>
  </r>
  <r>
    <x v="175"/>
    <x v="135"/>
    <n v="4.8"/>
    <n v="49288"/>
    <x v="11"/>
    <x v="6"/>
    <x v="0"/>
    <s v="Kristin Hannah"/>
    <x v="0"/>
    <x v="0"/>
    <s v="High"/>
  </r>
  <r>
    <x v="175"/>
    <x v="135"/>
    <n v="4.8"/>
    <n v="49288"/>
    <x v="11"/>
    <x v="3"/>
    <x v="0"/>
    <s v="Kristin Hannah"/>
    <x v="0"/>
    <x v="0"/>
    <s v="High"/>
  </r>
  <r>
    <x v="176"/>
    <x v="136"/>
    <n v="4.3"/>
    <n v="3319"/>
    <x v="11"/>
    <x v="7"/>
    <x v="1"/>
    <s v="Greg Mortenson"/>
    <x v="1"/>
    <x v="0"/>
    <s v="Low"/>
  </r>
  <r>
    <x v="176"/>
    <x v="136"/>
    <n v="4.3"/>
    <n v="3319"/>
    <x v="11"/>
    <x v="5"/>
    <x v="1"/>
    <s v="Greg Mortenson"/>
    <x v="1"/>
    <x v="0"/>
    <s v="Low"/>
  </r>
  <r>
    <x v="177"/>
    <x v="137"/>
    <n v="4.9000000000000004"/>
    <n v="5956"/>
    <x v="11"/>
    <x v="9"/>
    <x v="1"/>
    <s v="Mark R. Levin"/>
    <x v="0"/>
    <x v="0"/>
    <s v="Low"/>
  </r>
  <r>
    <x v="178"/>
    <x v="138"/>
    <n v="4.2"/>
    <n v="1302"/>
    <x v="11"/>
    <x v="5"/>
    <x v="1"/>
    <s v="Geneen Roth"/>
    <x v="1"/>
    <x v="0"/>
    <s v="Low"/>
  </r>
  <r>
    <x v="179"/>
    <x v="139"/>
    <n v="4.8"/>
    <n v="7665"/>
    <x v="12"/>
    <x v="9"/>
    <x v="1"/>
    <s v="National Geographic Kids"/>
    <x v="0"/>
    <x v="0"/>
    <s v="Low"/>
  </r>
  <r>
    <x v="180"/>
    <x v="0"/>
    <n v="4.8"/>
    <n v="3181"/>
    <x v="12"/>
    <x v="7"/>
    <x v="0"/>
    <s v="Jeff Kinney"/>
    <x v="0"/>
    <x v="0"/>
    <s v="Low"/>
  </r>
  <r>
    <x v="181"/>
    <x v="140"/>
    <n v="4.5999999999999996"/>
    <n v="7660"/>
    <x v="12"/>
    <x v="9"/>
    <x v="1"/>
    <s v="Rachel Hollis"/>
    <x v="0"/>
    <x v="0"/>
    <s v="Low"/>
  </r>
  <r>
    <x v="182"/>
    <x v="140"/>
    <n v="4.5999999999999996"/>
    <n v="22288"/>
    <x v="12"/>
    <x v="8"/>
    <x v="1"/>
    <s v="Rachel Hollis"/>
    <x v="0"/>
    <x v="0"/>
    <s v="High"/>
  </r>
  <r>
    <x v="182"/>
    <x v="140"/>
    <n v="4.5999999999999996"/>
    <n v="22288"/>
    <x v="12"/>
    <x v="9"/>
    <x v="1"/>
    <s v="Rachel Hollis"/>
    <x v="0"/>
    <x v="0"/>
    <s v="High"/>
  </r>
  <r>
    <x v="183"/>
    <x v="141"/>
    <n v="4"/>
    <n v="23973"/>
    <x v="12"/>
    <x v="3"/>
    <x v="0"/>
    <s v="J.K. Rowling"/>
    <x v="1"/>
    <x v="0"/>
    <s v="High"/>
  </r>
  <r>
    <x v="184"/>
    <x v="106"/>
    <n v="4.8"/>
    <n v="7062"/>
    <x v="12"/>
    <x v="9"/>
    <x v="1"/>
    <s v="Lysa TerKeurst"/>
    <x v="0"/>
    <x v="0"/>
    <s v="Low"/>
  </r>
  <r>
    <x v="185"/>
    <x v="142"/>
    <n v="4.5"/>
    <n v="4748"/>
    <x v="12"/>
    <x v="1"/>
    <x v="0"/>
    <s v="Stephen King"/>
    <x v="0"/>
    <x v="0"/>
    <s v="Low"/>
  </r>
  <r>
    <x v="186"/>
    <x v="34"/>
    <n v="4.5"/>
    <n v="11391"/>
    <x v="12"/>
    <x v="1"/>
    <x v="1"/>
    <s v="Bill O'Reilly"/>
    <x v="0"/>
    <x v="0"/>
    <s v="High"/>
  </r>
  <r>
    <x v="187"/>
    <x v="143"/>
    <n v="4.5"/>
    <n v="25706"/>
    <x v="12"/>
    <x v="8"/>
    <x v="0"/>
    <s v="Celeste Ng"/>
    <x v="0"/>
    <x v="0"/>
    <s v="High"/>
  </r>
  <r>
    <x v="188"/>
    <x v="144"/>
    <n v="4.2"/>
    <n v="4519"/>
    <x v="12"/>
    <x v="7"/>
    <x v="0"/>
    <s v="Elizabeth Strout"/>
    <x v="1"/>
    <x v="0"/>
    <s v="Low"/>
  </r>
  <r>
    <x v="189"/>
    <x v="145"/>
    <n v="4.5999999999999996"/>
    <n v="22536"/>
    <x v="12"/>
    <x v="4"/>
    <x v="0"/>
    <s v="Ernest Cline"/>
    <x v="0"/>
    <x v="0"/>
    <s v="High"/>
  </r>
  <r>
    <x v="189"/>
    <x v="145"/>
    <n v="4.5999999999999996"/>
    <n v="22536"/>
    <x v="12"/>
    <x v="8"/>
    <x v="0"/>
    <s v="Ernest Cline"/>
    <x v="0"/>
    <x v="0"/>
    <s v="High"/>
  </r>
  <r>
    <x v="190"/>
    <x v="146"/>
    <n v="4.9000000000000004"/>
    <n v="7150"/>
    <x v="12"/>
    <x v="1"/>
    <x v="0"/>
    <s v="Rush Limbaugh"/>
    <x v="0"/>
    <x v="0"/>
    <s v="Low"/>
  </r>
  <r>
    <x v="191"/>
    <x v="146"/>
    <n v="4.9000000000000004"/>
    <n v="3836"/>
    <x v="12"/>
    <x v="2"/>
    <x v="0"/>
    <s v="Rush Limbaugh"/>
    <x v="0"/>
    <x v="0"/>
    <s v="Low"/>
  </r>
  <r>
    <x v="192"/>
    <x v="147"/>
    <n v="4.8"/>
    <n v="1680"/>
    <x v="12"/>
    <x v="7"/>
    <x v="1"/>
    <s v="W. Cleon Skousen"/>
    <x v="0"/>
    <x v="0"/>
    <s v="Low"/>
  </r>
  <r>
    <x v="193"/>
    <x v="148"/>
    <n v="4.8"/>
    <n v="12361"/>
    <x v="12"/>
    <x v="9"/>
    <x v="1"/>
    <s v="Bessel van der Kolk M.D."/>
    <x v="0"/>
    <x v="0"/>
    <s v="High"/>
  </r>
  <r>
    <x v="194"/>
    <x v="149"/>
    <n v="4.8"/>
    <n v="23358"/>
    <x v="12"/>
    <x v="2"/>
    <x v="1"/>
    <s v="Daniel James Brown"/>
    <x v="0"/>
    <x v="0"/>
    <s v="High"/>
  </r>
  <r>
    <x v="194"/>
    <x v="149"/>
    <n v="4.8"/>
    <n v="23358"/>
    <x v="12"/>
    <x v="6"/>
    <x v="1"/>
    <s v="Daniel James Brown"/>
    <x v="0"/>
    <x v="0"/>
    <s v="High"/>
  </r>
  <r>
    <x v="195"/>
    <x v="141"/>
    <n v="3.3"/>
    <n v="9372"/>
    <x v="12"/>
    <x v="10"/>
    <x v="0"/>
    <s v="J.K. Rowling"/>
    <x v="1"/>
    <x v="0"/>
    <s v="Low"/>
  </r>
  <r>
    <x v="196"/>
    <x v="150"/>
    <n v="4.5999999999999996"/>
    <n v="2744"/>
    <x v="12"/>
    <x v="9"/>
    <x v="1"/>
    <s v="The Washington Post"/>
    <x v="0"/>
    <x v="0"/>
    <s v="Low"/>
  </r>
  <r>
    <x v="197"/>
    <x v="9"/>
    <n v="4.5999999999999996"/>
    <n v="2186"/>
    <x v="12"/>
    <x v="5"/>
    <x v="0"/>
    <s v="Rick Riordan"/>
    <x v="0"/>
    <x v="0"/>
    <s v="Low"/>
  </r>
  <r>
    <x v="198"/>
    <x v="9"/>
    <n v="4.8"/>
    <n v="2091"/>
    <x v="12"/>
    <x v="10"/>
    <x v="0"/>
    <s v="Rick Riordan"/>
    <x v="0"/>
    <x v="0"/>
    <s v="Low"/>
  </r>
  <r>
    <x v="199"/>
    <x v="0"/>
    <n v="4.8"/>
    <n v="3796"/>
    <x v="12"/>
    <x v="5"/>
    <x v="0"/>
    <s v="Jeff Kinney"/>
    <x v="0"/>
    <x v="0"/>
    <s v="Low"/>
  </r>
  <r>
    <x v="200"/>
    <x v="151"/>
    <n v="4.3"/>
    <n v="5977"/>
    <x v="12"/>
    <x v="0"/>
    <x v="1"/>
    <s v="Tina Fey"/>
    <x v="1"/>
    <x v="0"/>
    <s v="Low"/>
  </r>
  <r>
    <x v="201"/>
    <x v="152"/>
    <n v="4.5"/>
    <n v="8958"/>
    <x v="12"/>
    <x v="0"/>
    <x v="0"/>
    <s v="Sara Gruen"/>
    <x v="0"/>
    <x v="0"/>
    <s v="Low"/>
  </r>
  <r>
    <x v="202"/>
    <x v="153"/>
    <n v="4.5999999999999996"/>
    <n v="6669"/>
    <x v="12"/>
    <x v="8"/>
    <x v="1"/>
    <s v="The Staff of The Late Show withÂ…"/>
    <x v="0"/>
    <x v="0"/>
    <s v="Low"/>
  </r>
  <r>
    <x v="203"/>
    <x v="154"/>
    <n v="4.8"/>
    <n v="9198"/>
    <x v="13"/>
    <x v="3"/>
    <x v="1"/>
    <s v="Ron Chernow"/>
    <x v="0"/>
    <x v="0"/>
    <s v="Low"/>
  </r>
  <r>
    <x v="204"/>
    <x v="43"/>
    <n v="3.9"/>
    <n v="6310"/>
    <x v="13"/>
    <x v="1"/>
    <x v="0"/>
    <s v="Veronica Roth"/>
    <x v="1"/>
    <x v="0"/>
    <s v="Low"/>
  </r>
  <r>
    <x v="205"/>
    <x v="155"/>
    <n v="4.3"/>
    <n v="12159"/>
    <x v="13"/>
    <x v="1"/>
    <x v="0"/>
    <s v="Khaled Hosseini"/>
    <x v="1"/>
    <x v="0"/>
    <s v="High"/>
  </r>
  <r>
    <x v="206"/>
    <x v="156"/>
    <n v="4.7"/>
    <n v="10070"/>
    <x v="13"/>
    <x v="6"/>
    <x v="1"/>
    <s v="Ta-Nehisi Coates"/>
    <x v="0"/>
    <x v="0"/>
    <s v="High"/>
  </r>
  <r>
    <x v="206"/>
    <x v="156"/>
    <n v="4.7"/>
    <n v="10070"/>
    <x v="13"/>
    <x v="3"/>
    <x v="1"/>
    <s v="Ta-Nehisi Coates"/>
    <x v="0"/>
    <x v="0"/>
    <s v="High"/>
  </r>
  <r>
    <x v="207"/>
    <x v="4"/>
    <n v="4.5999999999999996"/>
    <n v="9769"/>
    <x v="13"/>
    <x v="7"/>
    <x v="0"/>
    <s v="Stephenie Meyer"/>
    <x v="0"/>
    <x v="0"/>
    <s v="Low"/>
  </r>
  <r>
    <x v="208"/>
    <x v="104"/>
    <n v="4.4000000000000004"/>
    <n v="4642"/>
    <x v="13"/>
    <x v="1"/>
    <x v="1"/>
    <s v="Malcolm Gladwell"/>
    <x v="1"/>
    <x v="0"/>
    <s v="Low"/>
  </r>
  <r>
    <x v="209"/>
    <x v="142"/>
    <n v="4.7"/>
    <n v="15845"/>
    <x v="13"/>
    <x v="1"/>
    <x v="0"/>
    <s v="Stephen King"/>
    <x v="0"/>
    <x v="0"/>
    <s v="High"/>
  </r>
  <r>
    <x v="210"/>
    <x v="157"/>
    <n v="4.4000000000000004"/>
    <n v="7396"/>
    <x v="13"/>
    <x v="9"/>
    <x v="1"/>
    <s v="Jennifer Smith"/>
    <x v="1"/>
    <x v="0"/>
    <s v="Low"/>
  </r>
  <r>
    <x v="210"/>
    <x v="157"/>
    <n v="4.4000000000000004"/>
    <n v="7396"/>
    <x v="13"/>
    <x v="8"/>
    <x v="1"/>
    <s v="Jennifer Smith"/>
    <x v="1"/>
    <x v="0"/>
    <s v="Low"/>
  </r>
  <r>
    <x v="211"/>
    <x v="158"/>
    <n v="4.9000000000000004"/>
    <n v="11881"/>
    <x v="13"/>
    <x v="8"/>
    <x v="0"/>
    <s v="Jill Twiss"/>
    <x v="0"/>
    <x v="0"/>
    <s v="High"/>
  </r>
  <r>
    <x v="212"/>
    <x v="97"/>
    <n v="4.5"/>
    <n v="6132"/>
    <x v="13"/>
    <x v="1"/>
    <x v="1"/>
    <s v="Sheryl Sandberg"/>
    <x v="0"/>
    <x v="0"/>
    <s v="Low"/>
  </r>
  <r>
    <x v="213"/>
    <x v="159"/>
    <n v="4.2"/>
    <n v="1649"/>
    <x v="13"/>
    <x v="0"/>
    <x v="1"/>
    <s v="Rob Bell"/>
    <x v="1"/>
    <x v="0"/>
    <s v="Low"/>
  </r>
  <r>
    <x v="214"/>
    <x v="160"/>
    <n v="4.5999999999999996"/>
    <n v="3163"/>
    <x v="13"/>
    <x v="0"/>
    <x v="1"/>
    <s v="Ann Voskamp"/>
    <x v="0"/>
    <x v="0"/>
    <s v="Low"/>
  </r>
  <r>
    <x v="214"/>
    <x v="160"/>
    <n v="4.5999999999999996"/>
    <n v="3163"/>
    <x v="13"/>
    <x v="10"/>
    <x v="1"/>
    <s v="Ann Voskamp"/>
    <x v="0"/>
    <x v="0"/>
    <s v="Low"/>
  </r>
  <r>
    <x v="215"/>
    <x v="161"/>
    <n v="4.3"/>
    <n v="18904"/>
    <x v="13"/>
    <x v="4"/>
    <x v="0"/>
    <s v="Dan Brown"/>
    <x v="1"/>
    <x v="0"/>
    <s v="High"/>
  </r>
  <r>
    <x v="216"/>
    <x v="162"/>
    <n v="4.5999999999999996"/>
    <n v="1907"/>
    <x v="13"/>
    <x v="5"/>
    <x v="1"/>
    <s v="Chip Heath"/>
    <x v="0"/>
    <x v="0"/>
    <s v="Low"/>
  </r>
  <r>
    <x v="217"/>
    <x v="163"/>
    <n v="4.3"/>
    <n v="3523"/>
    <x v="13"/>
    <x v="5"/>
    <x v="0"/>
    <s v="John Grisham"/>
    <x v="1"/>
    <x v="0"/>
    <s v="Low"/>
  </r>
  <r>
    <x v="81"/>
    <x v="65"/>
    <n v="4.7"/>
    <n v="50482"/>
    <x v="13"/>
    <x v="10"/>
    <x v="0"/>
    <s v="John Green"/>
    <x v="0"/>
    <x v="0"/>
    <s v="High"/>
  </r>
  <r>
    <x v="81"/>
    <x v="65"/>
    <n v="4.7"/>
    <n v="50482"/>
    <x v="13"/>
    <x v="1"/>
    <x v="0"/>
    <s v="John Green"/>
    <x v="0"/>
    <x v="0"/>
    <s v="High"/>
  </r>
  <r>
    <x v="81"/>
    <x v="65"/>
    <n v="4.7"/>
    <n v="50482"/>
    <x v="13"/>
    <x v="2"/>
    <x v="0"/>
    <s v="John Green"/>
    <x v="0"/>
    <x v="0"/>
    <s v="High"/>
  </r>
  <r>
    <x v="218"/>
    <x v="164"/>
    <n v="4.5999999999999996"/>
    <n v="11098"/>
    <x v="13"/>
    <x v="10"/>
    <x v="0"/>
    <s v="Jonathan Cahn"/>
    <x v="0"/>
    <x v="0"/>
    <s v="High"/>
  </r>
  <r>
    <x v="130"/>
    <x v="101"/>
    <n v="4.7"/>
    <n v="9289"/>
    <x v="13"/>
    <x v="5"/>
    <x v="1"/>
    <s v="Rebecca Skloot"/>
    <x v="0"/>
    <x v="0"/>
    <s v="Low"/>
  </r>
  <r>
    <x v="219"/>
    <x v="165"/>
    <n v="4.4000000000000004"/>
    <n v="4247"/>
    <x v="13"/>
    <x v="0"/>
    <x v="1"/>
    <s v="Daniel Lipkowitz"/>
    <x v="1"/>
    <x v="0"/>
    <s v="Low"/>
  </r>
  <r>
    <x v="219"/>
    <x v="165"/>
    <n v="4.4000000000000004"/>
    <n v="4247"/>
    <x v="13"/>
    <x v="10"/>
    <x v="1"/>
    <s v="Daniel Lipkowitz"/>
    <x v="1"/>
    <x v="0"/>
    <s v="Low"/>
  </r>
  <r>
    <x v="220"/>
    <x v="166"/>
    <n v="4.8"/>
    <n v="1655"/>
    <x v="13"/>
    <x v="7"/>
    <x v="1"/>
    <s v="Stephen Kendrick"/>
    <x v="0"/>
    <x v="0"/>
    <s v="Low"/>
  </r>
  <r>
    <x v="221"/>
    <x v="167"/>
    <n v="4.8"/>
    <n v="29673"/>
    <x v="13"/>
    <x v="2"/>
    <x v="1"/>
    <s v="Laura Hillenbrand"/>
    <x v="0"/>
    <x v="0"/>
    <s v="High"/>
  </r>
  <r>
    <x v="222"/>
    <x v="168"/>
    <n v="4.8"/>
    <n v="8170"/>
    <x v="13"/>
    <x v="9"/>
    <x v="0"/>
    <s v="Adir Levy"/>
    <x v="0"/>
    <x v="0"/>
    <s v="Low"/>
  </r>
  <r>
    <x v="223"/>
    <x v="169"/>
    <n v="4.8"/>
    <n v="9967"/>
    <x v="13"/>
    <x v="7"/>
    <x v="0"/>
    <s v="Maurice Sendak"/>
    <x v="0"/>
    <x v="0"/>
    <s v="Low"/>
  </r>
  <r>
    <x v="224"/>
    <x v="170"/>
    <n v="4.5999999999999996"/>
    <n v="36348"/>
    <x v="14"/>
    <x v="2"/>
    <x v="0"/>
    <s v="Anthony Doerr"/>
    <x v="0"/>
    <x v="0"/>
    <s v="High"/>
  </r>
  <r>
    <x v="224"/>
    <x v="170"/>
    <n v="4.5999999999999996"/>
    <n v="36348"/>
    <x v="14"/>
    <x v="6"/>
    <x v="0"/>
    <s v="Anthony Doerr"/>
    <x v="0"/>
    <x v="0"/>
    <s v="High"/>
  </r>
  <r>
    <x v="225"/>
    <x v="171"/>
    <n v="4.2"/>
    <n v="491"/>
    <x v="14"/>
    <x v="5"/>
    <x v="1"/>
    <s v="Mark Twain"/>
    <x v="1"/>
    <x v="0"/>
    <s v="Low"/>
  </r>
  <r>
    <x v="226"/>
    <x v="172"/>
    <n v="4.7"/>
    <n v="1542"/>
    <x v="14"/>
    <x v="7"/>
    <x v="1"/>
    <s v="Francis Chan"/>
    <x v="0"/>
    <x v="0"/>
    <s v="Low"/>
  </r>
  <r>
    <x v="226"/>
    <x v="172"/>
    <n v="4.7"/>
    <n v="1542"/>
    <x v="14"/>
    <x v="5"/>
    <x v="1"/>
    <s v="Francis Chan"/>
    <x v="0"/>
    <x v="0"/>
    <s v="Low"/>
  </r>
  <r>
    <x v="226"/>
    <x v="172"/>
    <n v="4.7"/>
    <n v="1542"/>
    <x v="14"/>
    <x v="0"/>
    <x v="1"/>
    <s v="Francis Chan"/>
    <x v="0"/>
    <x v="0"/>
    <s v="Low"/>
  </r>
  <r>
    <x v="227"/>
    <x v="6"/>
    <n v="4.3"/>
    <n v="956"/>
    <x v="14"/>
    <x v="7"/>
    <x v="1"/>
    <s v="David Zinczenko"/>
    <x v="1"/>
    <x v="0"/>
    <s v="Low"/>
  </r>
  <r>
    <x v="228"/>
    <x v="60"/>
    <n v="3.8"/>
    <n v="47265"/>
    <x v="14"/>
    <x v="10"/>
    <x v="0"/>
    <s v="E L James"/>
    <x v="1"/>
    <x v="0"/>
    <s v="High"/>
  </r>
  <r>
    <x v="228"/>
    <x v="60"/>
    <n v="3.8"/>
    <n v="47265"/>
    <x v="14"/>
    <x v="1"/>
    <x v="0"/>
    <s v="E L James"/>
    <x v="1"/>
    <x v="0"/>
    <s v="High"/>
  </r>
  <r>
    <x v="229"/>
    <x v="173"/>
    <n v="4.5"/>
    <n v="3457"/>
    <x v="14"/>
    <x v="7"/>
    <x v="1"/>
    <s v="Jim Collins"/>
    <x v="0"/>
    <x v="0"/>
    <s v="Low"/>
  </r>
  <r>
    <x v="229"/>
    <x v="173"/>
    <n v="4.5"/>
    <n v="3457"/>
    <x v="14"/>
    <x v="5"/>
    <x v="1"/>
    <s v="Jim Collins"/>
    <x v="0"/>
    <x v="0"/>
    <s v="Low"/>
  </r>
  <r>
    <x v="229"/>
    <x v="173"/>
    <n v="4.5"/>
    <n v="3457"/>
    <x v="14"/>
    <x v="0"/>
    <x v="1"/>
    <s v="Jim Collins"/>
    <x v="0"/>
    <x v="0"/>
    <s v="Low"/>
  </r>
  <r>
    <x v="229"/>
    <x v="173"/>
    <n v="4.5"/>
    <n v="3457"/>
    <x v="14"/>
    <x v="10"/>
    <x v="1"/>
    <s v="Jim Collins"/>
    <x v="0"/>
    <x v="0"/>
    <s v="Low"/>
  </r>
  <r>
    <x v="230"/>
    <x v="60"/>
    <n v="4.4000000000000004"/>
    <n v="25624"/>
    <x v="14"/>
    <x v="6"/>
    <x v="0"/>
    <s v="E L James"/>
    <x v="1"/>
    <x v="0"/>
    <s v="High"/>
  </r>
  <r>
    <x v="231"/>
    <x v="174"/>
    <n v="4.4000000000000004"/>
    <n v="15526"/>
    <x v="14"/>
    <x v="3"/>
    <x v="1"/>
    <s v="J. D. Vance"/>
    <x v="1"/>
    <x v="0"/>
    <s v="High"/>
  </r>
  <r>
    <x v="231"/>
    <x v="174"/>
    <n v="4.4000000000000004"/>
    <n v="15526"/>
    <x v="14"/>
    <x v="4"/>
    <x v="1"/>
    <s v="J. D. Vance"/>
    <x v="1"/>
    <x v="0"/>
    <s v="High"/>
  </r>
  <r>
    <x v="232"/>
    <x v="161"/>
    <n v="4.0999999999999996"/>
    <n v="29651"/>
    <x v="14"/>
    <x v="1"/>
    <x v="0"/>
    <s v="Dan Brown"/>
    <x v="1"/>
    <x v="0"/>
    <s v="High"/>
  </r>
  <r>
    <x v="233"/>
    <x v="175"/>
    <n v="4.5999999999999996"/>
    <n v="8093"/>
    <x v="14"/>
    <x v="10"/>
    <x v="1"/>
    <s v="Mark Owen"/>
    <x v="0"/>
    <x v="0"/>
    <s v="Low"/>
  </r>
  <r>
    <x v="234"/>
    <x v="176"/>
    <n v="4.2"/>
    <n v="1789"/>
    <x v="14"/>
    <x v="10"/>
    <x v="1"/>
    <s v="Mark Hyman M.D."/>
    <x v="1"/>
    <x v="0"/>
    <s v="Low"/>
  </r>
  <r>
    <x v="235"/>
    <x v="10"/>
    <n v="4.7"/>
    <n v="7747"/>
    <x v="14"/>
    <x v="5"/>
    <x v="0"/>
    <s v="Stieg Larsson"/>
    <x v="0"/>
    <x v="0"/>
    <s v="Low"/>
  </r>
  <r>
    <x v="235"/>
    <x v="10"/>
    <n v="4.7"/>
    <n v="7747"/>
    <x v="14"/>
    <x v="0"/>
    <x v="0"/>
    <s v="Stieg Larsson"/>
    <x v="0"/>
    <x v="0"/>
    <s v="Low"/>
  </r>
  <r>
    <x v="236"/>
    <x v="163"/>
    <n v="4.5"/>
    <n v="13609"/>
    <x v="14"/>
    <x v="9"/>
    <x v="0"/>
    <s v="John Grisham"/>
    <x v="0"/>
    <x v="0"/>
    <s v="High"/>
  </r>
  <r>
    <x v="237"/>
    <x v="9"/>
    <n v="4.8"/>
    <n v="6982"/>
    <x v="14"/>
    <x v="1"/>
    <x v="0"/>
    <s v="Rick Riordan"/>
    <x v="0"/>
    <x v="0"/>
    <s v="Low"/>
  </r>
  <r>
    <x v="238"/>
    <x v="79"/>
    <n v="4.7"/>
    <n v="32122"/>
    <x v="14"/>
    <x v="5"/>
    <x v="0"/>
    <s v="Suzanne Collins"/>
    <x v="0"/>
    <x v="0"/>
    <s v="High"/>
  </r>
  <r>
    <x v="239"/>
    <x v="9"/>
    <n v="4.8"/>
    <n v="4506"/>
    <x v="14"/>
    <x v="5"/>
    <x v="0"/>
    <s v="Rick Riordan"/>
    <x v="0"/>
    <x v="0"/>
    <s v="Low"/>
  </r>
  <r>
    <x v="240"/>
    <x v="177"/>
    <n v="4.8"/>
    <n v="3428"/>
    <x v="14"/>
    <x v="6"/>
    <x v="1"/>
    <s v="Ree Drummond"/>
    <x v="0"/>
    <x v="0"/>
    <s v="Low"/>
  </r>
  <r>
    <x v="241"/>
    <x v="178"/>
    <n v="4.5999999999999996"/>
    <n v="1204"/>
    <x v="14"/>
    <x v="5"/>
    <x v="1"/>
    <s v="F. A. Hayek"/>
    <x v="0"/>
    <x v="0"/>
    <s v="Low"/>
  </r>
  <r>
    <x v="242"/>
    <x v="179"/>
    <n v="4.5"/>
    <n v="27536"/>
    <x v="14"/>
    <x v="9"/>
    <x v="0"/>
    <s v="Alex Michaelides"/>
    <x v="0"/>
    <x v="0"/>
    <s v="High"/>
  </r>
  <r>
    <x v="243"/>
    <x v="80"/>
    <n v="4.7"/>
    <n v="1873"/>
    <x v="14"/>
    <x v="6"/>
    <x v="0"/>
    <s v="Dr. Seuss"/>
    <x v="0"/>
    <x v="0"/>
    <s v="Low"/>
  </r>
  <r>
    <x v="244"/>
    <x v="180"/>
    <n v="4.8"/>
    <n v="13779"/>
    <x v="14"/>
    <x v="3"/>
    <x v="1"/>
    <s v="Paul Kalanithi"/>
    <x v="0"/>
    <x v="0"/>
    <s v="High"/>
  </r>
  <r>
    <x v="245"/>
    <x v="181"/>
    <n v="4.7"/>
    <n v="18979"/>
    <x v="15"/>
    <x v="8"/>
    <x v="1"/>
    <s v="Jordan B. Peterson"/>
    <x v="0"/>
    <x v="1"/>
    <s v="High"/>
  </r>
  <r>
    <x v="246"/>
    <x v="182"/>
    <n v="4.7"/>
    <n v="19699"/>
    <x v="15"/>
    <x v="4"/>
    <x v="0"/>
    <s v="Amor Towles"/>
    <x v="0"/>
    <x v="1"/>
    <s v="High"/>
  </r>
  <r>
    <x v="247"/>
    <x v="183"/>
    <n v="4.8"/>
    <n v="11113"/>
    <x v="15"/>
    <x v="6"/>
    <x v="1"/>
    <s v="Atul Gawande"/>
    <x v="0"/>
    <x v="1"/>
    <s v="High"/>
  </r>
  <r>
    <x v="248"/>
    <x v="184"/>
    <n v="4.5999999999999996"/>
    <n v="1651"/>
    <x v="15"/>
    <x v="5"/>
    <x v="1"/>
    <s v="Tony Hsieh"/>
    <x v="0"/>
    <x v="1"/>
    <s v="Low"/>
  </r>
  <r>
    <x v="249"/>
    <x v="0"/>
    <n v="4.8"/>
    <n v="3837"/>
    <x v="15"/>
    <x v="7"/>
    <x v="0"/>
    <s v="Jeff Kinney"/>
    <x v="0"/>
    <x v="1"/>
    <s v="Low"/>
  </r>
  <r>
    <x v="250"/>
    <x v="43"/>
    <n v="4.5999999999999996"/>
    <n v="27098"/>
    <x v="15"/>
    <x v="1"/>
    <x v="0"/>
    <s v="Veronica Roth"/>
    <x v="0"/>
    <x v="1"/>
    <s v="High"/>
  </r>
  <r>
    <x v="250"/>
    <x v="43"/>
    <n v="4.5999999999999996"/>
    <n v="27098"/>
    <x v="15"/>
    <x v="2"/>
    <x v="0"/>
    <s v="Veronica Roth"/>
    <x v="0"/>
    <x v="1"/>
    <s v="High"/>
  </r>
  <r>
    <x v="251"/>
    <x v="185"/>
    <n v="4.7"/>
    <n v="28729"/>
    <x v="15"/>
    <x v="8"/>
    <x v="1"/>
    <s v="Tara Westover"/>
    <x v="0"/>
    <x v="1"/>
    <s v="High"/>
  </r>
  <r>
    <x v="251"/>
    <x v="185"/>
    <n v="4.7"/>
    <n v="28729"/>
    <x v="15"/>
    <x v="9"/>
    <x v="1"/>
    <s v="Tara Westover"/>
    <x v="0"/>
    <x v="1"/>
    <s v="High"/>
  </r>
  <r>
    <x v="252"/>
    <x v="141"/>
    <n v="4.7"/>
    <n v="4370"/>
    <x v="15"/>
    <x v="3"/>
    <x v="0"/>
    <s v="J.K. Rowling"/>
    <x v="0"/>
    <x v="1"/>
    <s v="Low"/>
  </r>
  <r>
    <x v="253"/>
    <x v="186"/>
    <n v="4.8"/>
    <n v="3490"/>
    <x v="15"/>
    <x v="1"/>
    <x v="1"/>
    <s v="Brandon Stanton"/>
    <x v="0"/>
    <x v="1"/>
    <s v="Low"/>
  </r>
  <r>
    <x v="253"/>
    <x v="186"/>
    <n v="4.8"/>
    <n v="3490"/>
    <x v="15"/>
    <x v="2"/>
    <x v="1"/>
    <s v="Brandon Stanton"/>
    <x v="0"/>
    <x v="1"/>
    <s v="Low"/>
  </r>
  <r>
    <x v="254"/>
    <x v="137"/>
    <n v="4.8"/>
    <n v="3828"/>
    <x v="15"/>
    <x v="7"/>
    <x v="1"/>
    <s v="Mark R. Levin"/>
    <x v="0"/>
    <x v="1"/>
    <s v="Low"/>
  </r>
  <r>
    <x v="255"/>
    <x v="187"/>
    <n v="4.0999999999999996"/>
    <n v="2023"/>
    <x v="15"/>
    <x v="0"/>
    <x v="1"/>
    <s v="Pierre Dukan"/>
    <x v="1"/>
    <x v="1"/>
    <s v="Low"/>
  </r>
  <r>
    <x v="256"/>
    <x v="188"/>
    <n v="4.5999999999999996"/>
    <n v="26490"/>
    <x v="15"/>
    <x v="4"/>
    <x v="1"/>
    <s v="Mark Manson"/>
    <x v="0"/>
    <x v="1"/>
    <s v="High"/>
  </r>
  <r>
    <x v="256"/>
    <x v="188"/>
    <n v="4.5999999999999996"/>
    <n v="26490"/>
    <x v="15"/>
    <x v="8"/>
    <x v="1"/>
    <s v="Mark Manson"/>
    <x v="0"/>
    <x v="1"/>
    <s v="High"/>
  </r>
  <r>
    <x v="256"/>
    <x v="188"/>
    <n v="4.5999999999999996"/>
    <n v="26490"/>
    <x v="15"/>
    <x v="9"/>
    <x v="1"/>
    <s v="Mark Manson"/>
    <x v="0"/>
    <x v="1"/>
    <s v="High"/>
  </r>
  <r>
    <x v="257"/>
    <x v="189"/>
    <n v="4.7"/>
    <n v="7034"/>
    <x v="15"/>
    <x v="1"/>
    <x v="1"/>
    <s v="Charles Krauthammer"/>
    <x v="0"/>
    <x v="1"/>
    <s v="Low"/>
  </r>
  <r>
    <x v="258"/>
    <x v="190"/>
    <n v="4.5"/>
    <n v="438"/>
    <x v="15"/>
    <x v="7"/>
    <x v="1"/>
    <s v="Edward M. Kennedy"/>
    <x v="0"/>
    <x v="1"/>
    <s v="Low"/>
  </r>
  <r>
    <x v="259"/>
    <x v="191"/>
    <n v="4.8"/>
    <n v="87841"/>
    <x v="15"/>
    <x v="9"/>
    <x v="0"/>
    <s v="Delia Owens"/>
    <x v="0"/>
    <x v="1"/>
    <s v="High"/>
  </r>
  <r>
    <x v="260"/>
    <x v="192"/>
    <n v="4.5"/>
    <n v="10760"/>
    <x v="15"/>
    <x v="10"/>
    <x v="0"/>
    <s v="Ken Follett"/>
    <x v="0"/>
    <x v="1"/>
    <s v="High"/>
  </r>
  <r>
    <x v="261"/>
    <x v="193"/>
    <n v="4.7"/>
    <n v="4761"/>
    <x v="16"/>
    <x v="3"/>
    <x v="1"/>
    <s v="Chrissy Teigen"/>
    <x v="0"/>
    <x v="1"/>
    <s v="Low"/>
  </r>
  <r>
    <x v="262"/>
    <x v="194"/>
    <n v="4.5"/>
    <n v="2525"/>
    <x v="16"/>
    <x v="5"/>
    <x v="1"/>
    <s v="Daniel H. Pink"/>
    <x v="0"/>
    <x v="1"/>
    <s v="Low"/>
  </r>
  <r>
    <x v="263"/>
    <x v="195"/>
    <n v="4.5999999999999996"/>
    <n v="4799"/>
    <x v="16"/>
    <x v="1"/>
    <x v="1"/>
    <s v="Brian Kilmeade"/>
    <x v="0"/>
    <x v="1"/>
    <s v="Low"/>
  </r>
  <r>
    <x v="264"/>
    <x v="196"/>
    <n v="4.3"/>
    <n v="5272"/>
    <x v="16"/>
    <x v="9"/>
    <x v="1"/>
    <s v="Howard Stern"/>
    <x v="1"/>
    <x v="1"/>
    <s v="Low"/>
  </r>
  <r>
    <x v="265"/>
    <x v="197"/>
    <n v="4.8"/>
    <n v="9867"/>
    <x v="16"/>
    <x v="8"/>
    <x v="1"/>
    <s v="Joanna Gaines"/>
    <x v="0"/>
    <x v="1"/>
    <s v="Low"/>
  </r>
  <r>
    <x v="266"/>
    <x v="198"/>
    <n v="4.8"/>
    <n v="5347"/>
    <x v="16"/>
    <x v="9"/>
    <x v="1"/>
    <s v="Crispin Boyer"/>
    <x v="0"/>
    <x v="1"/>
    <s v="Low"/>
  </r>
  <r>
    <x v="267"/>
    <x v="199"/>
    <n v="4.8"/>
    <n v="3923"/>
    <x v="16"/>
    <x v="8"/>
    <x v="1"/>
    <s v="Tucker Carlson"/>
    <x v="0"/>
    <x v="1"/>
    <s v="Low"/>
  </r>
  <r>
    <x v="268"/>
    <x v="200"/>
    <n v="4.7"/>
    <n v="4725"/>
    <x v="16"/>
    <x v="6"/>
    <x v="1"/>
    <s v="Stephen R. Covey"/>
    <x v="0"/>
    <x v="1"/>
    <s v="Low"/>
  </r>
  <r>
    <x v="268"/>
    <x v="200"/>
    <n v="4.7"/>
    <n v="4725"/>
    <x v="16"/>
    <x v="3"/>
    <x v="1"/>
    <s v="Stephen R. Covey"/>
    <x v="0"/>
    <x v="1"/>
    <s v="Low"/>
  </r>
  <r>
    <x v="268"/>
    <x v="200"/>
    <n v="4.7"/>
    <n v="4725"/>
    <x v="16"/>
    <x v="4"/>
    <x v="1"/>
    <s v="Stephen R. Covey"/>
    <x v="0"/>
    <x v="1"/>
    <s v="Low"/>
  </r>
  <r>
    <x v="269"/>
    <x v="10"/>
    <n v="4.7"/>
    <n v="7251"/>
    <x v="16"/>
    <x v="7"/>
    <x v="0"/>
    <s v="Stieg Larsson"/>
    <x v="0"/>
    <x v="1"/>
    <s v="Low"/>
  </r>
  <r>
    <x v="270"/>
    <x v="201"/>
    <n v="4.3"/>
    <n v="3759"/>
    <x v="16"/>
    <x v="0"/>
    <x v="0"/>
    <s v="Paula McLain"/>
    <x v="1"/>
    <x v="1"/>
    <s v="Low"/>
  </r>
  <r>
    <x v="271"/>
    <x v="202"/>
    <n v="4.5999999999999996"/>
    <n v="7508"/>
    <x v="16"/>
    <x v="6"/>
    <x v="1"/>
    <s v="Melissa Hartwig Urban"/>
    <x v="0"/>
    <x v="1"/>
    <s v="Low"/>
  </r>
  <r>
    <x v="271"/>
    <x v="202"/>
    <n v="4.5999999999999996"/>
    <n v="7508"/>
    <x v="16"/>
    <x v="3"/>
    <x v="1"/>
    <s v="Melissa Hartwig Urban"/>
    <x v="0"/>
    <x v="1"/>
    <s v="Low"/>
  </r>
  <r>
    <x v="271"/>
    <x v="202"/>
    <n v="4.5999999999999996"/>
    <n v="7508"/>
    <x v="16"/>
    <x v="4"/>
    <x v="1"/>
    <s v="Melissa Hartwig Urban"/>
    <x v="0"/>
    <x v="1"/>
    <s v="Low"/>
  </r>
  <r>
    <x v="272"/>
    <x v="203"/>
    <n v="4.7"/>
    <n v="6169"/>
    <x v="16"/>
    <x v="6"/>
    <x v="1"/>
    <s v="David McCullough"/>
    <x v="0"/>
    <x v="1"/>
    <s v="Low"/>
  </r>
  <r>
    <x v="221"/>
    <x v="167"/>
    <n v="4.8"/>
    <n v="29673"/>
    <x v="16"/>
    <x v="5"/>
    <x v="1"/>
    <s v="Laura Hillenbrand"/>
    <x v="0"/>
    <x v="1"/>
    <s v="High"/>
  </r>
  <r>
    <x v="221"/>
    <x v="167"/>
    <n v="4.8"/>
    <n v="29673"/>
    <x v="16"/>
    <x v="0"/>
    <x v="1"/>
    <s v="Laura Hillenbrand"/>
    <x v="0"/>
    <x v="1"/>
    <s v="High"/>
  </r>
  <r>
    <x v="221"/>
    <x v="167"/>
    <n v="4.8"/>
    <n v="29673"/>
    <x v="16"/>
    <x v="10"/>
    <x v="1"/>
    <s v="Laura Hillenbrand"/>
    <x v="0"/>
    <x v="1"/>
    <s v="High"/>
  </r>
  <r>
    <x v="221"/>
    <x v="167"/>
    <n v="4.8"/>
    <n v="29673"/>
    <x v="16"/>
    <x v="2"/>
    <x v="1"/>
    <s v="Laura Hillenbrand"/>
    <x v="0"/>
    <x v="1"/>
    <s v="High"/>
  </r>
  <r>
    <x v="273"/>
    <x v="204"/>
    <n v="4.5999999999999996"/>
    <n v="5013"/>
    <x v="17"/>
    <x v="7"/>
    <x v="1"/>
    <s v="Steve Harvey"/>
    <x v="0"/>
    <x v="1"/>
    <s v="Low"/>
  </r>
  <r>
    <x v="274"/>
    <x v="205"/>
    <n v="4.5999999999999996"/>
    <n v="2137"/>
    <x v="17"/>
    <x v="5"/>
    <x v="1"/>
    <s v="George W. Bush"/>
    <x v="0"/>
    <x v="1"/>
    <s v="Low"/>
  </r>
  <r>
    <x v="275"/>
    <x v="186"/>
    <n v="4.9000000000000004"/>
    <n v="2812"/>
    <x v="17"/>
    <x v="6"/>
    <x v="1"/>
    <s v="Brandon Stanton"/>
    <x v="0"/>
    <x v="1"/>
    <s v="Low"/>
  </r>
  <r>
    <x v="276"/>
    <x v="206"/>
    <n v="4.7"/>
    <n v="4896"/>
    <x v="17"/>
    <x v="1"/>
    <x v="1"/>
    <s v="Allie Brosh"/>
    <x v="0"/>
    <x v="1"/>
    <s v="Low"/>
  </r>
  <r>
    <x v="277"/>
    <x v="207"/>
    <n v="4.5999999999999996"/>
    <n v="8393"/>
    <x v="17"/>
    <x v="4"/>
    <x v="1"/>
    <s v="David Grann"/>
    <x v="0"/>
    <x v="1"/>
    <s v="Low"/>
  </r>
  <r>
    <x v="278"/>
    <x v="44"/>
    <n v="4.5999999999999996"/>
    <n v="220"/>
    <x v="17"/>
    <x v="1"/>
    <x v="1"/>
    <s v="Zhi Gang Sha"/>
    <x v="0"/>
    <x v="1"/>
    <s v="Low"/>
  </r>
  <r>
    <x v="279"/>
    <x v="208"/>
    <n v="4"/>
    <n v="5069"/>
    <x v="17"/>
    <x v="7"/>
    <x v="1"/>
    <s v="Gallup"/>
    <x v="1"/>
    <x v="1"/>
    <s v="Low"/>
  </r>
  <r>
    <x v="279"/>
    <x v="208"/>
    <n v="4"/>
    <n v="5069"/>
    <x v="17"/>
    <x v="5"/>
    <x v="1"/>
    <s v="Gallup"/>
    <x v="1"/>
    <x v="1"/>
    <s v="Low"/>
  </r>
  <r>
    <x v="279"/>
    <x v="208"/>
    <n v="4"/>
    <n v="5069"/>
    <x v="17"/>
    <x v="0"/>
    <x v="1"/>
    <s v="Gallup"/>
    <x v="1"/>
    <x v="1"/>
    <s v="Low"/>
  </r>
  <r>
    <x v="279"/>
    <x v="208"/>
    <n v="4"/>
    <n v="5069"/>
    <x v="17"/>
    <x v="10"/>
    <x v="1"/>
    <s v="Gallup"/>
    <x v="1"/>
    <x v="1"/>
    <s v="Low"/>
  </r>
  <r>
    <x v="279"/>
    <x v="208"/>
    <n v="4"/>
    <n v="5069"/>
    <x v="17"/>
    <x v="1"/>
    <x v="1"/>
    <s v="Gallup"/>
    <x v="1"/>
    <x v="1"/>
    <s v="Low"/>
  </r>
  <r>
    <x v="279"/>
    <x v="208"/>
    <n v="4"/>
    <n v="5069"/>
    <x v="17"/>
    <x v="2"/>
    <x v="1"/>
    <s v="Gallup"/>
    <x v="1"/>
    <x v="1"/>
    <s v="Low"/>
  </r>
  <r>
    <x v="279"/>
    <x v="208"/>
    <n v="4"/>
    <n v="5069"/>
    <x v="17"/>
    <x v="6"/>
    <x v="1"/>
    <s v="Gallup"/>
    <x v="1"/>
    <x v="1"/>
    <s v="Low"/>
  </r>
  <r>
    <x v="279"/>
    <x v="208"/>
    <n v="4"/>
    <n v="5069"/>
    <x v="17"/>
    <x v="3"/>
    <x v="1"/>
    <s v="Gallup"/>
    <x v="1"/>
    <x v="1"/>
    <s v="Low"/>
  </r>
  <r>
    <x v="279"/>
    <x v="208"/>
    <n v="4"/>
    <n v="5069"/>
    <x v="17"/>
    <x v="4"/>
    <x v="1"/>
    <s v="Gallup"/>
    <x v="1"/>
    <x v="1"/>
    <s v="Low"/>
  </r>
  <r>
    <x v="280"/>
    <x v="209"/>
    <n v="4.7"/>
    <n v="3536"/>
    <x v="17"/>
    <x v="5"/>
    <x v="1"/>
    <s v="Michael Lewis"/>
    <x v="0"/>
    <x v="1"/>
    <s v="Low"/>
  </r>
  <r>
    <x v="281"/>
    <x v="177"/>
    <n v="4.8"/>
    <n v="2663"/>
    <x v="17"/>
    <x v="1"/>
    <x v="1"/>
    <s v="Ree Drummond"/>
    <x v="0"/>
    <x v="1"/>
    <s v="Low"/>
  </r>
  <r>
    <x v="282"/>
    <x v="210"/>
    <n v="4.4000000000000004"/>
    <n v="7058"/>
    <x v="17"/>
    <x v="8"/>
    <x v="1"/>
    <s v="Dr. Steven R Gundry MD"/>
    <x v="1"/>
    <x v="1"/>
    <s v="Low"/>
  </r>
  <r>
    <x v="283"/>
    <x v="211"/>
    <n v="4.7"/>
    <n v="9292"/>
    <x v="17"/>
    <x v="2"/>
    <x v="1"/>
    <s v="Randall Munroe"/>
    <x v="0"/>
    <x v="1"/>
    <s v="Low"/>
  </r>
  <r>
    <x v="284"/>
    <x v="212"/>
    <n v="4.7"/>
    <n v="3729"/>
    <x v="18"/>
    <x v="3"/>
    <x v="1"/>
    <s v="Bruce Springsteen"/>
    <x v="0"/>
    <x v="1"/>
    <s v="Low"/>
  </r>
  <r>
    <x v="285"/>
    <x v="213"/>
    <n v="4.8"/>
    <n v="16244"/>
    <x v="18"/>
    <x v="9"/>
    <x v="1"/>
    <s v="David Goggins"/>
    <x v="0"/>
    <x v="1"/>
    <s v="High"/>
  </r>
  <r>
    <x v="286"/>
    <x v="4"/>
    <n v="4.7"/>
    <n v="5505"/>
    <x v="18"/>
    <x v="7"/>
    <x v="0"/>
    <s v="Stephenie Meyer"/>
    <x v="0"/>
    <x v="1"/>
    <s v="Low"/>
  </r>
  <r>
    <x v="287"/>
    <x v="214"/>
    <n v="4.9000000000000004"/>
    <n v="7758"/>
    <x v="18"/>
    <x v="9"/>
    <x v="0"/>
    <s v="J. K. Rowling"/>
    <x v="0"/>
    <x v="1"/>
    <s v="Low"/>
  </r>
  <r>
    <x v="288"/>
    <x v="215"/>
    <n v="4.5"/>
    <n v="2752"/>
    <x v="18"/>
    <x v="5"/>
    <x v="1"/>
    <s v="Keith Richards"/>
    <x v="0"/>
    <x v="1"/>
    <s v="Low"/>
  </r>
  <r>
    <x v="289"/>
    <x v="216"/>
    <n v="4.5"/>
    <n v="1583"/>
    <x v="18"/>
    <x v="7"/>
    <x v="1"/>
    <s v="Steven D. Levitt"/>
    <x v="0"/>
    <x v="1"/>
    <s v="Low"/>
  </r>
  <r>
    <x v="290"/>
    <x v="163"/>
    <n v="4.5"/>
    <n v="23114"/>
    <x v="18"/>
    <x v="1"/>
    <x v="0"/>
    <s v="John Grisham"/>
    <x v="0"/>
    <x v="1"/>
    <s v="High"/>
  </r>
  <r>
    <x v="82"/>
    <x v="67"/>
    <n v="4.0999999999999996"/>
    <n v="79446"/>
    <x v="18"/>
    <x v="6"/>
    <x v="0"/>
    <s v="Paula Hawkins"/>
    <x v="1"/>
    <x v="1"/>
    <s v="High"/>
  </r>
  <r>
    <x v="291"/>
    <x v="163"/>
    <n v="4.4000000000000004"/>
    <n v="6222"/>
    <x v="18"/>
    <x v="0"/>
    <x v="0"/>
    <s v="John Grisham"/>
    <x v="1"/>
    <x v="1"/>
    <s v="Low"/>
  </r>
  <r>
    <x v="292"/>
    <x v="210"/>
    <n v="4.5"/>
    <n v="3601"/>
    <x v="18"/>
    <x v="8"/>
    <x v="1"/>
    <s v="Dr. Steven R Gundry MD"/>
    <x v="0"/>
    <x v="1"/>
    <s v="Low"/>
  </r>
  <r>
    <x v="293"/>
    <x v="64"/>
    <n v="4.3"/>
    <n v="10191"/>
    <x v="18"/>
    <x v="8"/>
    <x v="0"/>
    <s v="James Patterson"/>
    <x v="1"/>
    <x v="1"/>
    <s v="High"/>
  </r>
  <r>
    <x v="294"/>
    <x v="163"/>
    <n v="4.3"/>
    <n v="14493"/>
    <x v="18"/>
    <x v="10"/>
    <x v="0"/>
    <s v="John Grisham"/>
    <x v="1"/>
    <x v="1"/>
    <s v="High"/>
  </r>
  <r>
    <x v="295"/>
    <x v="217"/>
    <n v="4.5999999999999996"/>
    <n v="5492"/>
    <x v="18"/>
    <x v="4"/>
    <x v="1"/>
    <s v="Hillary Rodham Clinton"/>
    <x v="0"/>
    <x v="1"/>
    <s v="Low"/>
  </r>
  <r>
    <x v="296"/>
    <x v="218"/>
    <n v="4.4000000000000004"/>
    <n v="17044"/>
    <x v="18"/>
    <x v="10"/>
    <x v="1"/>
    <s v="Cheryl Strayed"/>
    <x v="1"/>
    <x v="1"/>
    <s v="High"/>
  </r>
  <r>
    <x v="297"/>
    <x v="5"/>
    <n v="3.6"/>
    <n v="14982"/>
    <x v="19"/>
    <x v="6"/>
    <x v="0"/>
    <s v="Harper Lee"/>
    <x v="1"/>
    <x v="1"/>
    <s v="High"/>
  </r>
  <r>
    <x v="298"/>
    <x v="161"/>
    <n v="4.2"/>
    <n v="8747"/>
    <x v="19"/>
    <x v="7"/>
    <x v="0"/>
    <s v="Dan Brown"/>
    <x v="1"/>
    <x v="1"/>
    <s v="Low"/>
  </r>
  <r>
    <x v="299"/>
    <x v="219"/>
    <n v="4.5999999999999996"/>
    <n v="11034"/>
    <x v="19"/>
    <x v="0"/>
    <x v="1"/>
    <s v="Daniel Kahneman"/>
    <x v="0"/>
    <x v="1"/>
    <s v="High"/>
  </r>
  <r>
    <x v="299"/>
    <x v="219"/>
    <n v="4.5999999999999996"/>
    <n v="11034"/>
    <x v="19"/>
    <x v="10"/>
    <x v="1"/>
    <s v="Daniel Kahneman"/>
    <x v="0"/>
    <x v="1"/>
    <s v="High"/>
  </r>
  <r>
    <x v="300"/>
    <x v="0"/>
    <n v="4.8"/>
    <n v="5118"/>
    <x v="20"/>
    <x v="3"/>
    <x v="0"/>
    <s v="Jeff Kinney"/>
    <x v="0"/>
    <x v="1"/>
    <s v="Low"/>
  </r>
  <r>
    <x v="301"/>
    <x v="220"/>
    <n v="4.5"/>
    <n v="408"/>
    <x v="20"/>
    <x v="5"/>
    <x v="1"/>
    <s v="Peter A. Lillback"/>
    <x v="0"/>
    <x v="1"/>
    <s v="Low"/>
  </r>
  <r>
    <x v="302"/>
    <x v="221"/>
    <n v="4.5999999999999996"/>
    <n v="5299"/>
    <x v="20"/>
    <x v="0"/>
    <x v="0"/>
    <s v="Christopher Paolini"/>
    <x v="0"/>
    <x v="1"/>
    <s v="Low"/>
  </r>
  <r>
    <x v="303"/>
    <x v="222"/>
    <n v="4.5"/>
    <n v="1386"/>
    <x v="20"/>
    <x v="2"/>
    <x v="1"/>
    <s v="Ina Garten"/>
    <x v="0"/>
    <x v="1"/>
    <s v="Low"/>
  </r>
  <r>
    <x v="304"/>
    <x v="104"/>
    <n v="4.5999999999999996"/>
    <n v="10426"/>
    <x v="20"/>
    <x v="7"/>
    <x v="1"/>
    <s v="Malcolm Gladwell"/>
    <x v="0"/>
    <x v="1"/>
    <s v="High"/>
  </r>
  <r>
    <x v="304"/>
    <x v="104"/>
    <n v="4.5999999999999996"/>
    <n v="10426"/>
    <x v="20"/>
    <x v="5"/>
    <x v="1"/>
    <s v="Malcolm Gladwell"/>
    <x v="0"/>
    <x v="1"/>
    <s v="High"/>
  </r>
  <r>
    <x v="80"/>
    <x v="66"/>
    <n v="4.5999999999999996"/>
    <n v="10009"/>
    <x v="20"/>
    <x v="10"/>
    <x v="1"/>
    <s v="Susan Cain"/>
    <x v="0"/>
    <x v="1"/>
    <s v="High"/>
  </r>
  <r>
    <x v="305"/>
    <x v="223"/>
    <n v="4.8"/>
    <n v="7802"/>
    <x v="20"/>
    <x v="8"/>
    <x v="1"/>
    <s v="Samin Nosrat"/>
    <x v="0"/>
    <x v="1"/>
    <s v="Low"/>
  </r>
  <r>
    <x v="305"/>
    <x v="223"/>
    <n v="4.8"/>
    <n v="7802"/>
    <x v="20"/>
    <x v="9"/>
    <x v="1"/>
    <s v="Samin Nosrat"/>
    <x v="0"/>
    <x v="1"/>
    <s v="Low"/>
  </r>
  <r>
    <x v="306"/>
    <x v="224"/>
    <n v="4.5999999999999996"/>
    <n v="7827"/>
    <x v="20"/>
    <x v="0"/>
    <x v="1"/>
    <s v="Walter Isaacson"/>
    <x v="0"/>
    <x v="1"/>
    <s v="Low"/>
  </r>
  <r>
    <x v="306"/>
    <x v="224"/>
    <n v="4.5999999999999996"/>
    <n v="7827"/>
    <x v="20"/>
    <x v="10"/>
    <x v="1"/>
    <s v="Walter Isaacson"/>
    <x v="0"/>
    <x v="1"/>
    <s v="Low"/>
  </r>
  <r>
    <x v="307"/>
    <x v="225"/>
    <n v="4.4000000000000004"/>
    <n v="637"/>
    <x v="20"/>
    <x v="5"/>
    <x v="1"/>
    <s v="Doug Lemov"/>
    <x v="1"/>
    <x v="1"/>
    <s v="Low"/>
  </r>
  <r>
    <x v="307"/>
    <x v="225"/>
    <n v="4.4000000000000004"/>
    <n v="637"/>
    <x v="20"/>
    <x v="0"/>
    <x v="1"/>
    <s v="Doug Lemov"/>
    <x v="1"/>
    <x v="1"/>
    <s v="Low"/>
  </r>
  <r>
    <x v="308"/>
    <x v="226"/>
    <n v="3.9"/>
    <n v="33844"/>
    <x v="20"/>
    <x v="1"/>
    <x v="0"/>
    <s v="Donna Tartt"/>
    <x v="1"/>
    <x v="1"/>
    <s v="High"/>
  </r>
  <r>
    <x v="308"/>
    <x v="226"/>
    <n v="3.9"/>
    <n v="33844"/>
    <x v="20"/>
    <x v="2"/>
    <x v="0"/>
    <s v="Donna Tartt"/>
    <x v="1"/>
    <x v="1"/>
    <s v="High"/>
  </r>
  <r>
    <x v="309"/>
    <x v="227"/>
    <n v="4.9000000000000004"/>
    <n v="5396"/>
    <x v="20"/>
    <x v="1"/>
    <x v="0"/>
    <s v="Patrick Thorpe"/>
    <x v="0"/>
    <x v="1"/>
    <s v="Low"/>
  </r>
  <r>
    <x v="310"/>
    <x v="142"/>
    <n v="4.3"/>
    <n v="6740"/>
    <x v="20"/>
    <x v="7"/>
    <x v="0"/>
    <s v="Stephen King"/>
    <x v="1"/>
    <x v="1"/>
    <s v="Low"/>
  </r>
  <r>
    <x v="311"/>
    <x v="222"/>
    <n v="4.7"/>
    <n v="615"/>
    <x v="21"/>
    <x v="5"/>
    <x v="1"/>
    <s v="Ina Garten"/>
    <x v="0"/>
    <x v="1"/>
    <s v="Low"/>
  </r>
  <r>
    <x v="312"/>
    <x v="228"/>
    <n v="4.4000000000000004"/>
    <n v="4571"/>
    <x v="21"/>
    <x v="0"/>
    <x v="1"/>
    <s v="Eric Larson"/>
    <x v="1"/>
    <x v="1"/>
    <s v="Low"/>
  </r>
  <r>
    <x v="313"/>
    <x v="224"/>
    <n v="4.5"/>
    <n v="3014"/>
    <x v="21"/>
    <x v="4"/>
    <x v="1"/>
    <s v="Walter Isaacson"/>
    <x v="0"/>
    <x v="1"/>
    <s v="Low"/>
  </r>
  <r>
    <x v="314"/>
    <x v="229"/>
    <n v="4.3"/>
    <n v="4587"/>
    <x v="21"/>
    <x v="0"/>
    <x v="1"/>
    <s v="Timothy Ferriss"/>
    <x v="1"/>
    <x v="1"/>
    <s v="Low"/>
  </r>
  <r>
    <x v="315"/>
    <x v="230"/>
    <n v="4.7"/>
    <n v="4633"/>
    <x v="21"/>
    <x v="0"/>
    <x v="1"/>
    <s v="Thomas Campbell"/>
    <x v="0"/>
    <x v="1"/>
    <s v="Low"/>
  </r>
  <r>
    <x v="316"/>
    <x v="177"/>
    <n v="4.8"/>
    <n v="2876"/>
    <x v="21"/>
    <x v="10"/>
    <x v="1"/>
    <s v="Ree Drummond"/>
    <x v="0"/>
    <x v="1"/>
    <s v="Low"/>
  </r>
  <r>
    <x v="317"/>
    <x v="231"/>
    <n v="4.5999999999999996"/>
    <n v="10795"/>
    <x v="21"/>
    <x v="10"/>
    <x v="1"/>
    <s v="Charles Duhigg"/>
    <x v="0"/>
    <x v="1"/>
    <s v="High"/>
  </r>
  <r>
    <x v="318"/>
    <x v="229"/>
    <n v="4.5999999999999996"/>
    <n v="4360"/>
    <x v="21"/>
    <x v="4"/>
    <x v="1"/>
    <s v="Timothy Ferriss"/>
    <x v="0"/>
    <x v="1"/>
    <s v="Low"/>
  </r>
  <r>
    <x v="319"/>
    <x v="232"/>
    <n v="4.8"/>
    <n v="2282"/>
    <x v="21"/>
    <x v="5"/>
    <x v="0"/>
    <s v="Robert Jordan"/>
    <x v="0"/>
    <x v="1"/>
    <s v="Low"/>
  </r>
  <r>
    <x v="320"/>
    <x v="142"/>
    <n v="4.5999999999999996"/>
    <n v="2052"/>
    <x v="22"/>
    <x v="0"/>
    <x v="0"/>
    <s v="Stephen King"/>
    <x v="0"/>
    <x v="1"/>
    <s v="Low"/>
  </r>
  <r>
    <x v="321"/>
    <x v="0"/>
    <n v="4.8"/>
    <n v="6540"/>
    <x v="22"/>
    <x v="2"/>
    <x v="0"/>
    <s v="Jeff Kinney"/>
    <x v="0"/>
    <x v="1"/>
    <s v="Low"/>
  </r>
  <r>
    <x v="322"/>
    <x v="141"/>
    <n v="4.9000000000000004"/>
    <n v="10052"/>
    <x v="22"/>
    <x v="3"/>
    <x v="0"/>
    <s v="J.K. Rowling"/>
    <x v="0"/>
    <x v="1"/>
    <s v="High"/>
  </r>
  <r>
    <x v="323"/>
    <x v="197"/>
    <n v="4.8"/>
    <n v="3776"/>
    <x v="22"/>
    <x v="8"/>
    <x v="1"/>
    <s v="Joanna Gaines"/>
    <x v="0"/>
    <x v="1"/>
    <s v="Low"/>
  </r>
  <r>
    <x v="324"/>
    <x v="233"/>
    <n v="4.9000000000000004"/>
    <n v="3192"/>
    <x v="22"/>
    <x v="4"/>
    <x v="1"/>
    <s v="Pete Souza"/>
    <x v="0"/>
    <x v="1"/>
    <s v="Low"/>
  </r>
  <r>
    <x v="325"/>
    <x v="234"/>
    <n v="4.3"/>
    <n v="2314"/>
    <x v="22"/>
    <x v="0"/>
    <x v="1"/>
    <s v="Mike Moreno"/>
    <x v="1"/>
    <x v="1"/>
    <s v="Low"/>
  </r>
  <r>
    <x v="326"/>
    <x v="235"/>
    <n v="4.5"/>
    <n v="1904"/>
    <x v="23"/>
    <x v="10"/>
    <x v="1"/>
    <s v="Jon Meacham"/>
    <x v="0"/>
    <x v="1"/>
    <s v="Low"/>
  </r>
  <r>
    <x v="327"/>
    <x v="236"/>
    <n v="4.5999999999999996"/>
    <n v="11128"/>
    <x v="23"/>
    <x v="2"/>
    <x v="1"/>
    <s v="Thug Kitchen"/>
    <x v="0"/>
    <x v="1"/>
    <s v="High"/>
  </r>
  <r>
    <x v="327"/>
    <x v="236"/>
    <n v="4.5999999999999996"/>
    <n v="11128"/>
    <x v="23"/>
    <x v="6"/>
    <x v="1"/>
    <s v="Thug Kitchen"/>
    <x v="0"/>
    <x v="1"/>
    <s v="High"/>
  </r>
  <r>
    <x v="327"/>
    <x v="236"/>
    <n v="4.5999999999999996"/>
    <n v="11128"/>
    <x v="23"/>
    <x v="3"/>
    <x v="1"/>
    <s v="Thug Kitchen"/>
    <x v="0"/>
    <x v="1"/>
    <s v="High"/>
  </r>
  <r>
    <x v="327"/>
    <x v="236"/>
    <n v="4.5999999999999996"/>
    <n v="11128"/>
    <x v="23"/>
    <x v="4"/>
    <x v="1"/>
    <s v="Thug Kitchen"/>
    <x v="0"/>
    <x v="1"/>
    <s v="High"/>
  </r>
  <r>
    <x v="328"/>
    <x v="222"/>
    <n v="4.8"/>
    <n v="1296"/>
    <x v="24"/>
    <x v="10"/>
    <x v="1"/>
    <s v="Ina Garten"/>
    <x v="0"/>
    <x v="1"/>
    <s v="Low"/>
  </r>
  <r>
    <x v="268"/>
    <x v="200"/>
    <n v="4.5999999999999996"/>
    <n v="9325"/>
    <x v="24"/>
    <x v="7"/>
    <x v="1"/>
    <s v="Stephen R. Covey"/>
    <x v="0"/>
    <x v="1"/>
    <s v="Low"/>
  </r>
  <r>
    <x v="268"/>
    <x v="200"/>
    <n v="4.5999999999999996"/>
    <n v="9325"/>
    <x v="24"/>
    <x v="0"/>
    <x v="1"/>
    <s v="Stephen R. Covey"/>
    <x v="0"/>
    <x v="1"/>
    <s v="Low"/>
  </r>
  <r>
    <x v="268"/>
    <x v="200"/>
    <n v="4.5999999999999996"/>
    <n v="9325"/>
    <x v="24"/>
    <x v="10"/>
    <x v="1"/>
    <s v="Stephen R. Covey"/>
    <x v="0"/>
    <x v="1"/>
    <s v="Low"/>
  </r>
  <r>
    <x v="268"/>
    <x v="200"/>
    <n v="4.5999999999999996"/>
    <n v="9325"/>
    <x v="24"/>
    <x v="1"/>
    <x v="1"/>
    <s v="Stephen R. Covey"/>
    <x v="0"/>
    <x v="1"/>
    <s v="Low"/>
  </r>
  <r>
    <x v="329"/>
    <x v="34"/>
    <n v="4.5999999999999996"/>
    <n v="8634"/>
    <x v="25"/>
    <x v="10"/>
    <x v="1"/>
    <s v="Bill O'Reilly"/>
    <x v="0"/>
    <x v="1"/>
    <s v="Low"/>
  </r>
  <r>
    <x v="330"/>
    <x v="15"/>
    <n v="4.7"/>
    <n v="973"/>
    <x v="25"/>
    <x v="7"/>
    <x v="0"/>
    <s v="Charlaine Harris"/>
    <x v="0"/>
    <x v="1"/>
    <s v="Low"/>
  </r>
  <r>
    <x v="331"/>
    <x v="237"/>
    <n v="4.8"/>
    <n v="2926"/>
    <x v="26"/>
    <x v="7"/>
    <x v="1"/>
    <s v="Julia Child"/>
    <x v="0"/>
    <x v="1"/>
    <s v="Low"/>
  </r>
  <r>
    <x v="332"/>
    <x v="238"/>
    <n v="4.8"/>
    <n v="16990"/>
    <x v="26"/>
    <x v="4"/>
    <x v="0"/>
    <s v="Wizards RPG Team"/>
    <x v="0"/>
    <x v="1"/>
    <s v="High"/>
  </r>
  <r>
    <x v="332"/>
    <x v="238"/>
    <n v="4.8"/>
    <n v="16990"/>
    <x v="26"/>
    <x v="8"/>
    <x v="0"/>
    <s v="Wizards RPG Team"/>
    <x v="0"/>
    <x v="1"/>
    <s v="High"/>
  </r>
  <r>
    <x v="332"/>
    <x v="238"/>
    <n v="4.8"/>
    <n v="16990"/>
    <x v="26"/>
    <x v="9"/>
    <x v="0"/>
    <s v="Wizards RPG Team"/>
    <x v="0"/>
    <x v="1"/>
    <s v="High"/>
  </r>
  <r>
    <x v="333"/>
    <x v="239"/>
    <n v="4.5"/>
    <n v="2884"/>
    <x v="27"/>
    <x v="2"/>
    <x v="1"/>
    <s v="Thomas Piketty"/>
    <x v="0"/>
    <x v="1"/>
    <s v="Low"/>
  </r>
  <r>
    <x v="103"/>
    <x v="81"/>
    <n v="4.7"/>
    <n v="3477"/>
    <x v="27"/>
    <x v="5"/>
    <x v="1"/>
    <s v="Gary Chapman"/>
    <x v="0"/>
    <x v="1"/>
    <s v="Low"/>
  </r>
  <r>
    <x v="103"/>
    <x v="81"/>
    <n v="4.7"/>
    <n v="3477"/>
    <x v="27"/>
    <x v="0"/>
    <x v="1"/>
    <s v="Gary Chapman"/>
    <x v="0"/>
    <x v="1"/>
    <s v="Low"/>
  </r>
  <r>
    <x v="103"/>
    <x v="81"/>
    <n v="4.7"/>
    <n v="3477"/>
    <x v="27"/>
    <x v="10"/>
    <x v="1"/>
    <s v="Gary Chapman"/>
    <x v="0"/>
    <x v="1"/>
    <s v="Low"/>
  </r>
  <r>
    <x v="103"/>
    <x v="81"/>
    <n v="4.7"/>
    <n v="3477"/>
    <x v="27"/>
    <x v="1"/>
    <x v="1"/>
    <s v="Gary Chapman"/>
    <x v="0"/>
    <x v="1"/>
    <s v="Low"/>
  </r>
  <r>
    <x v="103"/>
    <x v="81"/>
    <n v="4.7"/>
    <n v="3477"/>
    <x v="27"/>
    <x v="2"/>
    <x v="1"/>
    <s v="Gary Chapman"/>
    <x v="0"/>
    <x v="1"/>
    <s v="Low"/>
  </r>
  <r>
    <x v="334"/>
    <x v="121"/>
    <n v="4.7"/>
    <n v="19735"/>
    <x v="28"/>
    <x v="2"/>
    <x v="0"/>
    <s v="George R. R. Martin"/>
    <x v="0"/>
    <x v="1"/>
    <s v="High"/>
  </r>
  <r>
    <x v="335"/>
    <x v="141"/>
    <n v="4.9000000000000004"/>
    <n v="19622"/>
    <x v="28"/>
    <x v="3"/>
    <x v="0"/>
    <s v="J.K. Rowling"/>
    <x v="0"/>
    <x v="1"/>
    <s v="High"/>
  </r>
  <r>
    <x v="336"/>
    <x v="141"/>
    <n v="4.9000000000000004"/>
    <n v="3146"/>
    <x v="28"/>
    <x v="4"/>
    <x v="0"/>
    <s v="J.K. Rowling"/>
    <x v="0"/>
    <x v="1"/>
    <s v="Low"/>
  </r>
  <r>
    <x v="337"/>
    <x v="79"/>
    <n v="4.8"/>
    <n v="16949"/>
    <x v="28"/>
    <x v="0"/>
    <x v="0"/>
    <s v="Suzanne Collins"/>
    <x v="0"/>
    <x v="1"/>
    <s v="High"/>
  </r>
  <r>
    <x v="337"/>
    <x v="79"/>
    <n v="4.8"/>
    <n v="16949"/>
    <x v="28"/>
    <x v="10"/>
    <x v="0"/>
    <s v="Suzanne Collins"/>
    <x v="0"/>
    <x v="1"/>
    <s v="High"/>
  </r>
  <r>
    <x v="338"/>
    <x v="240"/>
    <n v="4.5999999999999996"/>
    <n v="4149"/>
    <x v="29"/>
    <x v="0"/>
    <x v="1"/>
    <s v="Jaycee Dugard"/>
    <x v="0"/>
    <x v="1"/>
    <s v="Low"/>
  </r>
  <r>
    <x v="339"/>
    <x v="60"/>
    <n v="4.5"/>
    <n v="13964"/>
    <x v="29"/>
    <x v="10"/>
    <x v="0"/>
    <s v="E L James"/>
    <x v="0"/>
    <x v="1"/>
    <s v="High"/>
  </r>
  <r>
    <x v="340"/>
    <x v="241"/>
    <n v="4.3"/>
    <n v="807"/>
    <x v="30"/>
    <x v="3"/>
    <x v="1"/>
    <s v="The College Board"/>
    <x v="1"/>
    <x v="1"/>
    <s v="Low"/>
  </r>
  <r>
    <x v="341"/>
    <x v="242"/>
    <n v="4.7"/>
    <n v="35799"/>
    <x v="31"/>
    <x v="2"/>
    <x v="0"/>
    <s v="Paulo Coelho"/>
    <x v="0"/>
    <x v="1"/>
    <s v="High"/>
  </r>
  <r>
    <x v="342"/>
    <x v="241"/>
    <n v="4.4000000000000004"/>
    <n v="1201"/>
    <x v="32"/>
    <x v="5"/>
    <x v="1"/>
    <s v="The College Board"/>
    <x v="1"/>
    <x v="1"/>
    <s v="Low"/>
  </r>
  <r>
    <x v="342"/>
    <x v="241"/>
    <n v="4.4000000000000004"/>
    <n v="1201"/>
    <x v="32"/>
    <x v="0"/>
    <x v="1"/>
    <s v="The College Board"/>
    <x v="1"/>
    <x v="1"/>
    <s v="Low"/>
  </r>
  <r>
    <x v="342"/>
    <x v="241"/>
    <n v="4.4000000000000004"/>
    <n v="1201"/>
    <x v="32"/>
    <x v="10"/>
    <x v="1"/>
    <s v="The College Board"/>
    <x v="1"/>
    <x v="1"/>
    <s v="Low"/>
  </r>
  <r>
    <x v="342"/>
    <x v="241"/>
    <n v="4.4000000000000004"/>
    <n v="1201"/>
    <x v="32"/>
    <x v="1"/>
    <x v="1"/>
    <s v="The College Board"/>
    <x v="1"/>
    <x v="1"/>
    <s v="Low"/>
  </r>
  <r>
    <x v="342"/>
    <x v="241"/>
    <n v="4.4000000000000004"/>
    <n v="1201"/>
    <x v="32"/>
    <x v="2"/>
    <x v="1"/>
    <s v="The College Board"/>
    <x v="1"/>
    <x v="1"/>
    <s v="Low"/>
  </r>
  <r>
    <x v="343"/>
    <x v="243"/>
    <n v="4.8"/>
    <n v="3829"/>
    <x v="33"/>
    <x v="7"/>
    <x v="0"/>
    <s v="Alan Moore"/>
    <x v="0"/>
    <x v="1"/>
    <s v="Low"/>
  </r>
  <r>
    <x v="344"/>
    <x v="244"/>
    <n v="4.5"/>
    <n v="8580"/>
    <x v="34"/>
    <x v="7"/>
    <x v="1"/>
    <s v="American Psychological Association"/>
    <x v="0"/>
    <x v="1"/>
    <s v="Low"/>
  </r>
  <r>
    <x v="344"/>
    <x v="244"/>
    <n v="4.5"/>
    <n v="8580"/>
    <x v="34"/>
    <x v="5"/>
    <x v="1"/>
    <s v="American Psychological Association"/>
    <x v="0"/>
    <x v="1"/>
    <s v="Low"/>
  </r>
  <r>
    <x v="344"/>
    <x v="244"/>
    <n v="4.5"/>
    <n v="8580"/>
    <x v="34"/>
    <x v="0"/>
    <x v="1"/>
    <s v="American Psychological Association"/>
    <x v="0"/>
    <x v="1"/>
    <s v="Low"/>
  </r>
  <r>
    <x v="344"/>
    <x v="244"/>
    <n v="4.5"/>
    <n v="8580"/>
    <x v="34"/>
    <x v="10"/>
    <x v="1"/>
    <s v="American Psychological Association"/>
    <x v="0"/>
    <x v="1"/>
    <s v="Low"/>
  </r>
  <r>
    <x v="344"/>
    <x v="244"/>
    <n v="4.5"/>
    <n v="8580"/>
    <x v="34"/>
    <x v="1"/>
    <x v="1"/>
    <s v="American Psychological Association"/>
    <x v="0"/>
    <x v="1"/>
    <s v="Low"/>
  </r>
  <r>
    <x v="344"/>
    <x v="244"/>
    <n v="4.5"/>
    <n v="8580"/>
    <x v="34"/>
    <x v="2"/>
    <x v="1"/>
    <s v="American Psychological Association"/>
    <x v="0"/>
    <x v="1"/>
    <s v="Low"/>
  </r>
  <r>
    <x v="344"/>
    <x v="244"/>
    <n v="4.5"/>
    <n v="8580"/>
    <x v="34"/>
    <x v="6"/>
    <x v="1"/>
    <s v="American Psychological Association"/>
    <x v="0"/>
    <x v="1"/>
    <s v="Low"/>
  </r>
  <r>
    <x v="344"/>
    <x v="244"/>
    <n v="4.5"/>
    <n v="8580"/>
    <x v="34"/>
    <x v="3"/>
    <x v="1"/>
    <s v="American Psychological Association"/>
    <x v="0"/>
    <x v="1"/>
    <s v="Low"/>
  </r>
  <r>
    <x v="344"/>
    <x v="244"/>
    <n v="4.5"/>
    <n v="8580"/>
    <x v="34"/>
    <x v="4"/>
    <x v="1"/>
    <s v="American Psychological Association"/>
    <x v="0"/>
    <x v="1"/>
    <s v="Low"/>
  </r>
  <r>
    <x v="344"/>
    <x v="244"/>
    <n v="4.5"/>
    <n v="8580"/>
    <x v="34"/>
    <x v="8"/>
    <x v="1"/>
    <s v="American Psychological Association"/>
    <x v="0"/>
    <x v="1"/>
    <s v="Low"/>
  </r>
  <r>
    <x v="345"/>
    <x v="214"/>
    <n v="4.8"/>
    <n v="13471"/>
    <x v="35"/>
    <x v="3"/>
    <x v="0"/>
    <s v="J. K. Rowling"/>
    <x v="0"/>
    <x v="1"/>
    <s v="High"/>
  </r>
  <r>
    <x v="346"/>
    <x v="245"/>
    <n v="4.7"/>
    <n v="858"/>
    <x v="36"/>
    <x v="7"/>
    <x v="1"/>
    <s v="Bill Simmons"/>
    <x v="0"/>
    <x v="1"/>
    <s v="Low"/>
  </r>
  <r>
    <x v="347"/>
    <x v="246"/>
    <n v="4.9000000000000004"/>
    <n v="5867"/>
    <x v="37"/>
    <x v="3"/>
    <x v="1"/>
    <s v="Lin-Manuel Miranda"/>
    <x v="0"/>
    <x v="1"/>
    <s v="Low"/>
  </r>
  <r>
    <x v="348"/>
    <x v="4"/>
    <n v="4.7"/>
    <n v="3801"/>
    <x v="38"/>
    <x v="7"/>
    <x v="0"/>
    <s v="Stephenie Meyer"/>
    <x v="0"/>
    <x v="1"/>
    <s v="Low"/>
  </r>
  <r>
    <x v="349"/>
    <x v="247"/>
    <n v="4.5"/>
    <n v="6679"/>
    <x v="39"/>
    <x v="1"/>
    <x v="1"/>
    <s v="American Psychiatric Association"/>
    <x v="0"/>
    <x v="1"/>
    <s v="Low"/>
  </r>
  <r>
    <x v="349"/>
    <x v="247"/>
    <n v="4.5"/>
    <n v="6679"/>
    <x v="39"/>
    <x v="2"/>
    <x v="1"/>
    <s v="American Psychiatric Association"/>
    <x v="0"/>
    <x v="1"/>
    <s v="Low"/>
  </r>
  <r>
    <x v="350"/>
    <x v="248"/>
    <m/>
    <m/>
    <x v="40"/>
    <x v="11"/>
    <x v="2"/>
    <m/>
    <x v="2"/>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394986-7D3B-4815-8DB8-0EEE47BA55F5}"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1">
    <pivotField dataField="1" showAll="0"/>
    <pivotField showAll="0"/>
    <pivotField showAll="0"/>
    <pivotField showAll="0"/>
    <pivotField showAll="0"/>
    <pivotField showAll="0"/>
    <pivotField axis="axisRow" showAll="0">
      <items count="4">
        <item x="0"/>
        <item x="1"/>
        <item h="1" x="2"/>
        <item t="default"/>
      </items>
    </pivotField>
    <pivotField showAll="0"/>
    <pivotField showAll="0">
      <items count="4">
        <item x="1"/>
        <item x="0"/>
        <item x="2"/>
        <item t="default"/>
      </items>
    </pivotField>
    <pivotField showAll="0">
      <items count="4">
        <item x="0"/>
        <item x="1"/>
        <item x="2"/>
        <item t="default"/>
      </items>
    </pivotField>
    <pivotField showAll="0"/>
  </pivotFields>
  <rowFields count="1">
    <field x="6"/>
  </rowFields>
  <rowItems count="3">
    <i>
      <x/>
    </i>
    <i>
      <x v="1"/>
    </i>
    <i t="grand">
      <x/>
    </i>
  </rowItems>
  <colItems count="1">
    <i/>
  </colItems>
  <dataFields count="1">
    <dataField name="Count of 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E9C9A4-72AA-4396-BC9E-356831850A29}"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1">
    <pivotField showAll="0"/>
    <pivotField showAll="0"/>
    <pivotField dataField="1" showAll="0"/>
    <pivotField showAll="0"/>
    <pivotField showAll="0"/>
    <pivotField showAll="0">
      <items count="13">
        <item x="7"/>
        <item x="5"/>
        <item x="0"/>
        <item x="10"/>
        <item x="1"/>
        <item x="2"/>
        <item x="6"/>
        <item x="3"/>
        <item x="4"/>
        <item x="8"/>
        <item x="9"/>
        <item x="11"/>
        <item t="default"/>
      </items>
    </pivotField>
    <pivotField axis="axisRow" showAll="0">
      <items count="4">
        <item x="0"/>
        <item x="1"/>
        <item h="1" x="2"/>
        <item t="default"/>
      </items>
    </pivotField>
    <pivotField showAll="0"/>
    <pivotField showAll="0">
      <items count="4">
        <item x="1"/>
        <item x="0"/>
        <item x="2"/>
        <item t="default"/>
      </items>
    </pivotField>
    <pivotField showAll="0">
      <items count="4">
        <item x="0"/>
        <item x="1"/>
        <item x="2"/>
        <item t="default"/>
      </items>
    </pivotField>
    <pivotField showAll="0"/>
  </pivotFields>
  <rowFields count="1">
    <field x="6"/>
  </rowFields>
  <rowItems count="3">
    <i>
      <x/>
    </i>
    <i>
      <x v="1"/>
    </i>
    <i t="grand">
      <x/>
    </i>
  </rowItems>
  <colItems count="1">
    <i/>
  </colItems>
  <dataFields count="1">
    <dataField name="Average of user_rating" fld="2" subtotal="average" baseField="6"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6A8D9A-B01A-42AB-A225-9DDC022D14CD}"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1">
    <pivotField showAll="0"/>
    <pivotField showAll="0"/>
    <pivotField showAll="0"/>
    <pivotField showAll="0"/>
    <pivotField dataField="1" showAll="0"/>
    <pivotField showAll="0">
      <items count="13">
        <item x="7"/>
        <item x="5"/>
        <item x="0"/>
        <item x="10"/>
        <item x="1"/>
        <item x="2"/>
        <item x="6"/>
        <item x="3"/>
        <item x="4"/>
        <item x="8"/>
        <item x="9"/>
        <item x="11"/>
        <item t="default"/>
      </items>
    </pivotField>
    <pivotField axis="axisRow" showAll="0">
      <items count="4">
        <item x="0"/>
        <item x="1"/>
        <item h="1" x="2"/>
        <item t="default"/>
      </items>
    </pivotField>
    <pivotField showAll="0"/>
    <pivotField showAll="0">
      <items count="4">
        <item x="1"/>
        <item x="0"/>
        <item x="2"/>
        <item t="default"/>
      </items>
    </pivotField>
    <pivotField showAll="0">
      <items count="4">
        <item x="0"/>
        <item x="1"/>
        <item x="2"/>
        <item t="default"/>
      </items>
    </pivotField>
    <pivotField showAll="0"/>
  </pivotFields>
  <rowFields count="1">
    <field x="6"/>
  </rowFields>
  <rowItems count="3">
    <i>
      <x/>
    </i>
    <i>
      <x v="1"/>
    </i>
    <i t="grand">
      <x/>
    </i>
  </rowItems>
  <colItems count="1">
    <i/>
  </colItems>
  <dataFields count="1">
    <dataField name="Average of price" fld="4" subtotal="average"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816BF4-213F-4307-9ED5-8C1A7437FE80}"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fieldListSortAscending="1">
  <location ref="A3:B17" firstHeaderRow="1" firstDataRow="1" firstDataCol="1"/>
  <pivotFields count="11">
    <pivotField dataField="1" showAll="0">
      <items count="352">
        <item x="88"/>
        <item x="320"/>
        <item x="245"/>
        <item x="48"/>
        <item x="179"/>
        <item x="157"/>
        <item x="334"/>
        <item x="246"/>
        <item x="14"/>
        <item x="89"/>
        <item x="10"/>
        <item x="338"/>
        <item x="30"/>
        <item x="273"/>
        <item x="15"/>
        <item x="49"/>
        <item x="50"/>
        <item x="90"/>
        <item x="203"/>
        <item x="224"/>
        <item x="204"/>
        <item x="111"/>
        <item x="205"/>
        <item x="31"/>
        <item x="112"/>
        <item x="225"/>
        <item x="32"/>
        <item x="158"/>
        <item x="328"/>
        <item x="311"/>
        <item x="159"/>
        <item x="247"/>
        <item x="206"/>
        <item x="284"/>
        <item x="207"/>
        <item x="91"/>
        <item x="33"/>
        <item x="0"/>
        <item x="16"/>
        <item x="285"/>
        <item x="333"/>
        <item x="160"/>
        <item x="261"/>
        <item x="226"/>
        <item x="92"/>
        <item x="17"/>
        <item x="34"/>
        <item x="161"/>
        <item x="140"/>
        <item x="208"/>
        <item x="18"/>
        <item x="93"/>
        <item x="19"/>
        <item x="35"/>
        <item x="274"/>
        <item x="248"/>
        <item x="349"/>
        <item x="1"/>
        <item x="249"/>
        <item x="321"/>
        <item x="36"/>
        <item x="250"/>
        <item x="51"/>
        <item x="52"/>
        <item x="209"/>
        <item x="180"/>
        <item x="53"/>
        <item x="94"/>
        <item x="20"/>
        <item x="95"/>
        <item x="96"/>
        <item x="54"/>
        <item x="300"/>
        <item x="37"/>
        <item x="262"/>
        <item x="9"/>
        <item x="227"/>
        <item x="113"/>
        <item x="72"/>
        <item x="286"/>
        <item x="251"/>
        <item x="114"/>
        <item x="97"/>
        <item x="252"/>
        <item x="11"/>
        <item x="73"/>
        <item x="162"/>
        <item x="228"/>
        <item x="339"/>
        <item x="55"/>
        <item x="21"/>
        <item x="115"/>
        <item x="2"/>
        <item x="116"/>
        <item x="38"/>
        <item x="301"/>
        <item x="263"/>
        <item x="22"/>
        <item x="181"/>
        <item x="182"/>
        <item x="163"/>
        <item x="297"/>
        <item x="117"/>
        <item x="56"/>
        <item x="118"/>
        <item x="57"/>
        <item x="229"/>
        <item x="39"/>
        <item x="74"/>
        <item x="141"/>
        <item x="230"/>
        <item x="75"/>
        <item x="347"/>
        <item x="164"/>
        <item x="335"/>
        <item x="183"/>
        <item x="287"/>
        <item x="336"/>
        <item x="322"/>
        <item x="119"/>
        <item x="345"/>
        <item x="23"/>
        <item x="142"/>
        <item x="231"/>
        <item x="323"/>
        <item x="165"/>
        <item x="264"/>
        <item x="253"/>
        <item x="275"/>
        <item x="276"/>
        <item x="76"/>
        <item x="77"/>
        <item x="24"/>
        <item x="120"/>
        <item x="312"/>
        <item x="232"/>
        <item x="302"/>
        <item x="210"/>
        <item x="184"/>
        <item x="98"/>
        <item x="3"/>
        <item x="185"/>
        <item x="277"/>
        <item x="186"/>
        <item x="329"/>
        <item x="143"/>
        <item x="58"/>
        <item x="40"/>
        <item x="59"/>
        <item x="99"/>
        <item x="25"/>
        <item x="211"/>
        <item x="26"/>
        <item x="212"/>
        <item x="313"/>
        <item x="60"/>
        <item x="254"/>
        <item x="288"/>
        <item x="144"/>
        <item x="4"/>
        <item x="187"/>
        <item x="78"/>
        <item x="213"/>
        <item x="41"/>
        <item x="265"/>
        <item x="303"/>
        <item x="166"/>
        <item x="331"/>
        <item x="100"/>
        <item x="61"/>
        <item x="145"/>
        <item x="101"/>
        <item x="266"/>
        <item x="167"/>
        <item x="146"/>
        <item x="121"/>
        <item x="233"/>
        <item x="324"/>
        <item x="102"/>
        <item x="79"/>
        <item x="188"/>
        <item x="214"/>
        <item x="122"/>
        <item x="215"/>
        <item x="168"/>
        <item x="304"/>
        <item x="42"/>
        <item x="12"/>
        <item x="332"/>
        <item x="123"/>
        <item x="147"/>
        <item x="344"/>
        <item x="27"/>
        <item x="80"/>
        <item x="124"/>
        <item x="189"/>
        <item x="190"/>
        <item x="191"/>
        <item x="305"/>
        <item x="148"/>
        <item x="62"/>
        <item x="125"/>
        <item x="169"/>
        <item x="267"/>
        <item x="63"/>
        <item x="330"/>
        <item x="278"/>
        <item x="306"/>
        <item x="64"/>
        <item x="279"/>
        <item x="289"/>
        <item x="216"/>
        <item x="290"/>
        <item x="307"/>
        <item x="325"/>
        <item x="314"/>
        <item x="103"/>
        <item x="192"/>
        <item x="268"/>
        <item x="341"/>
        <item x="126"/>
        <item x="149"/>
        <item x="280"/>
        <item x="170"/>
        <item x="234"/>
        <item x="193"/>
        <item x="346"/>
        <item x="65"/>
        <item x="104"/>
        <item x="194"/>
        <item x="195"/>
        <item x="315"/>
        <item x="66"/>
        <item x="217"/>
        <item x="5"/>
        <item x="171"/>
        <item x="127"/>
        <item x="255"/>
        <item x="172"/>
        <item x="81"/>
        <item x="67"/>
        <item x="128"/>
        <item x="68"/>
        <item x="6"/>
        <item x="82"/>
        <item x="235"/>
        <item x="129"/>
        <item x="269"/>
        <item x="13"/>
        <item x="43"/>
        <item x="308"/>
        <item x="83"/>
        <item x="236"/>
        <item x="150"/>
        <item x="84"/>
        <item x="218"/>
        <item x="173"/>
        <item x="69"/>
        <item x="237"/>
        <item x="238"/>
        <item x="105"/>
        <item x="337"/>
        <item x="130"/>
        <item x="85"/>
        <item x="131"/>
        <item x="86"/>
        <item x="309"/>
        <item x="219"/>
        <item x="174"/>
        <item x="291"/>
        <item x="239"/>
        <item x="298"/>
        <item x="220"/>
        <item x="44"/>
        <item x="151"/>
        <item x="132"/>
        <item x="106"/>
        <item x="107"/>
        <item x="196"/>
        <item x="175"/>
        <item x="342"/>
        <item x="340"/>
        <item x="270"/>
        <item x="281"/>
        <item x="240"/>
        <item x="316"/>
        <item x="292"/>
        <item x="282"/>
        <item x="45"/>
        <item x="317"/>
        <item x="293"/>
        <item x="294"/>
        <item x="197"/>
        <item x="241"/>
        <item x="198"/>
        <item x="108"/>
        <item x="7"/>
        <item x="242"/>
        <item x="152"/>
        <item x="256"/>
        <item x="133"/>
        <item x="87"/>
        <item x="153"/>
        <item x="70"/>
        <item x="134"/>
        <item x="154"/>
        <item x="348"/>
        <item x="199"/>
        <item x="155"/>
        <item x="46"/>
        <item x="271"/>
        <item x="156"/>
        <item x="28"/>
        <item x="272"/>
        <item x="257"/>
        <item x="299"/>
        <item x="135"/>
        <item x="326"/>
        <item x="176"/>
        <item x="327"/>
        <item x="200"/>
        <item x="8"/>
        <item x="318"/>
        <item x="319"/>
        <item x="258"/>
        <item x="136"/>
        <item x="47"/>
        <item x="221"/>
        <item x="310"/>
        <item x="177"/>
        <item x="29"/>
        <item x="137"/>
        <item x="343"/>
        <item x="201"/>
        <item x="295"/>
        <item x="283"/>
        <item x="243"/>
        <item x="222"/>
        <item x="138"/>
        <item x="71"/>
        <item x="244"/>
        <item x="259"/>
        <item x="223"/>
        <item x="202"/>
        <item x="296"/>
        <item x="260"/>
        <item x="178"/>
        <item x="139"/>
        <item x="109"/>
        <item x="110"/>
        <item x="350"/>
        <item t="default"/>
      </items>
    </pivotField>
    <pivotField axis="axisRow" showAll="0" measureFilter="1" sortType="descending">
      <items count="250">
        <item x="124"/>
        <item x="49"/>
        <item x="92"/>
        <item x="168"/>
        <item x="127"/>
        <item x="12"/>
        <item x="243"/>
        <item x="179"/>
        <item x="2"/>
        <item x="206"/>
        <item x="247"/>
        <item x="244"/>
        <item x="182"/>
        <item x="54"/>
        <item x="128"/>
        <item x="103"/>
        <item x="122"/>
        <item x="133"/>
        <item x="160"/>
        <item x="20"/>
        <item x="77"/>
        <item x="170"/>
        <item x="183"/>
        <item x="58"/>
        <item x="82"/>
        <item x="148"/>
        <item x="28"/>
        <item x="34"/>
        <item x="245"/>
        <item x="42"/>
        <item x="8"/>
        <item x="186"/>
        <item x="109"/>
        <item x="195"/>
        <item x="212"/>
        <item x="113"/>
        <item x="143"/>
        <item x="15"/>
        <item x="231"/>
        <item x="189"/>
        <item x="218"/>
        <item x="38"/>
        <item x="162"/>
        <item x="112"/>
        <item x="86"/>
        <item x="193"/>
        <item x="129"/>
        <item x="221"/>
        <item x="73"/>
        <item x="23"/>
        <item x="198"/>
        <item x="126"/>
        <item x="161"/>
        <item x="194"/>
        <item x="149"/>
        <item x="219"/>
        <item x="165"/>
        <item x="16"/>
        <item x="118"/>
        <item x="213"/>
        <item x="207"/>
        <item x="203"/>
        <item x="110"/>
        <item x="98"/>
        <item x="6"/>
        <item x="39"/>
        <item x="3"/>
        <item x="191"/>
        <item x="119"/>
        <item x="27"/>
        <item x="56"/>
        <item x="226"/>
        <item x="225"/>
        <item x="80"/>
        <item x="210"/>
        <item x="100"/>
        <item x="60"/>
        <item x="114"/>
        <item x="99"/>
        <item x="190"/>
        <item x="96"/>
        <item x="144"/>
        <item x="120"/>
        <item x="40"/>
        <item x="228"/>
        <item x="145"/>
        <item x="178"/>
        <item x="68"/>
        <item x="172"/>
        <item x="72"/>
        <item x="208"/>
        <item x="116"/>
        <item x="81"/>
        <item x="95"/>
        <item x="138"/>
        <item x="41"/>
        <item x="121"/>
        <item x="32"/>
        <item x="205"/>
        <item x="18"/>
        <item x="93"/>
        <item x="26"/>
        <item x="22"/>
        <item x="136"/>
        <item x="5"/>
        <item x="107"/>
        <item x="217"/>
        <item x="63"/>
        <item x="196"/>
        <item x="51"/>
        <item x="222"/>
        <item x="174"/>
        <item x="214"/>
        <item x="141"/>
        <item x="11"/>
        <item x="83"/>
        <item x="64"/>
        <item x="105"/>
        <item x="240"/>
        <item x="0"/>
        <item x="85"/>
        <item x="157"/>
        <item x="158"/>
        <item x="173"/>
        <item x="71"/>
        <item x="197"/>
        <item x="88"/>
        <item x="89"/>
        <item x="65"/>
        <item x="163"/>
        <item x="91"/>
        <item x="235"/>
        <item x="131"/>
        <item x="164"/>
        <item x="181"/>
        <item x="237"/>
        <item x="130"/>
        <item x="57"/>
        <item x="215"/>
        <item x="192"/>
        <item x="74"/>
        <item x="155"/>
        <item x="135"/>
        <item x="7"/>
        <item x="167"/>
        <item x="70"/>
        <item x="246"/>
        <item x="106"/>
        <item x="30"/>
        <item x="25"/>
        <item x="104"/>
        <item x="69"/>
        <item x="33"/>
        <item x="134"/>
        <item x="14"/>
        <item x="176"/>
        <item x="188"/>
        <item x="175"/>
        <item x="137"/>
        <item x="171"/>
        <item x="53"/>
        <item x="31"/>
        <item x="117"/>
        <item x="169"/>
        <item x="202"/>
        <item x="209"/>
        <item x="90"/>
        <item x="45"/>
        <item x="123"/>
        <item x="234"/>
        <item x="19"/>
        <item x="132"/>
        <item x="36"/>
        <item x="52"/>
        <item x="139"/>
        <item x="87"/>
        <item x="48"/>
        <item x="55"/>
        <item x="227"/>
        <item x="180"/>
        <item x="67"/>
        <item x="201"/>
        <item x="242"/>
        <item x="233"/>
        <item x="220"/>
        <item x="125"/>
        <item x="187"/>
        <item x="47"/>
        <item x="108"/>
        <item x="140"/>
        <item x="62"/>
        <item x="211"/>
        <item x="102"/>
        <item x="75"/>
        <item x="101"/>
        <item x="177"/>
        <item x="1"/>
        <item x="9"/>
        <item x="159"/>
        <item x="21"/>
        <item x="232"/>
        <item x="35"/>
        <item x="29"/>
        <item x="17"/>
        <item x="154"/>
        <item x="78"/>
        <item x="146"/>
        <item x="223"/>
        <item x="37"/>
        <item x="152"/>
        <item x="46"/>
        <item x="76"/>
        <item x="13"/>
        <item x="94"/>
        <item x="50"/>
        <item x="61"/>
        <item x="97"/>
        <item x="24"/>
        <item x="166"/>
        <item x="142"/>
        <item x="200"/>
        <item x="4"/>
        <item x="204"/>
        <item x="216"/>
        <item x="10"/>
        <item x="66"/>
        <item x="79"/>
        <item x="156"/>
        <item x="185"/>
        <item x="115"/>
        <item x="241"/>
        <item x="153"/>
        <item x="150"/>
        <item x="230"/>
        <item x="239"/>
        <item x="236"/>
        <item x="229"/>
        <item x="151"/>
        <item x="111"/>
        <item x="184"/>
        <item x="199"/>
        <item x="43"/>
        <item x="147"/>
        <item x="224"/>
        <item x="59"/>
        <item x="84"/>
        <item x="238"/>
        <item x="44"/>
        <item x="24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3">
        <item x="7"/>
        <item x="5"/>
        <item x="0"/>
        <item x="10"/>
        <item x="1"/>
        <item x="2"/>
        <item x="6"/>
        <item x="3"/>
        <item x="4"/>
        <item x="8"/>
        <item x="9"/>
        <item x="11"/>
        <item t="default"/>
      </items>
    </pivotField>
    <pivotField showAll="0"/>
    <pivotField showAll="0"/>
    <pivotField showAll="0">
      <items count="4">
        <item x="1"/>
        <item x="0"/>
        <item x="2"/>
        <item t="default"/>
      </items>
    </pivotField>
    <pivotField showAll="0">
      <items count="4">
        <item x="0"/>
        <item x="1"/>
        <item x="2"/>
        <item t="default"/>
      </items>
    </pivotField>
    <pivotField showAll="0"/>
  </pivotFields>
  <rowFields count="1">
    <field x="1"/>
  </rowFields>
  <rowItems count="14">
    <i>
      <x v="119"/>
    </i>
    <i>
      <x v="197"/>
    </i>
    <i>
      <x v="226"/>
    </i>
    <i>
      <x v="92"/>
    </i>
    <i>
      <x v="11"/>
    </i>
    <i>
      <x v="90"/>
    </i>
    <i>
      <x v="73"/>
    </i>
    <i>
      <x v="199"/>
    </i>
    <i>
      <x v="220"/>
    </i>
    <i>
      <x v="221"/>
    </i>
    <i>
      <x v="83"/>
    </i>
    <i>
      <x v="27"/>
    </i>
    <i>
      <x v="57"/>
    </i>
    <i t="grand">
      <x/>
    </i>
  </rowItems>
  <colItems count="1">
    <i/>
  </colItems>
  <dataFields count="1">
    <dataField name="Count of name" fld="0" subtotal="count" baseField="1"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2" filterVal="1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3C9641-F8ED-44E4-A3BE-0156A88FBE3D}"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1">
    <pivotField showAll="0"/>
    <pivotField showAll="0"/>
    <pivotField showAll="0"/>
    <pivotField dataField="1" showAll="0"/>
    <pivotField showAll="0"/>
    <pivotField axis="axisRow" showAll="0">
      <items count="13">
        <item x="7"/>
        <item x="5"/>
        <item x="0"/>
        <item x="10"/>
        <item x="1"/>
        <item x="2"/>
        <item x="6"/>
        <item x="3"/>
        <item x="4"/>
        <item x="8"/>
        <item x="9"/>
        <item x="11"/>
        <item t="default"/>
      </items>
    </pivotField>
    <pivotField showAll="0"/>
    <pivotField showAll="0"/>
    <pivotField showAll="0">
      <items count="4">
        <item x="1"/>
        <item x="0"/>
        <item x="2"/>
        <item t="default"/>
      </items>
    </pivotField>
    <pivotField showAll="0">
      <items count="4">
        <item x="0"/>
        <item x="1"/>
        <item x="2"/>
        <item t="default"/>
      </items>
    </pivotField>
    <pivotField showAll="0"/>
  </pivotFields>
  <rowFields count="1">
    <field x="5"/>
  </rowFields>
  <rowItems count="13">
    <i>
      <x/>
    </i>
    <i>
      <x v="1"/>
    </i>
    <i>
      <x v="2"/>
    </i>
    <i>
      <x v="3"/>
    </i>
    <i>
      <x v="4"/>
    </i>
    <i>
      <x v="5"/>
    </i>
    <i>
      <x v="6"/>
    </i>
    <i>
      <x v="7"/>
    </i>
    <i>
      <x v="8"/>
    </i>
    <i>
      <x v="9"/>
    </i>
    <i>
      <x v="10"/>
    </i>
    <i>
      <x v="11"/>
    </i>
    <i t="grand">
      <x/>
    </i>
  </rowItems>
  <colItems count="1">
    <i/>
  </colItems>
  <dataFields count="1">
    <dataField name="Average of reviews" fld="3" subtotal="average" baseField="5"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0A82F1-74DA-4CC3-AF3D-F5CB3EE0C1AD}"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1">
    <pivotField showAll="0"/>
    <pivotField showAll="0"/>
    <pivotField showAll="0"/>
    <pivotField showAll="0"/>
    <pivotField dataFiel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axis="axisRow" showAll="0">
      <items count="13">
        <item x="7"/>
        <item x="5"/>
        <item x="0"/>
        <item x="10"/>
        <item x="1"/>
        <item x="2"/>
        <item x="6"/>
        <item x="3"/>
        <item x="4"/>
        <item x="8"/>
        <item x="9"/>
        <item x="11"/>
        <item t="default"/>
      </items>
    </pivotField>
    <pivotField showAll="0"/>
    <pivotField showAll="0"/>
    <pivotField showAll="0">
      <items count="4">
        <item x="1"/>
        <item x="0"/>
        <item x="2"/>
        <item t="default"/>
      </items>
    </pivotField>
    <pivotField showAll="0">
      <items count="4">
        <item x="0"/>
        <item x="1"/>
        <item x="2"/>
        <item t="default"/>
      </items>
    </pivotField>
    <pivotField showAll="0"/>
  </pivotFields>
  <rowFields count="1">
    <field x="5"/>
  </rowFields>
  <rowItems count="13">
    <i>
      <x/>
    </i>
    <i>
      <x v="1"/>
    </i>
    <i>
      <x v="2"/>
    </i>
    <i>
      <x v="3"/>
    </i>
    <i>
      <x v="4"/>
    </i>
    <i>
      <x v="5"/>
    </i>
    <i>
      <x v="6"/>
    </i>
    <i>
      <x v="7"/>
    </i>
    <i>
      <x v="8"/>
    </i>
    <i>
      <x v="9"/>
    </i>
    <i>
      <x v="10"/>
    </i>
    <i>
      <x v="11"/>
    </i>
    <i t="grand">
      <x/>
    </i>
  </rowItems>
  <colItems count="1">
    <i/>
  </colItems>
  <dataFields count="1">
    <dataField name="Average of price" fld="4" subtotal="average" baseField="5"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BA8EEA-6277-42BC-9EE6-FC17C3B22866}"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1">
    <pivotField axis="axisRow" showAll="0" measureFilter="1">
      <items count="352">
        <item x="88"/>
        <item x="320"/>
        <item x="245"/>
        <item x="48"/>
        <item x="179"/>
        <item x="157"/>
        <item x="334"/>
        <item x="246"/>
        <item x="14"/>
        <item x="89"/>
        <item x="10"/>
        <item x="338"/>
        <item x="30"/>
        <item x="273"/>
        <item x="15"/>
        <item x="49"/>
        <item x="50"/>
        <item x="90"/>
        <item x="203"/>
        <item x="224"/>
        <item x="204"/>
        <item x="111"/>
        <item x="205"/>
        <item x="31"/>
        <item x="112"/>
        <item x="225"/>
        <item x="32"/>
        <item x="158"/>
        <item x="328"/>
        <item x="311"/>
        <item x="159"/>
        <item x="247"/>
        <item x="206"/>
        <item x="284"/>
        <item x="207"/>
        <item x="91"/>
        <item x="33"/>
        <item x="0"/>
        <item x="16"/>
        <item x="285"/>
        <item x="333"/>
        <item x="160"/>
        <item x="261"/>
        <item x="226"/>
        <item x="92"/>
        <item x="17"/>
        <item x="34"/>
        <item x="161"/>
        <item x="140"/>
        <item x="208"/>
        <item x="18"/>
        <item x="93"/>
        <item x="19"/>
        <item x="35"/>
        <item x="274"/>
        <item x="248"/>
        <item x="349"/>
        <item x="1"/>
        <item x="249"/>
        <item x="321"/>
        <item x="36"/>
        <item x="250"/>
        <item x="51"/>
        <item x="52"/>
        <item x="209"/>
        <item x="180"/>
        <item x="53"/>
        <item x="94"/>
        <item x="20"/>
        <item x="95"/>
        <item x="96"/>
        <item x="54"/>
        <item x="300"/>
        <item x="37"/>
        <item x="262"/>
        <item x="9"/>
        <item x="227"/>
        <item x="113"/>
        <item x="72"/>
        <item x="286"/>
        <item x="251"/>
        <item x="114"/>
        <item x="97"/>
        <item x="252"/>
        <item x="11"/>
        <item x="73"/>
        <item x="162"/>
        <item x="228"/>
        <item x="339"/>
        <item x="55"/>
        <item x="21"/>
        <item x="115"/>
        <item x="2"/>
        <item x="116"/>
        <item x="38"/>
        <item x="301"/>
        <item x="263"/>
        <item x="22"/>
        <item x="181"/>
        <item x="182"/>
        <item x="163"/>
        <item x="297"/>
        <item x="117"/>
        <item x="56"/>
        <item x="118"/>
        <item x="57"/>
        <item x="229"/>
        <item x="39"/>
        <item x="74"/>
        <item x="141"/>
        <item x="230"/>
        <item x="75"/>
        <item x="347"/>
        <item x="164"/>
        <item x="335"/>
        <item x="183"/>
        <item x="287"/>
        <item x="336"/>
        <item x="322"/>
        <item x="119"/>
        <item x="345"/>
        <item x="23"/>
        <item x="142"/>
        <item x="231"/>
        <item x="323"/>
        <item x="165"/>
        <item x="264"/>
        <item x="253"/>
        <item x="275"/>
        <item x="276"/>
        <item x="76"/>
        <item x="77"/>
        <item x="24"/>
        <item x="120"/>
        <item x="312"/>
        <item x="232"/>
        <item x="302"/>
        <item x="210"/>
        <item x="184"/>
        <item x="98"/>
        <item x="3"/>
        <item x="185"/>
        <item x="277"/>
        <item x="186"/>
        <item x="329"/>
        <item x="143"/>
        <item x="58"/>
        <item x="40"/>
        <item x="59"/>
        <item x="99"/>
        <item x="25"/>
        <item x="211"/>
        <item x="26"/>
        <item x="212"/>
        <item x="313"/>
        <item x="60"/>
        <item x="254"/>
        <item x="288"/>
        <item x="144"/>
        <item x="4"/>
        <item x="187"/>
        <item x="78"/>
        <item x="213"/>
        <item x="41"/>
        <item x="265"/>
        <item x="303"/>
        <item x="166"/>
        <item x="331"/>
        <item x="100"/>
        <item x="61"/>
        <item x="145"/>
        <item x="101"/>
        <item x="266"/>
        <item x="167"/>
        <item x="146"/>
        <item x="121"/>
        <item x="233"/>
        <item x="324"/>
        <item x="102"/>
        <item x="79"/>
        <item x="188"/>
        <item x="214"/>
        <item x="122"/>
        <item x="215"/>
        <item x="168"/>
        <item x="304"/>
        <item x="42"/>
        <item x="12"/>
        <item x="332"/>
        <item x="123"/>
        <item x="147"/>
        <item x="344"/>
        <item x="27"/>
        <item x="80"/>
        <item x="124"/>
        <item x="189"/>
        <item x="190"/>
        <item x="191"/>
        <item x="305"/>
        <item x="148"/>
        <item x="62"/>
        <item x="125"/>
        <item x="169"/>
        <item x="267"/>
        <item x="63"/>
        <item x="330"/>
        <item x="278"/>
        <item x="306"/>
        <item x="64"/>
        <item x="279"/>
        <item x="289"/>
        <item x="216"/>
        <item x="290"/>
        <item x="307"/>
        <item x="325"/>
        <item x="314"/>
        <item x="103"/>
        <item x="192"/>
        <item x="268"/>
        <item x="341"/>
        <item x="126"/>
        <item x="149"/>
        <item x="280"/>
        <item x="170"/>
        <item x="234"/>
        <item x="193"/>
        <item x="346"/>
        <item x="65"/>
        <item x="104"/>
        <item x="194"/>
        <item x="195"/>
        <item x="315"/>
        <item x="66"/>
        <item x="217"/>
        <item x="5"/>
        <item x="171"/>
        <item x="127"/>
        <item x="255"/>
        <item x="172"/>
        <item x="81"/>
        <item x="67"/>
        <item x="128"/>
        <item x="68"/>
        <item x="6"/>
        <item x="82"/>
        <item x="235"/>
        <item x="129"/>
        <item x="269"/>
        <item x="13"/>
        <item x="43"/>
        <item x="308"/>
        <item x="83"/>
        <item x="236"/>
        <item x="150"/>
        <item x="84"/>
        <item x="218"/>
        <item x="173"/>
        <item x="69"/>
        <item x="237"/>
        <item x="238"/>
        <item x="105"/>
        <item x="337"/>
        <item x="130"/>
        <item x="85"/>
        <item x="131"/>
        <item x="86"/>
        <item x="309"/>
        <item x="219"/>
        <item x="174"/>
        <item x="291"/>
        <item x="239"/>
        <item x="298"/>
        <item x="220"/>
        <item x="44"/>
        <item x="151"/>
        <item x="132"/>
        <item x="106"/>
        <item x="107"/>
        <item x="196"/>
        <item x="175"/>
        <item x="342"/>
        <item x="340"/>
        <item x="270"/>
        <item x="281"/>
        <item x="240"/>
        <item x="316"/>
        <item x="292"/>
        <item x="282"/>
        <item x="45"/>
        <item x="317"/>
        <item x="293"/>
        <item x="294"/>
        <item x="197"/>
        <item x="241"/>
        <item x="198"/>
        <item x="108"/>
        <item x="7"/>
        <item x="242"/>
        <item x="152"/>
        <item x="256"/>
        <item x="133"/>
        <item x="87"/>
        <item x="153"/>
        <item x="70"/>
        <item x="134"/>
        <item x="154"/>
        <item x="348"/>
        <item x="199"/>
        <item x="155"/>
        <item x="46"/>
        <item x="271"/>
        <item x="156"/>
        <item x="28"/>
        <item x="272"/>
        <item x="257"/>
        <item x="299"/>
        <item x="135"/>
        <item x="326"/>
        <item x="176"/>
        <item x="327"/>
        <item x="200"/>
        <item x="8"/>
        <item x="318"/>
        <item x="319"/>
        <item x="258"/>
        <item x="136"/>
        <item x="47"/>
        <item x="221"/>
        <item x="310"/>
        <item x="177"/>
        <item x="29"/>
        <item x="137"/>
        <item x="343"/>
        <item x="201"/>
        <item x="295"/>
        <item x="283"/>
        <item x="243"/>
        <item x="222"/>
        <item x="138"/>
        <item x="71"/>
        <item x="244"/>
        <item x="259"/>
        <item x="223"/>
        <item x="202"/>
        <item x="296"/>
        <item x="260"/>
        <item x="178"/>
        <item x="139"/>
        <item x="109"/>
        <item x="110"/>
        <item x="350"/>
        <item t="default"/>
      </items>
    </pivotField>
    <pivotField showAll="0"/>
    <pivotField showAll="0"/>
    <pivotField dataField="1" showAll="0"/>
    <pivotField showAll="0"/>
    <pivotField showAll="0">
      <items count="13">
        <item x="7"/>
        <item x="5"/>
        <item x="0"/>
        <item x="10"/>
        <item x="1"/>
        <item x="2"/>
        <item x="6"/>
        <item x="3"/>
        <item x="4"/>
        <item x="8"/>
        <item x="9"/>
        <item x="11"/>
        <item t="default"/>
      </items>
    </pivotField>
    <pivotField showAll="0"/>
    <pivotField showAll="0"/>
    <pivotField showAll="0">
      <items count="4">
        <item x="1"/>
        <item x="0"/>
        <item x="2"/>
        <item t="default"/>
      </items>
    </pivotField>
    <pivotField showAll="0">
      <items count="4">
        <item x="0"/>
        <item x="1"/>
        <item x="2"/>
        <item t="default"/>
      </items>
    </pivotField>
    <pivotField showAll="0"/>
  </pivotFields>
  <rowFields count="1">
    <field x="0"/>
  </rowFields>
  <rowItems count="11">
    <i>
      <x v="104"/>
    </i>
    <i>
      <x v="125"/>
    </i>
    <i>
      <x v="178"/>
    </i>
    <i>
      <x v="216"/>
    </i>
    <i>
      <x v="239"/>
    </i>
    <i>
      <x v="242"/>
    </i>
    <i>
      <x v="244"/>
    </i>
    <i>
      <x v="309"/>
    </i>
    <i>
      <x v="321"/>
    </i>
    <i>
      <x v="327"/>
    </i>
    <i t="grand">
      <x/>
    </i>
  </rowItems>
  <colItems count="1">
    <i/>
  </colItems>
  <dataFields count="1">
    <dataField name="Sum of reviews" fld="3"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391E30B-FB80-4422-A144-6253132FBE88}" sourceName="year">
  <pivotTables>
    <pivotTable tabId="7" name="PivotTable5"/>
    <pivotTable tabId="5" name="PivotTable3"/>
    <pivotTable tabId="8" name="PivotTable6"/>
    <pivotTable tabId="4" name="PivotTable2"/>
    <pivotTable tabId="9" name="PivotTable7"/>
    <pivotTable tabId="6" name="PivotTable4"/>
  </pivotTables>
  <data>
    <tabular pivotCacheId="267195763">
      <items count="12">
        <i x="7" s="1"/>
        <i x="5" s="1"/>
        <i x="0" s="1"/>
        <i x="10" s="1"/>
        <i x="1" s="1"/>
        <i x="2" s="1"/>
        <i x="6" s="1"/>
        <i x="3" s="1"/>
        <i x="4" s="1"/>
        <i x="8" s="1"/>
        <i x="9" s="1"/>
        <i x="1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C2E4C6F1-B055-4A06-90D6-FE38C15AFE41}" sourceName="rating_category">
  <pivotTables>
    <pivotTable tabId="7" name="PivotTable5"/>
    <pivotTable tabId="5" name="PivotTable3"/>
    <pivotTable tabId="8" name="PivotTable6"/>
    <pivotTable tabId="4" name="PivotTable2"/>
    <pivotTable tabId="2" name="PivotTable1"/>
    <pivotTable tabId="9" name="PivotTable7"/>
    <pivotTable tabId="6" name="PivotTable4"/>
  </pivotTables>
  <data>
    <tabular pivotCacheId="267195763">
      <items count="3">
        <i x="1" s="1"/>
        <i x="0" s="1"/>
        <i x="2"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1B506CB2-7AD0-4913-ACBB-3D3A2AC4EA0F}" sourceName="price_category">
  <pivotTables>
    <pivotTable tabId="7" name="PivotTable5"/>
    <pivotTable tabId="5" name="PivotTable3"/>
    <pivotTable tabId="8" name="PivotTable6"/>
    <pivotTable tabId="4" name="PivotTable2"/>
    <pivotTable tabId="2" name="PivotTable1"/>
    <pivotTable tabId="9" name="PivotTable7"/>
    <pivotTable tabId="6" name="PivotTable4"/>
  </pivotTables>
  <data>
    <tabular pivotCacheId="267195763">
      <items count="3">
        <i x="0" s="1"/>
        <i x="1"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5E26F12-0FEE-43DB-84C0-DEF18B0371B7}" cache="Slicer_year" caption="Year" style="SlicerStyleDark1" rowHeight="247650"/>
  <slicer name="rating_category" xr10:uid="{550492D0-8645-4590-8D30-8C3FA6967BD1}" cache="Slicer_rating_category" caption="Rating" style="SlicerStyleDark1" rowHeight="247650"/>
  <slicer name="price_category" xr10:uid="{827ABF0C-2069-49BC-923A-7D3C78353624}" cache="Slicer_price_category" caption="Price"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A2CE7A-8BF8-4FE9-8B3D-B58AE72DA7D0}" name="Table1" displayName="Table1" ref="A1:K551" totalsRowShown="0">
  <autoFilter ref="A1:K551" xr:uid="{77A2CE7A-8BF8-4FE9-8B3D-B58AE72DA7D0}"/>
  <sortState xmlns:xlrd2="http://schemas.microsoft.com/office/spreadsheetml/2017/richdata2" ref="A2:H551">
    <sortCondition ref="E1:E551"/>
  </sortState>
  <tableColumns count="11">
    <tableColumn id="1" xr3:uid="{C068E143-4432-45CB-A274-97AD00F594A3}" name="name"/>
    <tableColumn id="2" xr3:uid="{55BD3B74-7718-4293-9E0D-A5DE4E886D8D}" name="author"/>
    <tableColumn id="3" xr3:uid="{31DAA9A6-6959-47F8-9890-2C5B98F40283}" name="user_rating" dataDxfId="7"/>
    <tableColumn id="4" xr3:uid="{554C55B7-9252-4302-9569-F6B7AFD75B76}" name="reviews" dataDxfId="6"/>
    <tableColumn id="5" xr3:uid="{39DB14CD-A8D7-45F5-B523-972A770C30D3}" name="price" dataDxfId="5"/>
    <tableColumn id="6" xr3:uid="{84BF0E5A-78FF-4579-93EF-7D569D0CC5F5}" name="year" dataDxfId="4"/>
    <tableColumn id="7" xr3:uid="{5B04B2FF-B008-4574-8B99-026F028BFA10}" name="genre"/>
    <tableColumn id="8" xr3:uid="{CDE4C03E-541A-4B51-9220-10CF98E96A90}" name="clean_author" dataDxfId="3">
      <calculatedColumnFormula>TRIM(B2)</calculatedColumnFormula>
    </tableColumn>
    <tableColumn id="9" xr3:uid="{BC783E70-FE5E-4BC2-B2F0-090FBAE9A72E}" name="rating_category" dataDxfId="2">
      <calculatedColumnFormula>IF(C2&gt;=4.5,"Excellent","Average")</calculatedColumnFormula>
    </tableColumn>
    <tableColumn id="10" xr3:uid="{19E08305-CF2D-4F58-A7BC-46702876CDF9}" name="price_category" dataDxfId="1">
      <calculatedColumnFormula>IF(E2&gt;=15,"Expensive","Affordable")</calculatedColumnFormula>
    </tableColumn>
    <tableColumn id="11" xr3:uid="{0FD2AEAE-B480-454B-B555-4A462203BA30}" name="review_level" dataDxfId="0">
      <calculatedColumnFormula>IF(D2&gt;=10000,"High","Low")</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Main Event">
  <a:themeElements>
    <a:clrScheme name="Main Event">
      <a:dk1>
        <a:sysClr val="windowText" lastClr="000000"/>
      </a:dk1>
      <a:lt1>
        <a:sysClr val="window" lastClr="FFFFFF"/>
      </a:lt1>
      <a:dk2>
        <a:srgbClr val="424242"/>
      </a:dk2>
      <a:lt2>
        <a:srgbClr val="C8C8C8"/>
      </a:lt2>
      <a:accent1>
        <a:srgbClr val="B80E0F"/>
      </a:accent1>
      <a:accent2>
        <a:srgbClr val="A6987D"/>
      </a:accent2>
      <a:accent3>
        <a:srgbClr val="7F9A71"/>
      </a:accent3>
      <a:accent4>
        <a:srgbClr val="64969F"/>
      </a:accent4>
      <a:accent5>
        <a:srgbClr val="9B75B2"/>
      </a:accent5>
      <a:accent6>
        <a:srgbClr val="80737A"/>
      </a:accent6>
      <a:hlink>
        <a:srgbClr val="F21213"/>
      </a:hlink>
      <a:folHlink>
        <a:srgbClr val="B6A394"/>
      </a:folHlink>
    </a:clrScheme>
    <a:fontScheme name="Main Event">
      <a:majorFont>
        <a:latin typeface="Impact" panose="020B080603090205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Impact" panose="020B080603090205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Main Event">
      <a:fillStyleLst>
        <a:solidFill>
          <a:schemeClr val="phClr"/>
        </a:solidFill>
        <a:solidFill>
          <a:schemeClr val="phClr">
            <a:tint val="69000"/>
            <a:satMod val="105000"/>
            <a:lumMod val="110000"/>
          </a:schemeClr>
        </a:solidFill>
        <a:blipFill>
          <a:blip xmlns:r="http://schemas.openxmlformats.org/officeDocument/2006/relationships" r:embed="rId1">
            <a:duotone>
              <a:schemeClr val="phClr">
                <a:shade val="88000"/>
                <a:lumMod val="88000"/>
              </a:schemeClr>
              <a:schemeClr val="phClr"/>
            </a:duotone>
          </a:blip>
          <a:tile tx="0" ty="0" sx="100000" sy="100000" flip="none" algn="tl"/>
        </a:blipFill>
      </a:fillStyleLst>
      <a:lnStyleLst>
        <a:ln w="9525" cap="flat" cmpd="sng" algn="ctr">
          <a:solidFill>
            <a:schemeClr val="phClr">
              <a:shade val="60000"/>
            </a:scheme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effectStyle>
        <a:effectStyle>
          <a:effectLst>
            <a:outerShdw blurRad="25400" dist="127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88000"/>
              </a:schemeClr>
            </a:gs>
          </a:gsLst>
          <a:lin ang="5400000" scaled="0"/>
        </a:gradFill>
        <a:blipFill>
          <a:blip xmlns:r="http://schemas.openxmlformats.org/officeDocument/2006/relationships" r:embed="rId2">
            <a:duotone>
              <a:schemeClr val="phClr">
                <a:shade val="48000"/>
                <a:satMod val="110000"/>
                <a:lumMod val="40000"/>
              </a:schemeClr>
              <a:schemeClr val="phClr">
                <a:tint val="90000"/>
                <a:lumMod val="106000"/>
              </a:schemeClr>
            </a:duotone>
          </a:blip>
          <a:stretch/>
        </a:blipFill>
      </a:bgFillStyleLst>
    </a:fmtScheme>
  </a:themeElements>
  <a:objectDefaults/>
  <a:extraClrSchemeLst/>
  <a:extLst>
    <a:ext uri="{05A4C25C-085E-4340-85A3-A5531E510DB2}">
      <thm15:themeFamily xmlns:thm15="http://schemas.microsoft.com/office/thememl/2012/main" name="Main Event" id="{AC372BB4-D83D-411E-B849-B641926BA760}" vid="{F1EFBDE3-1A95-4E3D-81AD-1F53D65BEA01}"/>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BF7E0-544C-48DE-8150-B8107B591F57}">
  <dimension ref="D2"/>
  <sheetViews>
    <sheetView showGridLines="0" tabSelected="1" workbookViewId="0">
      <selection activeCell="T2" sqref="T2"/>
    </sheetView>
  </sheetViews>
  <sheetFormatPr defaultRowHeight="13.8" x14ac:dyDescent="0.25"/>
  <sheetData>
    <row r="2" spans="4:4" ht="45" x14ac:dyDescent="0.75">
      <c r="D2" s="6" t="s">
        <v>620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8BC63-47AF-47F7-B73B-546542D50C70}">
  <dimension ref="A3:B6"/>
  <sheetViews>
    <sheetView workbookViewId="0">
      <selection activeCell="B5" sqref="B5"/>
    </sheetView>
  </sheetViews>
  <sheetFormatPr defaultRowHeight="13.8" x14ac:dyDescent="0.25"/>
  <cols>
    <col min="1" max="1" width="12.3984375" customWidth="1"/>
    <col min="2" max="2" width="12.69921875" customWidth="1"/>
  </cols>
  <sheetData>
    <row r="3" spans="1:2" x14ac:dyDescent="0.25">
      <c r="A3" s="4" t="s">
        <v>612</v>
      </c>
      <c r="B3" t="s">
        <v>615</v>
      </c>
    </row>
    <row r="4" spans="1:2" x14ac:dyDescent="0.25">
      <c r="A4" s="5" t="s">
        <v>5</v>
      </c>
      <c r="B4" s="1">
        <v>240</v>
      </c>
    </row>
    <row r="5" spans="1:2" x14ac:dyDescent="0.25">
      <c r="A5" s="5" t="s">
        <v>2</v>
      </c>
      <c r="B5" s="1">
        <v>310</v>
      </c>
    </row>
    <row r="6" spans="1:2" x14ac:dyDescent="0.25">
      <c r="A6" s="5" t="s">
        <v>614</v>
      </c>
      <c r="B6" s="1">
        <v>550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79BC4-D16B-4DD6-8C00-37C7003F1BB6}">
  <dimension ref="A3:B6"/>
  <sheetViews>
    <sheetView workbookViewId="0">
      <selection activeCell="B5" sqref="B5"/>
    </sheetView>
  </sheetViews>
  <sheetFormatPr defaultRowHeight="13.8" x14ac:dyDescent="0.25"/>
  <cols>
    <col min="1" max="1" width="12.3984375" customWidth="1"/>
    <col min="2" max="2" width="19" customWidth="1"/>
  </cols>
  <sheetData>
    <row r="3" spans="1:2" x14ac:dyDescent="0.25">
      <c r="A3" s="4" t="s">
        <v>612</v>
      </c>
      <c r="B3" t="s">
        <v>616</v>
      </c>
    </row>
    <row r="4" spans="1:2" x14ac:dyDescent="0.25">
      <c r="A4" s="5" t="s">
        <v>5</v>
      </c>
      <c r="B4" s="1">
        <v>4.6483333333333308</v>
      </c>
    </row>
    <row r="5" spans="1:2" x14ac:dyDescent="0.25">
      <c r="A5" s="5" t="s">
        <v>2</v>
      </c>
      <c r="B5" s="1">
        <v>4.5951612903225776</v>
      </c>
    </row>
    <row r="6" spans="1:2" x14ac:dyDescent="0.25">
      <c r="A6" s="5" t="s">
        <v>614</v>
      </c>
      <c r="B6" s="1">
        <v>4.6183636363636316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33672-F142-4517-93C3-EC7F2CF52335}">
  <dimension ref="A3:B6"/>
  <sheetViews>
    <sheetView workbookViewId="0">
      <selection activeCell="B5" sqref="B5"/>
    </sheetView>
  </sheetViews>
  <sheetFormatPr defaultRowHeight="13.8" x14ac:dyDescent="0.25"/>
  <cols>
    <col min="1" max="1" width="12.3984375" customWidth="1"/>
    <col min="2" max="2" width="14.09765625" customWidth="1"/>
  </cols>
  <sheetData>
    <row r="3" spans="1:2" x14ac:dyDescent="0.25">
      <c r="A3" s="4" t="s">
        <v>612</v>
      </c>
      <c r="B3" t="s">
        <v>617</v>
      </c>
    </row>
    <row r="4" spans="1:2" x14ac:dyDescent="0.25">
      <c r="A4" s="5" t="s">
        <v>5</v>
      </c>
      <c r="B4" s="1">
        <v>10.85</v>
      </c>
    </row>
    <row r="5" spans="1:2" x14ac:dyDescent="0.25">
      <c r="A5" s="5" t="s">
        <v>2</v>
      </c>
      <c r="B5" s="1">
        <v>14.841935483870968</v>
      </c>
    </row>
    <row r="6" spans="1:2" x14ac:dyDescent="0.25">
      <c r="A6" s="5" t="s">
        <v>614</v>
      </c>
      <c r="B6" s="1">
        <v>13.1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8E5FC-CBD4-46E8-87E8-8662AE81EE42}">
  <dimension ref="A3:B17"/>
  <sheetViews>
    <sheetView workbookViewId="0">
      <selection activeCell="B5" sqref="B5"/>
    </sheetView>
  </sheetViews>
  <sheetFormatPr defaultRowHeight="13.8" x14ac:dyDescent="0.25"/>
  <cols>
    <col min="1" max="1" width="30.296875" customWidth="1"/>
    <col min="2" max="2" width="12.69921875" customWidth="1"/>
  </cols>
  <sheetData>
    <row r="3" spans="1:2" x14ac:dyDescent="0.25">
      <c r="A3" s="4" t="s">
        <v>612</v>
      </c>
      <c r="B3" t="s">
        <v>615</v>
      </c>
    </row>
    <row r="4" spans="1:2" x14ac:dyDescent="0.25">
      <c r="A4" s="5" t="s">
        <v>73</v>
      </c>
      <c r="B4" s="1">
        <v>12</v>
      </c>
    </row>
    <row r="5" spans="1:2" x14ac:dyDescent="0.25">
      <c r="A5" s="5" t="s">
        <v>326</v>
      </c>
      <c r="B5" s="1">
        <v>11</v>
      </c>
    </row>
    <row r="6" spans="1:2" x14ac:dyDescent="0.25">
      <c r="A6" s="5" t="s">
        <v>81</v>
      </c>
      <c r="B6" s="1">
        <v>11</v>
      </c>
    </row>
    <row r="7" spans="1:2" x14ac:dyDescent="0.25">
      <c r="A7" s="5" t="s">
        <v>378</v>
      </c>
      <c r="B7" s="1">
        <v>11</v>
      </c>
    </row>
    <row r="8" spans="1:2" x14ac:dyDescent="0.25">
      <c r="A8" s="5" t="s">
        <v>333</v>
      </c>
      <c r="B8" s="1">
        <v>10</v>
      </c>
    </row>
    <row r="9" spans="1:2" x14ac:dyDescent="0.25">
      <c r="A9" s="5" t="s">
        <v>364</v>
      </c>
      <c r="B9" s="1">
        <v>9</v>
      </c>
    </row>
    <row r="10" spans="1:2" x14ac:dyDescent="0.25">
      <c r="A10" s="5" t="s">
        <v>312</v>
      </c>
      <c r="B10" s="1">
        <v>9</v>
      </c>
    </row>
    <row r="11" spans="1:2" x14ac:dyDescent="0.25">
      <c r="A11" s="5" t="s">
        <v>261</v>
      </c>
      <c r="B11" s="1">
        <v>8</v>
      </c>
    </row>
    <row r="12" spans="1:2" x14ac:dyDescent="0.25">
      <c r="A12" s="5" t="s">
        <v>383</v>
      </c>
      <c r="B12" s="1">
        <v>7</v>
      </c>
    </row>
    <row r="13" spans="1:2" x14ac:dyDescent="0.25">
      <c r="A13" s="5" t="s">
        <v>68</v>
      </c>
      <c r="B13" s="1">
        <v>7</v>
      </c>
    </row>
    <row r="14" spans="1:2" x14ac:dyDescent="0.25">
      <c r="A14" s="5" t="s">
        <v>529</v>
      </c>
      <c r="B14" s="1">
        <v>7</v>
      </c>
    </row>
    <row r="15" spans="1:2" x14ac:dyDescent="0.25">
      <c r="A15" s="5" t="s">
        <v>252</v>
      </c>
      <c r="B15" s="1">
        <v>7</v>
      </c>
    </row>
    <row r="16" spans="1:2" x14ac:dyDescent="0.25">
      <c r="A16" s="5" t="s">
        <v>121</v>
      </c>
      <c r="B16" s="1">
        <v>7</v>
      </c>
    </row>
    <row r="17" spans="1:2" x14ac:dyDescent="0.25">
      <c r="A17" s="5" t="s">
        <v>614</v>
      </c>
      <c r="B17" s="1">
        <v>116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F4046-061D-4899-AA7D-AF2644D0F624}">
  <dimension ref="A3:B16"/>
  <sheetViews>
    <sheetView workbookViewId="0">
      <selection activeCell="B5" sqref="B5"/>
    </sheetView>
  </sheetViews>
  <sheetFormatPr defaultRowHeight="13.8" x14ac:dyDescent="0.25"/>
  <cols>
    <col min="1" max="1" width="12.3984375" customWidth="1"/>
    <col min="2" max="2" width="16.09765625" customWidth="1"/>
  </cols>
  <sheetData>
    <row r="3" spans="1:2" x14ac:dyDescent="0.25">
      <c r="A3" s="4" t="s">
        <v>612</v>
      </c>
      <c r="B3" t="s">
        <v>619</v>
      </c>
    </row>
    <row r="4" spans="1:2" x14ac:dyDescent="0.25">
      <c r="A4" s="5">
        <v>2009</v>
      </c>
      <c r="B4" s="1">
        <v>4710.12</v>
      </c>
    </row>
    <row r="5" spans="1:2" x14ac:dyDescent="0.25">
      <c r="A5" s="5">
        <v>2010</v>
      </c>
      <c r="B5" s="1">
        <v>5479.62</v>
      </c>
    </row>
    <row r="6" spans="1:2" x14ac:dyDescent="0.25">
      <c r="A6" s="5">
        <v>2011</v>
      </c>
      <c r="B6" s="1">
        <v>8100.82</v>
      </c>
    </row>
    <row r="7" spans="1:2" x14ac:dyDescent="0.25">
      <c r="A7" s="5">
        <v>2012</v>
      </c>
      <c r="B7" s="1">
        <v>13090.92</v>
      </c>
    </row>
    <row r="8" spans="1:2" x14ac:dyDescent="0.25">
      <c r="A8" s="5">
        <v>2013</v>
      </c>
      <c r="B8" s="1">
        <v>13098.14</v>
      </c>
    </row>
    <row r="9" spans="1:2" x14ac:dyDescent="0.25">
      <c r="A9" s="5">
        <v>2014</v>
      </c>
      <c r="B9" s="1">
        <v>15859.94</v>
      </c>
    </row>
    <row r="10" spans="1:2" x14ac:dyDescent="0.25">
      <c r="A10" s="5">
        <v>2015</v>
      </c>
      <c r="B10" s="1">
        <v>14233.38</v>
      </c>
    </row>
    <row r="11" spans="1:2" x14ac:dyDescent="0.25">
      <c r="A11" s="5">
        <v>2016</v>
      </c>
      <c r="B11" s="1">
        <v>14196</v>
      </c>
    </row>
    <row r="12" spans="1:2" x14ac:dyDescent="0.25">
      <c r="A12" s="5">
        <v>2017</v>
      </c>
      <c r="B12" s="1">
        <v>12888.4</v>
      </c>
    </row>
    <row r="13" spans="1:2" x14ac:dyDescent="0.25">
      <c r="A13" s="5">
        <v>2018</v>
      </c>
      <c r="B13" s="1">
        <v>13930.42</v>
      </c>
    </row>
    <row r="14" spans="1:2" x14ac:dyDescent="0.25">
      <c r="A14" s="5">
        <v>2019</v>
      </c>
      <c r="B14" s="1">
        <v>15898.34</v>
      </c>
    </row>
    <row r="15" spans="1:2" x14ac:dyDescent="0.25">
      <c r="A15" s="5" t="s">
        <v>613</v>
      </c>
      <c r="B15" s="1"/>
    </row>
    <row r="16" spans="1:2" x14ac:dyDescent="0.25">
      <c r="A16" s="5" t="s">
        <v>614</v>
      </c>
      <c r="B16" s="1">
        <v>11953.281818181818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9BFE5-2806-4AB7-9BF6-EE31904EB12E}">
  <dimension ref="A3:B16"/>
  <sheetViews>
    <sheetView workbookViewId="0">
      <selection activeCell="B5" sqref="B5"/>
    </sheetView>
  </sheetViews>
  <sheetFormatPr defaultRowHeight="13.8" x14ac:dyDescent="0.25"/>
  <cols>
    <col min="1" max="1" width="12.3984375" customWidth="1"/>
    <col min="2" max="2" width="14.09765625" customWidth="1"/>
  </cols>
  <sheetData>
    <row r="3" spans="1:2" x14ac:dyDescent="0.25">
      <c r="A3" s="4" t="s">
        <v>612</v>
      </c>
      <c r="B3" t="s">
        <v>617</v>
      </c>
    </row>
    <row r="4" spans="1:2" x14ac:dyDescent="0.25">
      <c r="A4" s="5">
        <v>2009</v>
      </c>
      <c r="B4" s="1">
        <v>15.4</v>
      </c>
    </row>
    <row r="5" spans="1:2" x14ac:dyDescent="0.25">
      <c r="A5" s="5">
        <v>2010</v>
      </c>
      <c r="B5" s="1">
        <v>13.48</v>
      </c>
    </row>
    <row r="6" spans="1:2" x14ac:dyDescent="0.25">
      <c r="A6" s="5">
        <v>2011</v>
      </c>
      <c r="B6" s="1">
        <v>15.1</v>
      </c>
    </row>
    <row r="7" spans="1:2" x14ac:dyDescent="0.25">
      <c r="A7" s="5">
        <v>2012</v>
      </c>
      <c r="B7" s="1">
        <v>15.3</v>
      </c>
    </row>
    <row r="8" spans="1:2" x14ac:dyDescent="0.25">
      <c r="A8" s="5">
        <v>2013</v>
      </c>
      <c r="B8" s="1">
        <v>14.6</v>
      </c>
    </row>
    <row r="9" spans="1:2" x14ac:dyDescent="0.25">
      <c r="A9" s="5">
        <v>2014</v>
      </c>
      <c r="B9" s="1">
        <v>14.64</v>
      </c>
    </row>
    <row r="10" spans="1:2" x14ac:dyDescent="0.25">
      <c r="A10" s="5">
        <v>2015</v>
      </c>
      <c r="B10" s="1">
        <v>10.42</v>
      </c>
    </row>
    <row r="11" spans="1:2" x14ac:dyDescent="0.25">
      <c r="A11" s="5">
        <v>2016</v>
      </c>
      <c r="B11" s="1">
        <v>13.18</v>
      </c>
    </row>
    <row r="12" spans="1:2" x14ac:dyDescent="0.25">
      <c r="A12" s="5">
        <v>2017</v>
      </c>
      <c r="B12" s="1">
        <v>11.38</v>
      </c>
    </row>
    <row r="13" spans="1:2" x14ac:dyDescent="0.25">
      <c r="A13" s="5">
        <v>2018</v>
      </c>
      <c r="B13" s="1">
        <v>10.52</v>
      </c>
    </row>
    <row r="14" spans="1:2" x14ac:dyDescent="0.25">
      <c r="A14" s="5">
        <v>2019</v>
      </c>
      <c r="B14" s="1">
        <v>10.08</v>
      </c>
    </row>
    <row r="15" spans="1:2" x14ac:dyDescent="0.25">
      <c r="A15" s="5" t="s">
        <v>613</v>
      </c>
      <c r="B15" s="1"/>
    </row>
    <row r="16" spans="1:2" x14ac:dyDescent="0.25">
      <c r="A16" s="5" t="s">
        <v>614</v>
      </c>
      <c r="B16" s="1">
        <v>13.1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5B52F-B486-4C9D-A9AB-4904EB86103C}">
  <dimension ref="A3:B14"/>
  <sheetViews>
    <sheetView workbookViewId="0">
      <selection activeCell="B5" sqref="B5"/>
    </sheetView>
  </sheetViews>
  <sheetFormatPr defaultRowHeight="13.8" x14ac:dyDescent="0.25"/>
  <cols>
    <col min="1" max="1" width="69.8984375" customWidth="1"/>
    <col min="2" max="2" width="13.3984375" customWidth="1"/>
  </cols>
  <sheetData>
    <row r="3" spans="1:2" x14ac:dyDescent="0.25">
      <c r="A3" s="4" t="s">
        <v>612</v>
      </c>
      <c r="B3" t="s">
        <v>618</v>
      </c>
    </row>
    <row r="4" spans="1:2" x14ac:dyDescent="0.25">
      <c r="A4" s="5" t="s">
        <v>182</v>
      </c>
      <c r="B4" s="1">
        <v>171813</v>
      </c>
    </row>
    <row r="5" spans="1:2" x14ac:dyDescent="0.25">
      <c r="A5" s="5" t="s">
        <v>218</v>
      </c>
      <c r="B5" s="1">
        <v>125005</v>
      </c>
    </row>
    <row r="6" spans="1:2" x14ac:dyDescent="0.25">
      <c r="A6" s="5" t="s">
        <v>311</v>
      </c>
      <c r="B6" s="1">
        <v>174672</v>
      </c>
    </row>
    <row r="7" spans="1:2" x14ac:dyDescent="0.25">
      <c r="A7" s="5" t="s">
        <v>379</v>
      </c>
      <c r="B7" s="1">
        <v>145155</v>
      </c>
    </row>
    <row r="8" spans="1:2" x14ac:dyDescent="0.25">
      <c r="A8" s="5" t="s">
        <v>421</v>
      </c>
      <c r="B8" s="1">
        <v>201928</v>
      </c>
    </row>
    <row r="9" spans="1:2" x14ac:dyDescent="0.25">
      <c r="A9" s="5" t="s">
        <v>425</v>
      </c>
      <c r="B9" s="1">
        <v>139848</v>
      </c>
    </row>
    <row r="10" spans="1:2" x14ac:dyDescent="0.25">
      <c r="A10" s="5" t="s">
        <v>428</v>
      </c>
      <c r="B10" s="1">
        <v>158892</v>
      </c>
    </row>
    <row r="11" spans="1:2" x14ac:dyDescent="0.25">
      <c r="A11" s="5" t="s">
        <v>528</v>
      </c>
      <c r="B11" s="1">
        <v>136822</v>
      </c>
    </row>
    <row r="12" spans="1:2" x14ac:dyDescent="0.25">
      <c r="A12" s="5" t="s">
        <v>552</v>
      </c>
      <c r="B12" s="1">
        <v>131170</v>
      </c>
    </row>
    <row r="13" spans="1:2" x14ac:dyDescent="0.25">
      <c r="A13" s="5" t="s">
        <v>560</v>
      </c>
      <c r="B13" s="1">
        <v>148365</v>
      </c>
    </row>
    <row r="14" spans="1:2" x14ac:dyDescent="0.25">
      <c r="A14" s="5" t="s">
        <v>614</v>
      </c>
      <c r="B14" s="1">
        <v>1533670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A22DE-E114-490C-A73E-1A48AF9AC956}">
  <dimension ref="A1:K551"/>
  <sheetViews>
    <sheetView topLeftCell="A88" workbookViewId="0">
      <selection activeCell="B5" sqref="B5"/>
    </sheetView>
  </sheetViews>
  <sheetFormatPr defaultColWidth="28.8984375" defaultRowHeight="14.4" x14ac:dyDescent="0.25"/>
  <cols>
    <col min="3" max="3" width="28.8984375" style="2"/>
    <col min="4" max="5" width="28.8984375" style="3"/>
    <col min="6" max="6" width="28.8984375" style="1"/>
  </cols>
  <sheetData>
    <row r="1" spans="1:11" ht="13.8" x14ac:dyDescent="0.25">
      <c r="A1" t="s">
        <v>605</v>
      </c>
      <c r="B1" t="s">
        <v>606</v>
      </c>
      <c r="C1" s="2" t="s">
        <v>607</v>
      </c>
      <c r="D1" s="3" t="s">
        <v>608</v>
      </c>
      <c r="E1" s="3" t="s">
        <v>609</v>
      </c>
      <c r="F1" s="1" t="s">
        <v>610</v>
      </c>
      <c r="G1" t="s">
        <v>611</v>
      </c>
      <c r="H1" t="s">
        <v>601</v>
      </c>
      <c r="I1" t="s">
        <v>602</v>
      </c>
      <c r="J1" t="s">
        <v>603</v>
      </c>
      <c r="K1" t="s">
        <v>604</v>
      </c>
    </row>
    <row r="2" spans="1:11" ht="13.8" x14ac:dyDescent="0.25">
      <c r="A2" t="s">
        <v>72</v>
      </c>
      <c r="B2" t="s">
        <v>73</v>
      </c>
      <c r="C2" s="2">
        <v>4.8</v>
      </c>
      <c r="D2" s="3">
        <v>4505</v>
      </c>
      <c r="E2" s="3">
        <v>0</v>
      </c>
      <c r="F2" s="1">
        <v>2011</v>
      </c>
      <c r="G2" t="s">
        <v>5</v>
      </c>
      <c r="H2" t="str">
        <f>TRIM(B2)</f>
        <v>Jeff Kinney</v>
      </c>
      <c r="I2" t="str">
        <f t="shared" ref="I2:I65" si="0">IF(C2&gt;=4.5,"Excellent","Average")</f>
        <v>Excellent</v>
      </c>
      <c r="J2" s="1" t="str">
        <f t="shared" ref="J2:J65" si="1">IF(E2&gt;=15,"Expensive","Affordable")</f>
        <v>Affordable</v>
      </c>
      <c r="K2" s="1" t="str">
        <f t="shared" ref="K2:K65" si="2">IF(D2&gt;=10000,"High","Low")</f>
        <v>Low</v>
      </c>
    </row>
    <row r="3" spans="1:11" ht="13.8" x14ac:dyDescent="0.25">
      <c r="A3" t="s">
        <v>109</v>
      </c>
      <c r="B3" t="s">
        <v>73</v>
      </c>
      <c r="C3" s="2">
        <v>4.8</v>
      </c>
      <c r="D3" s="3">
        <v>6812</v>
      </c>
      <c r="E3" s="3">
        <v>0</v>
      </c>
      <c r="F3" s="1">
        <v>2013</v>
      </c>
      <c r="G3" t="s">
        <v>5</v>
      </c>
      <c r="H3" t="str">
        <f>TRIM(B3)</f>
        <v>Jeff Kinney</v>
      </c>
      <c r="I3" t="str">
        <f t="shared" si="0"/>
        <v>Excellent</v>
      </c>
      <c r="J3" s="1" t="str">
        <f t="shared" si="1"/>
        <v>Affordable</v>
      </c>
      <c r="K3" s="1" t="str">
        <f t="shared" si="2"/>
        <v>Low</v>
      </c>
    </row>
    <row r="4" spans="1:11" ht="13.8" x14ac:dyDescent="0.25">
      <c r="A4" t="s">
        <v>160</v>
      </c>
      <c r="B4" t="s">
        <v>161</v>
      </c>
      <c r="C4" s="2">
        <v>4.7</v>
      </c>
      <c r="D4" s="3">
        <v>3642</v>
      </c>
      <c r="E4" s="3">
        <v>0</v>
      </c>
      <c r="F4" s="1">
        <v>2014</v>
      </c>
      <c r="G4" t="s">
        <v>5</v>
      </c>
      <c r="H4" t="str">
        <f>TRIM(B4)</f>
        <v>RH Disney</v>
      </c>
      <c r="I4" t="str">
        <f t="shared" si="0"/>
        <v>Excellent</v>
      </c>
      <c r="J4" s="1" t="str">
        <f t="shared" si="1"/>
        <v>Affordable</v>
      </c>
      <c r="K4" s="1" t="str">
        <f t="shared" si="2"/>
        <v>Low</v>
      </c>
    </row>
    <row r="5" spans="1:11" ht="13.8" x14ac:dyDescent="0.25">
      <c r="A5" t="s">
        <v>247</v>
      </c>
      <c r="B5" t="s">
        <v>161</v>
      </c>
      <c r="C5" s="2">
        <v>4.5999999999999996</v>
      </c>
      <c r="D5" s="3">
        <v>978</v>
      </c>
      <c r="E5" s="3">
        <v>0</v>
      </c>
      <c r="F5" s="1">
        <v>2014</v>
      </c>
      <c r="G5" t="s">
        <v>5</v>
      </c>
      <c r="H5" t="str">
        <f>TRIM(B5)</f>
        <v>RH Disney</v>
      </c>
      <c r="I5" t="str">
        <f t="shared" si="0"/>
        <v>Excellent</v>
      </c>
      <c r="J5" s="1" t="str">
        <f t="shared" si="1"/>
        <v>Affordable</v>
      </c>
      <c r="K5" s="1" t="str">
        <f t="shared" si="2"/>
        <v>Low</v>
      </c>
    </row>
    <row r="6" spans="1:11" ht="13.8" x14ac:dyDescent="0.25">
      <c r="A6" t="s">
        <v>277</v>
      </c>
      <c r="B6" t="s">
        <v>278</v>
      </c>
      <c r="C6" s="2">
        <v>4.9000000000000004</v>
      </c>
      <c r="D6" s="3">
        <v>1884</v>
      </c>
      <c r="E6" s="3">
        <v>0</v>
      </c>
      <c r="F6" s="1">
        <v>2014</v>
      </c>
      <c r="G6" t="s">
        <v>5</v>
      </c>
      <c r="H6" t="str">
        <f>TRIM(B6)</f>
        <v>Alice Schertle</v>
      </c>
      <c r="I6" t="str">
        <f t="shared" si="0"/>
        <v>Excellent</v>
      </c>
      <c r="J6" s="1" t="str">
        <f t="shared" si="1"/>
        <v>Affordable</v>
      </c>
      <c r="K6" s="1" t="str">
        <f t="shared" si="2"/>
        <v>Low</v>
      </c>
    </row>
    <row r="7" spans="1:11" ht="13.8" x14ac:dyDescent="0.25">
      <c r="A7" t="s">
        <v>411</v>
      </c>
      <c r="B7" t="s">
        <v>412</v>
      </c>
      <c r="C7" s="2">
        <v>4.8</v>
      </c>
      <c r="D7" s="3">
        <v>2774</v>
      </c>
      <c r="E7" s="3">
        <v>0</v>
      </c>
      <c r="F7" s="1">
        <v>2016</v>
      </c>
      <c r="G7" t="s">
        <v>2</v>
      </c>
      <c r="H7" t="str">
        <f>TRIM(B7)</f>
        <v>Delegates of the ConstitutionalÂ…</v>
      </c>
      <c r="I7" t="str">
        <f t="shared" si="0"/>
        <v>Excellent</v>
      </c>
      <c r="J7" s="1" t="str">
        <f t="shared" si="1"/>
        <v>Affordable</v>
      </c>
      <c r="K7" s="1" t="str">
        <f t="shared" si="2"/>
        <v>Low</v>
      </c>
    </row>
    <row r="8" spans="1:11" ht="13.8" x14ac:dyDescent="0.25">
      <c r="A8" t="s">
        <v>427</v>
      </c>
      <c r="B8" t="s">
        <v>73</v>
      </c>
      <c r="C8" s="2">
        <v>4.8</v>
      </c>
      <c r="D8" s="3">
        <v>5836</v>
      </c>
      <c r="E8" s="3">
        <v>0</v>
      </c>
      <c r="F8" s="1">
        <v>2017</v>
      </c>
      <c r="G8" t="s">
        <v>5</v>
      </c>
      <c r="H8" t="str">
        <f>TRIM(B8)</f>
        <v>Jeff Kinney</v>
      </c>
      <c r="I8" t="str">
        <f t="shared" si="0"/>
        <v>Excellent</v>
      </c>
      <c r="J8" s="1" t="str">
        <f t="shared" si="1"/>
        <v>Affordable</v>
      </c>
      <c r="K8" s="1" t="str">
        <f t="shared" si="2"/>
        <v>Low</v>
      </c>
    </row>
    <row r="9" spans="1:11" ht="13.8" x14ac:dyDescent="0.25">
      <c r="A9" t="s">
        <v>510</v>
      </c>
      <c r="B9" t="s">
        <v>68</v>
      </c>
      <c r="C9" s="2">
        <v>4.5999999999999996</v>
      </c>
      <c r="D9" s="3">
        <v>2122</v>
      </c>
      <c r="E9" s="3">
        <v>0</v>
      </c>
      <c r="F9" s="1">
        <v>2010</v>
      </c>
      <c r="G9" t="s">
        <v>5</v>
      </c>
      <c r="H9" t="str">
        <f>TRIM(B9)</f>
        <v>Stephenie Meyer</v>
      </c>
      <c r="I9" t="str">
        <f t="shared" si="0"/>
        <v>Excellent</v>
      </c>
      <c r="J9" s="1" t="str">
        <f t="shared" si="1"/>
        <v>Affordable</v>
      </c>
      <c r="K9" s="1" t="str">
        <f t="shared" si="2"/>
        <v>Low</v>
      </c>
    </row>
    <row r="10" spans="1:11" ht="13.8" x14ac:dyDescent="0.25">
      <c r="A10" t="s">
        <v>552</v>
      </c>
      <c r="B10" t="s">
        <v>177</v>
      </c>
      <c r="C10" s="2">
        <v>4.8</v>
      </c>
      <c r="D10" s="3">
        <v>26234</v>
      </c>
      <c r="E10" s="3">
        <v>0</v>
      </c>
      <c r="F10" s="1">
        <v>2013</v>
      </c>
      <c r="G10" t="s">
        <v>5</v>
      </c>
      <c r="H10" t="str">
        <f>TRIM(B10)</f>
        <v>Harper Lee</v>
      </c>
      <c r="I10" t="str">
        <f t="shared" si="0"/>
        <v>Excellent</v>
      </c>
      <c r="J10" s="1" t="str">
        <f t="shared" si="1"/>
        <v>Affordable</v>
      </c>
      <c r="K10" s="1" t="str">
        <f t="shared" si="2"/>
        <v>High</v>
      </c>
    </row>
    <row r="11" spans="1:11" ht="13.8" x14ac:dyDescent="0.25">
      <c r="A11" t="s">
        <v>552</v>
      </c>
      <c r="B11" t="s">
        <v>177</v>
      </c>
      <c r="C11" s="2">
        <v>4.8</v>
      </c>
      <c r="D11" s="3">
        <v>26234</v>
      </c>
      <c r="E11" s="3">
        <v>0</v>
      </c>
      <c r="F11" s="1">
        <v>2014</v>
      </c>
      <c r="G11" t="s">
        <v>5</v>
      </c>
      <c r="H11" t="str">
        <f>TRIM(B11)</f>
        <v>Harper Lee</v>
      </c>
      <c r="I11" t="str">
        <f t="shared" si="0"/>
        <v>Excellent</v>
      </c>
      <c r="J11" s="1" t="str">
        <f t="shared" si="1"/>
        <v>Affordable</v>
      </c>
      <c r="K11" s="1" t="str">
        <f t="shared" si="2"/>
        <v>High</v>
      </c>
    </row>
    <row r="12" spans="1:11" ht="13.8" x14ac:dyDescent="0.25">
      <c r="A12" t="s">
        <v>552</v>
      </c>
      <c r="B12" t="s">
        <v>177</v>
      </c>
      <c r="C12" s="2">
        <v>4.8</v>
      </c>
      <c r="D12" s="3">
        <v>26234</v>
      </c>
      <c r="E12" s="3">
        <v>0</v>
      </c>
      <c r="F12" s="1">
        <v>2015</v>
      </c>
      <c r="G12" t="s">
        <v>5</v>
      </c>
      <c r="H12" t="str">
        <f>TRIM(B12)</f>
        <v>Harper Lee</v>
      </c>
      <c r="I12" t="str">
        <f t="shared" si="0"/>
        <v>Excellent</v>
      </c>
      <c r="J12" s="1" t="str">
        <f t="shared" si="1"/>
        <v>Affordable</v>
      </c>
      <c r="K12" s="1" t="str">
        <f t="shared" si="2"/>
        <v>High</v>
      </c>
    </row>
    <row r="13" spans="1:11" ht="13.8" x14ac:dyDescent="0.25">
      <c r="A13" t="s">
        <v>552</v>
      </c>
      <c r="B13" t="s">
        <v>177</v>
      </c>
      <c r="C13" s="2">
        <v>4.8</v>
      </c>
      <c r="D13" s="3">
        <v>26234</v>
      </c>
      <c r="E13" s="3">
        <v>0</v>
      </c>
      <c r="F13" s="1">
        <v>2016</v>
      </c>
      <c r="G13" t="s">
        <v>5</v>
      </c>
      <c r="H13" t="str">
        <f>TRIM(B13)</f>
        <v>Harper Lee</v>
      </c>
      <c r="I13" t="str">
        <f t="shared" si="0"/>
        <v>Excellent</v>
      </c>
      <c r="J13" s="1" t="str">
        <f t="shared" si="1"/>
        <v>Affordable</v>
      </c>
      <c r="K13" s="1" t="str">
        <f t="shared" si="2"/>
        <v>High</v>
      </c>
    </row>
    <row r="14" spans="1:11" ht="13.8" x14ac:dyDescent="0.25">
      <c r="A14" t="s">
        <v>132</v>
      </c>
      <c r="B14" t="s">
        <v>133</v>
      </c>
      <c r="C14" s="2">
        <v>4.5</v>
      </c>
      <c r="D14" s="3">
        <v>720</v>
      </c>
      <c r="E14" s="3">
        <v>1</v>
      </c>
      <c r="F14" s="1">
        <v>2009</v>
      </c>
      <c r="G14" t="s">
        <v>2</v>
      </c>
      <c r="H14" t="str">
        <f>TRIM(B14)</f>
        <v>David Zinczenko</v>
      </c>
      <c r="I14" t="str">
        <f t="shared" si="0"/>
        <v>Excellent</v>
      </c>
      <c r="J14" s="1" t="str">
        <f t="shared" si="1"/>
        <v>Affordable</v>
      </c>
      <c r="K14" s="1" t="str">
        <f t="shared" si="2"/>
        <v>Low</v>
      </c>
    </row>
    <row r="15" spans="1:11" ht="13.8" x14ac:dyDescent="0.25">
      <c r="A15" t="s">
        <v>21</v>
      </c>
      <c r="B15" t="s">
        <v>22</v>
      </c>
      <c r="C15" s="2">
        <v>4.5999999999999996</v>
      </c>
      <c r="D15" s="3">
        <v>460</v>
      </c>
      <c r="E15" s="3">
        <v>2</v>
      </c>
      <c r="F15" s="1">
        <v>2010</v>
      </c>
      <c r="G15" t="s">
        <v>2</v>
      </c>
      <c r="H15" t="str">
        <f>TRIM(B15)</f>
        <v>Larry Schweikart</v>
      </c>
      <c r="I15" t="str">
        <f t="shared" si="0"/>
        <v>Excellent</v>
      </c>
      <c r="J15" s="1" t="str">
        <f t="shared" si="1"/>
        <v>Affordable</v>
      </c>
      <c r="K15" s="1" t="str">
        <f t="shared" si="2"/>
        <v>Low</v>
      </c>
    </row>
    <row r="16" spans="1:11" ht="13.8" x14ac:dyDescent="0.25">
      <c r="A16" t="s">
        <v>147</v>
      </c>
      <c r="B16" t="s">
        <v>148</v>
      </c>
      <c r="C16" s="2">
        <v>4.4000000000000004</v>
      </c>
      <c r="D16" s="3">
        <v>6042</v>
      </c>
      <c r="E16" s="3">
        <v>2</v>
      </c>
      <c r="F16" s="1">
        <v>2018</v>
      </c>
      <c r="G16" t="s">
        <v>2</v>
      </c>
      <c r="H16" t="str">
        <f>TRIM(B16)</f>
        <v>Bob Woodward</v>
      </c>
      <c r="I16" t="str">
        <f t="shared" si="0"/>
        <v>Average</v>
      </c>
      <c r="J16" s="1" t="str">
        <f t="shared" si="1"/>
        <v>Affordable</v>
      </c>
      <c r="K16" s="1" t="str">
        <f t="shared" si="2"/>
        <v>Low</v>
      </c>
    </row>
    <row r="17" spans="1:11" ht="13.8" x14ac:dyDescent="0.25">
      <c r="A17" t="s">
        <v>325</v>
      </c>
      <c r="B17" t="s">
        <v>326</v>
      </c>
      <c r="C17" s="2">
        <v>4.8</v>
      </c>
      <c r="D17" s="3">
        <v>548</v>
      </c>
      <c r="E17" s="3">
        <v>2</v>
      </c>
      <c r="F17" s="1">
        <v>2010</v>
      </c>
      <c r="G17" t="s">
        <v>5</v>
      </c>
      <c r="H17" t="str">
        <f>TRIM(B17)</f>
        <v>Rick Riordan</v>
      </c>
      <c r="I17" t="str">
        <f t="shared" si="0"/>
        <v>Excellent</v>
      </c>
      <c r="J17" s="1" t="str">
        <f t="shared" si="1"/>
        <v>Affordable</v>
      </c>
      <c r="K17" s="1" t="str">
        <f t="shared" si="2"/>
        <v>Low</v>
      </c>
    </row>
    <row r="18" spans="1:11" ht="13.8" x14ac:dyDescent="0.25">
      <c r="A18" t="s">
        <v>434</v>
      </c>
      <c r="B18" t="s">
        <v>431</v>
      </c>
      <c r="C18" s="2">
        <v>4.4000000000000004</v>
      </c>
      <c r="D18" s="3">
        <v>10559</v>
      </c>
      <c r="E18" s="3">
        <v>2</v>
      </c>
      <c r="F18" s="1">
        <v>2009</v>
      </c>
      <c r="G18" t="s">
        <v>5</v>
      </c>
      <c r="H18" t="str">
        <f>TRIM(B18)</f>
        <v>Stieg Larsson</v>
      </c>
      <c r="I18" t="str">
        <f t="shared" si="0"/>
        <v>Average</v>
      </c>
      <c r="J18" s="1" t="str">
        <f t="shared" si="1"/>
        <v>Affordable</v>
      </c>
      <c r="K18" s="1" t="str">
        <f t="shared" si="2"/>
        <v>High</v>
      </c>
    </row>
    <row r="19" spans="1:11" ht="13.8" x14ac:dyDescent="0.25">
      <c r="A19" t="s">
        <v>434</v>
      </c>
      <c r="B19" t="s">
        <v>431</v>
      </c>
      <c r="C19" s="2">
        <v>4.4000000000000004</v>
      </c>
      <c r="D19" s="3">
        <v>10559</v>
      </c>
      <c r="E19" s="3">
        <v>2</v>
      </c>
      <c r="F19" s="1">
        <v>2010</v>
      </c>
      <c r="G19" t="s">
        <v>5</v>
      </c>
      <c r="H19" t="str">
        <f>TRIM(B19)</f>
        <v>Stieg Larsson</v>
      </c>
      <c r="I19" t="str">
        <f t="shared" si="0"/>
        <v>Average</v>
      </c>
      <c r="J19" s="1" t="str">
        <f t="shared" si="1"/>
        <v>Affordable</v>
      </c>
      <c r="K19" s="1" t="str">
        <f t="shared" si="2"/>
        <v>High</v>
      </c>
    </row>
    <row r="20" spans="1:11" ht="13.8" x14ac:dyDescent="0.25">
      <c r="A20" t="s">
        <v>17</v>
      </c>
      <c r="B20" t="s">
        <v>18</v>
      </c>
      <c r="C20" s="2">
        <v>4.7</v>
      </c>
      <c r="D20" s="3">
        <v>5983</v>
      </c>
      <c r="E20" s="3">
        <v>3</v>
      </c>
      <c r="F20" s="1">
        <v>2018</v>
      </c>
      <c r="G20" t="s">
        <v>2</v>
      </c>
      <c r="H20" t="str">
        <f>TRIM(B20)</f>
        <v>James Comey</v>
      </c>
      <c r="I20" t="str">
        <f t="shared" si="0"/>
        <v>Excellent</v>
      </c>
      <c r="J20" s="1" t="str">
        <f t="shared" si="1"/>
        <v>Affordable</v>
      </c>
      <c r="K20" s="1" t="str">
        <f t="shared" si="2"/>
        <v>Low</v>
      </c>
    </row>
    <row r="21" spans="1:11" ht="13.8" x14ac:dyDescent="0.25">
      <c r="A21" t="s">
        <v>29</v>
      </c>
      <c r="B21" t="s">
        <v>30</v>
      </c>
      <c r="C21" s="2">
        <v>4.5</v>
      </c>
      <c r="D21" s="3">
        <v>2313</v>
      </c>
      <c r="E21" s="3">
        <v>4</v>
      </c>
      <c r="F21" s="1">
        <v>2016</v>
      </c>
      <c r="G21" t="s">
        <v>2</v>
      </c>
      <c r="H21" t="str">
        <f>TRIM(B21)</f>
        <v>Adult Coloring Book Designs</v>
      </c>
      <c r="I21" t="str">
        <f t="shared" si="0"/>
        <v>Excellent</v>
      </c>
      <c r="J21" s="1" t="str">
        <f t="shared" si="1"/>
        <v>Affordable</v>
      </c>
      <c r="K21" s="1" t="str">
        <f t="shared" si="2"/>
        <v>Low</v>
      </c>
    </row>
    <row r="22" spans="1:11" ht="13.8" x14ac:dyDescent="0.25">
      <c r="A22" t="s">
        <v>74</v>
      </c>
      <c r="B22" t="s">
        <v>75</v>
      </c>
      <c r="C22" s="2">
        <v>4.5999999999999996</v>
      </c>
      <c r="D22" s="3">
        <v>10369</v>
      </c>
      <c r="E22" s="3">
        <v>4</v>
      </c>
      <c r="F22" s="1">
        <v>2016</v>
      </c>
      <c r="G22" t="s">
        <v>2</v>
      </c>
      <c r="H22" t="str">
        <f>TRIM(B22)</f>
        <v>Sasha O'Hara</v>
      </c>
      <c r="I22" t="str">
        <f t="shared" si="0"/>
        <v>Excellent</v>
      </c>
      <c r="J22" s="1" t="str">
        <f t="shared" si="1"/>
        <v>Affordable</v>
      </c>
      <c r="K22" s="1" t="str">
        <f t="shared" si="2"/>
        <v>High</v>
      </c>
    </row>
    <row r="23" spans="1:11" ht="13.8" x14ac:dyDescent="0.25">
      <c r="A23" t="s">
        <v>88</v>
      </c>
      <c r="B23" t="s">
        <v>89</v>
      </c>
      <c r="C23" s="2">
        <v>4.8</v>
      </c>
      <c r="D23" s="3">
        <v>4022</v>
      </c>
      <c r="E23" s="3">
        <v>4</v>
      </c>
      <c r="F23" s="1">
        <v>2015</v>
      </c>
      <c r="G23" t="s">
        <v>2</v>
      </c>
      <c r="H23" t="str">
        <f>TRIM(B23)</f>
        <v>Marjorie Sarnat</v>
      </c>
      <c r="I23" t="str">
        <f t="shared" si="0"/>
        <v>Excellent</v>
      </c>
      <c r="J23" s="1" t="str">
        <f t="shared" si="1"/>
        <v>Affordable</v>
      </c>
      <c r="K23" s="1" t="str">
        <f t="shared" si="2"/>
        <v>Low</v>
      </c>
    </row>
    <row r="24" spans="1:11" ht="13.8" x14ac:dyDescent="0.25">
      <c r="A24" t="s">
        <v>97</v>
      </c>
      <c r="B24" t="s">
        <v>98</v>
      </c>
      <c r="C24" s="2">
        <v>4.5999999999999996</v>
      </c>
      <c r="D24" s="3">
        <v>1541</v>
      </c>
      <c r="E24" s="3">
        <v>4</v>
      </c>
      <c r="F24" s="1">
        <v>2009</v>
      </c>
      <c r="G24" t="s">
        <v>5</v>
      </c>
      <c r="H24" t="str">
        <f>TRIM(B24)</f>
        <v>Charlaine Harris</v>
      </c>
      <c r="I24" t="str">
        <f t="shared" si="0"/>
        <v>Excellent</v>
      </c>
      <c r="J24" s="1" t="str">
        <f t="shared" si="1"/>
        <v>Affordable</v>
      </c>
      <c r="K24" s="1" t="str">
        <f t="shared" si="2"/>
        <v>Low</v>
      </c>
    </row>
    <row r="25" spans="1:11" ht="13.8" x14ac:dyDescent="0.25">
      <c r="A25" t="s">
        <v>100</v>
      </c>
      <c r="B25" t="s">
        <v>98</v>
      </c>
      <c r="C25" s="2">
        <v>4.2</v>
      </c>
      <c r="D25" s="3">
        <v>2094</v>
      </c>
      <c r="E25" s="3">
        <v>4</v>
      </c>
      <c r="F25" s="1">
        <v>2011</v>
      </c>
      <c r="G25" t="s">
        <v>5</v>
      </c>
      <c r="H25" t="str">
        <f>TRIM(B25)</f>
        <v>Charlaine Harris</v>
      </c>
      <c r="I25" t="str">
        <f t="shared" si="0"/>
        <v>Average</v>
      </c>
      <c r="J25" s="1" t="str">
        <f t="shared" si="1"/>
        <v>Affordable</v>
      </c>
      <c r="K25" s="1" t="str">
        <f t="shared" si="2"/>
        <v>Low</v>
      </c>
    </row>
    <row r="26" spans="1:11" ht="13.8" x14ac:dyDescent="0.25">
      <c r="A26" t="s">
        <v>123</v>
      </c>
      <c r="B26" t="s">
        <v>121</v>
      </c>
      <c r="C26" s="2">
        <v>4.9000000000000004</v>
      </c>
      <c r="D26" s="3">
        <v>7235</v>
      </c>
      <c r="E26" s="3">
        <v>4</v>
      </c>
      <c r="F26" s="1">
        <v>2018</v>
      </c>
      <c r="G26" t="s">
        <v>5</v>
      </c>
      <c r="H26" t="str">
        <f>TRIM(B26)</f>
        <v>Dav Pilkey</v>
      </c>
      <c r="I26" t="str">
        <f t="shared" si="0"/>
        <v>Excellent</v>
      </c>
      <c r="J26" s="1" t="str">
        <f t="shared" si="1"/>
        <v>Affordable</v>
      </c>
      <c r="K26" s="1" t="str">
        <f t="shared" si="2"/>
        <v>Low</v>
      </c>
    </row>
    <row r="27" spans="1:11" ht="13.8" x14ac:dyDescent="0.25">
      <c r="A27" t="s">
        <v>123</v>
      </c>
      <c r="B27" t="s">
        <v>121</v>
      </c>
      <c r="C27" s="2">
        <v>4.9000000000000004</v>
      </c>
      <c r="D27" s="3">
        <v>7235</v>
      </c>
      <c r="E27" s="3">
        <v>4</v>
      </c>
      <c r="F27" s="1">
        <v>2019</v>
      </c>
      <c r="G27" t="s">
        <v>5</v>
      </c>
      <c r="H27" t="str">
        <f>TRIM(B27)</f>
        <v>Dav Pilkey</v>
      </c>
      <c r="I27" t="str">
        <f t="shared" si="0"/>
        <v>Excellent</v>
      </c>
      <c r="J27" s="1" t="str">
        <f t="shared" si="1"/>
        <v>Affordable</v>
      </c>
      <c r="K27" s="1" t="str">
        <f t="shared" si="2"/>
        <v>Low</v>
      </c>
    </row>
    <row r="28" spans="1:11" ht="13.8" x14ac:dyDescent="0.25">
      <c r="A28" t="s">
        <v>156</v>
      </c>
      <c r="B28" t="s">
        <v>157</v>
      </c>
      <c r="C28" s="2">
        <v>4.7</v>
      </c>
      <c r="D28" s="3">
        <v>17323</v>
      </c>
      <c r="E28" s="3">
        <v>4</v>
      </c>
      <c r="F28" s="1">
        <v>2014</v>
      </c>
      <c r="G28" t="s">
        <v>2</v>
      </c>
      <c r="H28" t="str">
        <f>TRIM(B28)</f>
        <v>Roger Priddy</v>
      </c>
      <c r="I28" t="str">
        <f t="shared" si="0"/>
        <v>Excellent</v>
      </c>
      <c r="J28" s="1" t="str">
        <f t="shared" si="1"/>
        <v>Affordable</v>
      </c>
      <c r="K28" s="1" t="str">
        <f t="shared" si="2"/>
        <v>High</v>
      </c>
    </row>
    <row r="29" spans="1:11" ht="13.8" x14ac:dyDescent="0.25">
      <c r="A29" t="s">
        <v>156</v>
      </c>
      <c r="B29" t="s">
        <v>157</v>
      </c>
      <c r="C29" s="2">
        <v>4.7</v>
      </c>
      <c r="D29" s="3">
        <v>17323</v>
      </c>
      <c r="E29" s="3">
        <v>4</v>
      </c>
      <c r="F29" s="1">
        <v>2015</v>
      </c>
      <c r="G29" t="s">
        <v>2</v>
      </c>
      <c r="H29" t="str">
        <f>TRIM(B29)</f>
        <v>Roger Priddy</v>
      </c>
      <c r="I29" t="str">
        <f t="shared" si="0"/>
        <v>Excellent</v>
      </c>
      <c r="J29" s="1" t="str">
        <f t="shared" si="1"/>
        <v>Affordable</v>
      </c>
      <c r="K29" s="1" t="str">
        <f t="shared" si="2"/>
        <v>High</v>
      </c>
    </row>
    <row r="30" spans="1:11" ht="13.8" x14ac:dyDescent="0.25">
      <c r="A30" t="s">
        <v>156</v>
      </c>
      <c r="B30" t="s">
        <v>157</v>
      </c>
      <c r="C30" s="2">
        <v>4.7</v>
      </c>
      <c r="D30" s="3">
        <v>17323</v>
      </c>
      <c r="E30" s="3">
        <v>4</v>
      </c>
      <c r="F30" s="1">
        <v>2016</v>
      </c>
      <c r="G30" t="s">
        <v>2</v>
      </c>
      <c r="H30" t="str">
        <f>TRIM(B30)</f>
        <v>Roger Priddy</v>
      </c>
      <c r="I30" t="str">
        <f t="shared" si="0"/>
        <v>Excellent</v>
      </c>
      <c r="J30" s="1" t="str">
        <f t="shared" si="1"/>
        <v>Affordable</v>
      </c>
      <c r="K30" s="1" t="str">
        <f t="shared" si="2"/>
        <v>High</v>
      </c>
    </row>
    <row r="31" spans="1:11" ht="13.8" x14ac:dyDescent="0.25">
      <c r="A31" t="s">
        <v>156</v>
      </c>
      <c r="B31" t="s">
        <v>157</v>
      </c>
      <c r="C31" s="2">
        <v>4.7</v>
      </c>
      <c r="D31" s="3">
        <v>17323</v>
      </c>
      <c r="E31" s="3">
        <v>4</v>
      </c>
      <c r="F31" s="1">
        <v>2017</v>
      </c>
      <c r="G31" t="s">
        <v>2</v>
      </c>
      <c r="H31" t="str">
        <f>TRIM(B31)</f>
        <v>Roger Priddy</v>
      </c>
      <c r="I31" t="str">
        <f t="shared" si="0"/>
        <v>Excellent</v>
      </c>
      <c r="J31" s="1" t="str">
        <f t="shared" si="1"/>
        <v>Affordable</v>
      </c>
      <c r="K31" s="1" t="str">
        <f t="shared" si="2"/>
        <v>High</v>
      </c>
    </row>
    <row r="32" spans="1:11" ht="13.8" x14ac:dyDescent="0.25">
      <c r="A32" t="s">
        <v>156</v>
      </c>
      <c r="B32" t="s">
        <v>157</v>
      </c>
      <c r="C32" s="2">
        <v>4.7</v>
      </c>
      <c r="D32" s="3">
        <v>17323</v>
      </c>
      <c r="E32" s="3">
        <v>4</v>
      </c>
      <c r="F32" s="1">
        <v>2018</v>
      </c>
      <c r="G32" t="s">
        <v>2</v>
      </c>
      <c r="H32" t="str">
        <f>TRIM(B32)</f>
        <v>Roger Priddy</v>
      </c>
      <c r="I32" t="str">
        <f t="shared" si="0"/>
        <v>Excellent</v>
      </c>
      <c r="J32" s="1" t="str">
        <f t="shared" si="1"/>
        <v>Affordable</v>
      </c>
      <c r="K32" s="1" t="str">
        <f t="shared" si="2"/>
        <v>High</v>
      </c>
    </row>
    <row r="33" spans="1:11" ht="13.8" x14ac:dyDescent="0.25">
      <c r="A33" t="s">
        <v>170</v>
      </c>
      <c r="B33" t="s">
        <v>171</v>
      </c>
      <c r="C33" s="2">
        <v>4.8</v>
      </c>
      <c r="D33" s="3">
        <v>14038</v>
      </c>
      <c r="E33" s="3">
        <v>4</v>
      </c>
      <c r="F33" s="1">
        <v>2015</v>
      </c>
      <c r="G33" t="s">
        <v>5</v>
      </c>
      <c r="H33" t="str">
        <f>TRIM(B33)</f>
        <v>Giles Andreae</v>
      </c>
      <c r="I33" t="str">
        <f t="shared" si="0"/>
        <v>Excellent</v>
      </c>
      <c r="J33" s="1" t="str">
        <f t="shared" si="1"/>
        <v>Affordable</v>
      </c>
      <c r="K33" s="1" t="str">
        <f t="shared" si="2"/>
        <v>High</v>
      </c>
    </row>
    <row r="34" spans="1:11" ht="13.8" x14ac:dyDescent="0.25">
      <c r="A34" t="s">
        <v>170</v>
      </c>
      <c r="B34" t="s">
        <v>171</v>
      </c>
      <c r="C34" s="2">
        <v>4.8</v>
      </c>
      <c r="D34" s="3">
        <v>14038</v>
      </c>
      <c r="E34" s="3">
        <v>4</v>
      </c>
      <c r="F34" s="1">
        <v>2016</v>
      </c>
      <c r="G34" t="s">
        <v>5</v>
      </c>
      <c r="H34" t="str">
        <f>TRIM(B34)</f>
        <v>Giles Andreae</v>
      </c>
      <c r="I34" t="str">
        <f t="shared" si="0"/>
        <v>Excellent</v>
      </c>
      <c r="J34" s="1" t="str">
        <f t="shared" si="1"/>
        <v>Affordable</v>
      </c>
      <c r="K34" s="1" t="str">
        <f t="shared" si="2"/>
        <v>High</v>
      </c>
    </row>
    <row r="35" spans="1:11" ht="13.8" x14ac:dyDescent="0.25">
      <c r="A35" t="s">
        <v>170</v>
      </c>
      <c r="B35" t="s">
        <v>171</v>
      </c>
      <c r="C35" s="2">
        <v>4.8</v>
      </c>
      <c r="D35" s="3">
        <v>14038</v>
      </c>
      <c r="E35" s="3">
        <v>4</v>
      </c>
      <c r="F35" s="1">
        <v>2017</v>
      </c>
      <c r="G35" t="s">
        <v>5</v>
      </c>
      <c r="H35" t="str">
        <f>TRIM(B35)</f>
        <v>Giles Andreae</v>
      </c>
      <c r="I35" t="str">
        <f t="shared" si="0"/>
        <v>Excellent</v>
      </c>
      <c r="J35" s="1" t="str">
        <f t="shared" si="1"/>
        <v>Affordable</v>
      </c>
      <c r="K35" s="1" t="str">
        <f t="shared" si="2"/>
        <v>High</v>
      </c>
    </row>
    <row r="36" spans="1:11" ht="13.8" x14ac:dyDescent="0.25">
      <c r="A36" t="s">
        <v>170</v>
      </c>
      <c r="B36" t="s">
        <v>171</v>
      </c>
      <c r="C36" s="2">
        <v>4.8</v>
      </c>
      <c r="D36" s="3">
        <v>14038</v>
      </c>
      <c r="E36" s="3">
        <v>4</v>
      </c>
      <c r="F36" s="1">
        <v>2018</v>
      </c>
      <c r="G36" t="s">
        <v>5</v>
      </c>
      <c r="H36" t="str">
        <f>TRIM(B36)</f>
        <v>Giles Andreae</v>
      </c>
      <c r="I36" t="str">
        <f t="shared" si="0"/>
        <v>Excellent</v>
      </c>
      <c r="J36" s="1" t="str">
        <f t="shared" si="1"/>
        <v>Affordable</v>
      </c>
      <c r="K36" s="1" t="str">
        <f t="shared" si="2"/>
        <v>High</v>
      </c>
    </row>
    <row r="37" spans="1:11" ht="13.8" x14ac:dyDescent="0.25">
      <c r="A37" t="s">
        <v>170</v>
      </c>
      <c r="B37" t="s">
        <v>171</v>
      </c>
      <c r="C37" s="2">
        <v>4.8</v>
      </c>
      <c r="D37" s="3">
        <v>14038</v>
      </c>
      <c r="E37" s="3">
        <v>4</v>
      </c>
      <c r="F37" s="1">
        <v>2019</v>
      </c>
      <c r="G37" t="s">
        <v>5</v>
      </c>
      <c r="H37" t="str">
        <f>TRIM(B37)</f>
        <v>Giles Andreae</v>
      </c>
      <c r="I37" t="str">
        <f t="shared" si="0"/>
        <v>Excellent</v>
      </c>
      <c r="J37" s="1" t="str">
        <f t="shared" si="1"/>
        <v>Affordable</v>
      </c>
      <c r="K37" s="1" t="str">
        <f t="shared" si="2"/>
        <v>High</v>
      </c>
    </row>
    <row r="38" spans="1:11" ht="13.8" x14ac:dyDescent="0.25">
      <c r="A38" t="s">
        <v>210</v>
      </c>
      <c r="B38" t="s">
        <v>211</v>
      </c>
      <c r="C38" s="2">
        <v>4.8</v>
      </c>
      <c r="D38" s="3">
        <v>1930</v>
      </c>
      <c r="E38" s="3">
        <v>4</v>
      </c>
      <c r="F38" s="1">
        <v>2009</v>
      </c>
      <c r="G38" t="s">
        <v>2</v>
      </c>
      <c r="H38" t="str">
        <f>TRIM(B38)</f>
        <v>Mitch Albom</v>
      </c>
      <c r="I38" t="str">
        <f t="shared" si="0"/>
        <v>Excellent</v>
      </c>
      <c r="J38" s="1" t="str">
        <f t="shared" si="1"/>
        <v>Affordable</v>
      </c>
      <c r="K38" s="1" t="str">
        <f t="shared" si="2"/>
        <v>Low</v>
      </c>
    </row>
    <row r="39" spans="1:11" ht="13.8" x14ac:dyDescent="0.25">
      <c r="A39" t="s">
        <v>231</v>
      </c>
      <c r="B39" t="s">
        <v>232</v>
      </c>
      <c r="C39" s="2">
        <v>4.8</v>
      </c>
      <c r="D39" s="3">
        <v>16643</v>
      </c>
      <c r="E39" s="3">
        <v>4</v>
      </c>
      <c r="F39" s="1">
        <v>2017</v>
      </c>
      <c r="G39" t="s">
        <v>5</v>
      </c>
      <c r="H39" t="str">
        <f>TRIM(B39)</f>
        <v>Ann Whitford Paul</v>
      </c>
      <c r="I39" t="str">
        <f t="shared" si="0"/>
        <v>Excellent</v>
      </c>
      <c r="J39" s="1" t="str">
        <f t="shared" si="1"/>
        <v>Affordable</v>
      </c>
      <c r="K39" s="1" t="str">
        <f t="shared" si="2"/>
        <v>High</v>
      </c>
    </row>
    <row r="40" spans="1:11" ht="13.8" x14ac:dyDescent="0.25">
      <c r="A40" t="s">
        <v>231</v>
      </c>
      <c r="B40" t="s">
        <v>232</v>
      </c>
      <c r="C40" s="2">
        <v>4.8</v>
      </c>
      <c r="D40" s="3">
        <v>16643</v>
      </c>
      <c r="E40" s="3">
        <v>4</v>
      </c>
      <c r="F40" s="1">
        <v>2019</v>
      </c>
      <c r="G40" t="s">
        <v>5</v>
      </c>
      <c r="H40" t="str">
        <f>TRIM(B40)</f>
        <v>Ann Whitford Paul</v>
      </c>
      <c r="I40" t="str">
        <f t="shared" si="0"/>
        <v>Excellent</v>
      </c>
      <c r="J40" s="1" t="str">
        <f t="shared" si="1"/>
        <v>Affordable</v>
      </c>
      <c r="K40" s="1" t="str">
        <f t="shared" si="2"/>
        <v>High</v>
      </c>
    </row>
    <row r="41" spans="1:11" ht="13.8" x14ac:dyDescent="0.25">
      <c r="A41" t="s">
        <v>260</v>
      </c>
      <c r="B41" t="s">
        <v>261</v>
      </c>
      <c r="C41" s="2">
        <v>4.5</v>
      </c>
      <c r="D41" s="3">
        <v>3673</v>
      </c>
      <c r="E41" s="3">
        <v>4</v>
      </c>
      <c r="F41" s="1">
        <v>2013</v>
      </c>
      <c r="G41" t="s">
        <v>2</v>
      </c>
      <c r="H41" t="str">
        <f>TRIM(B41)</f>
        <v>Rob Elliott</v>
      </c>
      <c r="I41" t="str">
        <f t="shared" si="0"/>
        <v>Excellent</v>
      </c>
      <c r="J41" s="1" t="str">
        <f t="shared" si="1"/>
        <v>Affordable</v>
      </c>
      <c r="K41" s="1" t="str">
        <f t="shared" si="2"/>
        <v>Low</v>
      </c>
    </row>
    <row r="42" spans="1:11" ht="13.8" x14ac:dyDescent="0.25">
      <c r="A42" t="s">
        <v>260</v>
      </c>
      <c r="B42" t="s">
        <v>261</v>
      </c>
      <c r="C42" s="2">
        <v>4.5</v>
      </c>
      <c r="D42" s="3">
        <v>3673</v>
      </c>
      <c r="E42" s="3">
        <v>4</v>
      </c>
      <c r="F42" s="1">
        <v>2014</v>
      </c>
      <c r="G42" t="s">
        <v>2</v>
      </c>
      <c r="H42" t="str">
        <f>TRIM(B42)</f>
        <v>Rob Elliott</v>
      </c>
      <c r="I42" t="str">
        <f t="shared" si="0"/>
        <v>Excellent</v>
      </c>
      <c r="J42" s="1" t="str">
        <f t="shared" si="1"/>
        <v>Affordable</v>
      </c>
      <c r="K42" s="1" t="str">
        <f t="shared" si="2"/>
        <v>Low</v>
      </c>
    </row>
    <row r="43" spans="1:11" ht="13.8" x14ac:dyDescent="0.25">
      <c r="A43" t="s">
        <v>260</v>
      </c>
      <c r="B43" t="s">
        <v>261</v>
      </c>
      <c r="C43" s="2">
        <v>4.5</v>
      </c>
      <c r="D43" s="3">
        <v>3673</v>
      </c>
      <c r="E43" s="3">
        <v>4</v>
      </c>
      <c r="F43" s="1">
        <v>2015</v>
      </c>
      <c r="G43" t="s">
        <v>2</v>
      </c>
      <c r="H43" t="str">
        <f>TRIM(B43)</f>
        <v>Rob Elliott</v>
      </c>
      <c r="I43" t="str">
        <f t="shared" si="0"/>
        <v>Excellent</v>
      </c>
      <c r="J43" s="1" t="str">
        <f t="shared" si="1"/>
        <v>Affordable</v>
      </c>
      <c r="K43" s="1" t="str">
        <f t="shared" si="2"/>
        <v>Low</v>
      </c>
    </row>
    <row r="44" spans="1:11" ht="13.8" x14ac:dyDescent="0.25">
      <c r="A44" t="s">
        <v>264</v>
      </c>
      <c r="B44" t="s">
        <v>261</v>
      </c>
      <c r="C44" s="2">
        <v>4.5999999999999996</v>
      </c>
      <c r="D44" s="3">
        <v>6990</v>
      </c>
      <c r="E44" s="3">
        <v>4</v>
      </c>
      <c r="F44" s="1">
        <v>2013</v>
      </c>
      <c r="G44" t="s">
        <v>2</v>
      </c>
      <c r="H44" t="str">
        <f>TRIM(B44)</f>
        <v>Rob Elliott</v>
      </c>
      <c r="I44" t="str">
        <f t="shared" si="0"/>
        <v>Excellent</v>
      </c>
      <c r="J44" s="1" t="str">
        <f t="shared" si="1"/>
        <v>Affordable</v>
      </c>
      <c r="K44" s="1" t="str">
        <f t="shared" si="2"/>
        <v>Low</v>
      </c>
    </row>
    <row r="45" spans="1:11" ht="13.8" x14ac:dyDescent="0.25">
      <c r="A45" t="s">
        <v>264</v>
      </c>
      <c r="B45" t="s">
        <v>261</v>
      </c>
      <c r="C45" s="2">
        <v>4.5999999999999996</v>
      </c>
      <c r="D45" s="3">
        <v>6990</v>
      </c>
      <c r="E45" s="3">
        <v>4</v>
      </c>
      <c r="F45" s="1">
        <v>2014</v>
      </c>
      <c r="G45" t="s">
        <v>2</v>
      </c>
      <c r="H45" t="str">
        <f>TRIM(B45)</f>
        <v>Rob Elliott</v>
      </c>
      <c r="I45" t="str">
        <f t="shared" si="0"/>
        <v>Excellent</v>
      </c>
      <c r="J45" s="1" t="str">
        <f t="shared" si="1"/>
        <v>Affordable</v>
      </c>
      <c r="K45" s="1" t="str">
        <f t="shared" si="2"/>
        <v>Low</v>
      </c>
    </row>
    <row r="46" spans="1:11" ht="13.8" x14ac:dyDescent="0.25">
      <c r="A46" t="s">
        <v>264</v>
      </c>
      <c r="B46" t="s">
        <v>261</v>
      </c>
      <c r="C46" s="2">
        <v>4.5999999999999996</v>
      </c>
      <c r="D46" s="3">
        <v>6990</v>
      </c>
      <c r="E46" s="3">
        <v>4</v>
      </c>
      <c r="F46" s="1">
        <v>2015</v>
      </c>
      <c r="G46" t="s">
        <v>2</v>
      </c>
      <c r="H46" t="str">
        <f>TRIM(B46)</f>
        <v>Rob Elliott</v>
      </c>
      <c r="I46" t="str">
        <f t="shared" si="0"/>
        <v>Excellent</v>
      </c>
      <c r="J46" s="1" t="str">
        <f t="shared" si="1"/>
        <v>Affordable</v>
      </c>
      <c r="K46" s="1" t="str">
        <f t="shared" si="2"/>
        <v>Low</v>
      </c>
    </row>
    <row r="47" spans="1:11" ht="13.8" x14ac:dyDescent="0.25">
      <c r="A47" t="s">
        <v>264</v>
      </c>
      <c r="B47" t="s">
        <v>261</v>
      </c>
      <c r="C47" s="2">
        <v>4.5999999999999996</v>
      </c>
      <c r="D47" s="3">
        <v>6990</v>
      </c>
      <c r="E47" s="3">
        <v>4</v>
      </c>
      <c r="F47" s="1">
        <v>2016</v>
      </c>
      <c r="G47" t="s">
        <v>2</v>
      </c>
      <c r="H47" t="str">
        <f>TRIM(B47)</f>
        <v>Rob Elliott</v>
      </c>
      <c r="I47" t="str">
        <f t="shared" si="0"/>
        <v>Excellent</v>
      </c>
      <c r="J47" s="1" t="str">
        <f t="shared" si="1"/>
        <v>Affordable</v>
      </c>
      <c r="K47" s="1" t="str">
        <f t="shared" si="2"/>
        <v>Low</v>
      </c>
    </row>
    <row r="48" spans="1:11" ht="13.8" x14ac:dyDescent="0.25">
      <c r="A48" t="s">
        <v>264</v>
      </c>
      <c r="B48" t="s">
        <v>261</v>
      </c>
      <c r="C48" s="2">
        <v>4.5999999999999996</v>
      </c>
      <c r="D48" s="3">
        <v>6990</v>
      </c>
      <c r="E48" s="3">
        <v>4</v>
      </c>
      <c r="F48" s="1">
        <v>2017</v>
      </c>
      <c r="G48" t="s">
        <v>2</v>
      </c>
      <c r="H48" t="str">
        <f>TRIM(B48)</f>
        <v>Rob Elliott</v>
      </c>
      <c r="I48" t="str">
        <f t="shared" si="0"/>
        <v>Excellent</v>
      </c>
      <c r="J48" s="1" t="str">
        <f t="shared" si="1"/>
        <v>Affordable</v>
      </c>
      <c r="K48" s="1" t="str">
        <f t="shared" si="2"/>
        <v>Low</v>
      </c>
    </row>
    <row r="49" spans="1:11" ht="13.8" x14ac:dyDescent="0.25">
      <c r="A49" t="s">
        <v>334</v>
      </c>
      <c r="B49" t="s">
        <v>335</v>
      </c>
      <c r="C49" s="2">
        <v>4.8</v>
      </c>
      <c r="D49" s="3">
        <v>4757</v>
      </c>
      <c r="E49" s="3">
        <v>4</v>
      </c>
      <c r="F49" s="1">
        <v>2017</v>
      </c>
      <c r="G49" t="s">
        <v>5</v>
      </c>
      <c r="H49" t="str">
        <f>TRIM(B49)</f>
        <v>Golden Books</v>
      </c>
      <c r="I49" t="str">
        <f t="shared" si="0"/>
        <v>Excellent</v>
      </c>
      <c r="J49" s="1" t="str">
        <f t="shared" si="1"/>
        <v>Affordable</v>
      </c>
      <c r="K49" s="1" t="str">
        <f t="shared" si="2"/>
        <v>Low</v>
      </c>
    </row>
    <row r="50" spans="1:11" ht="13.8" x14ac:dyDescent="0.25">
      <c r="A50" t="s">
        <v>534</v>
      </c>
      <c r="B50" t="s">
        <v>535</v>
      </c>
      <c r="C50" s="2">
        <v>4.8</v>
      </c>
      <c r="D50" s="3">
        <v>30183</v>
      </c>
      <c r="E50" s="3">
        <v>4</v>
      </c>
      <c r="F50" s="1">
        <v>2018</v>
      </c>
      <c r="G50" t="s">
        <v>5</v>
      </c>
      <c r="H50" t="str">
        <f>TRIM(B50)</f>
        <v>Craig Smith</v>
      </c>
      <c r="I50" t="str">
        <f t="shared" si="0"/>
        <v>Excellent</v>
      </c>
      <c r="J50" s="1" t="str">
        <f t="shared" si="1"/>
        <v>Affordable</v>
      </c>
      <c r="K50" s="1" t="str">
        <f t="shared" si="2"/>
        <v>High</v>
      </c>
    </row>
    <row r="51" spans="1:11" ht="13.8" x14ac:dyDescent="0.25">
      <c r="A51" t="s">
        <v>534</v>
      </c>
      <c r="B51" t="s">
        <v>535</v>
      </c>
      <c r="C51" s="2">
        <v>4.8</v>
      </c>
      <c r="D51" s="3">
        <v>30183</v>
      </c>
      <c r="E51" s="3">
        <v>4</v>
      </c>
      <c r="F51" s="1">
        <v>2019</v>
      </c>
      <c r="G51" t="s">
        <v>5</v>
      </c>
      <c r="H51" t="str">
        <f>TRIM(B51)</f>
        <v>Craig Smith</v>
      </c>
      <c r="I51" t="str">
        <f t="shared" si="0"/>
        <v>Excellent</v>
      </c>
      <c r="J51" s="1" t="str">
        <f t="shared" si="1"/>
        <v>Affordable</v>
      </c>
      <c r="K51" s="1" t="str">
        <f t="shared" si="2"/>
        <v>High</v>
      </c>
    </row>
    <row r="52" spans="1:11" ht="13.8" x14ac:dyDescent="0.25">
      <c r="A52" t="s">
        <v>564</v>
      </c>
      <c r="B52" t="s">
        <v>565</v>
      </c>
      <c r="C52" s="2">
        <v>4.8</v>
      </c>
      <c r="D52" s="3">
        <v>6108</v>
      </c>
      <c r="E52" s="3">
        <v>4</v>
      </c>
      <c r="F52" s="1">
        <v>2019</v>
      </c>
      <c r="G52" t="s">
        <v>2</v>
      </c>
      <c r="H52" t="str">
        <f>TRIM(B52)</f>
        <v>Silly Bear</v>
      </c>
      <c r="I52" t="str">
        <f t="shared" si="0"/>
        <v>Excellent</v>
      </c>
      <c r="J52" s="1" t="str">
        <f t="shared" si="1"/>
        <v>Affordable</v>
      </c>
      <c r="K52" s="1" t="str">
        <f t="shared" si="2"/>
        <v>Low</v>
      </c>
    </row>
    <row r="53" spans="1:11" ht="13.8" x14ac:dyDescent="0.25">
      <c r="A53" t="s">
        <v>25</v>
      </c>
      <c r="B53" t="s">
        <v>26</v>
      </c>
      <c r="C53" s="2">
        <v>4.5</v>
      </c>
      <c r="D53" s="3">
        <v>5153</v>
      </c>
      <c r="E53" s="3">
        <v>5</v>
      </c>
      <c r="F53" s="1">
        <v>2018</v>
      </c>
      <c r="G53" t="s">
        <v>5</v>
      </c>
      <c r="H53" t="str">
        <f>TRIM(B53)</f>
        <v>Madeleine L'Engle</v>
      </c>
      <c r="I53" t="str">
        <f t="shared" si="0"/>
        <v>Excellent</v>
      </c>
      <c r="J53" s="1" t="str">
        <f t="shared" si="1"/>
        <v>Affordable</v>
      </c>
      <c r="K53" s="1" t="str">
        <f t="shared" si="2"/>
        <v>Low</v>
      </c>
    </row>
    <row r="54" spans="1:11" ht="13.8" x14ac:dyDescent="0.25">
      <c r="A54" t="s">
        <v>46</v>
      </c>
      <c r="B54" t="s">
        <v>47</v>
      </c>
      <c r="C54" s="2">
        <v>4.5999999999999996</v>
      </c>
      <c r="D54" s="3">
        <v>798</v>
      </c>
      <c r="E54" s="3">
        <v>5</v>
      </c>
      <c r="F54" s="1">
        <v>2009</v>
      </c>
      <c r="G54" t="s">
        <v>2</v>
      </c>
      <c r="H54" t="str">
        <f>TRIM(B54)</f>
        <v>Glenn Beck</v>
      </c>
      <c r="I54" t="str">
        <f t="shared" si="0"/>
        <v>Excellent</v>
      </c>
      <c r="J54" s="1" t="str">
        <f t="shared" si="1"/>
        <v>Affordable</v>
      </c>
      <c r="K54" s="1" t="str">
        <f t="shared" si="2"/>
        <v>Low</v>
      </c>
    </row>
    <row r="55" spans="1:11" ht="13.8" x14ac:dyDescent="0.25">
      <c r="A55" t="s">
        <v>52</v>
      </c>
      <c r="B55" t="s">
        <v>53</v>
      </c>
      <c r="C55" s="2">
        <v>4.5999999999999996</v>
      </c>
      <c r="D55" s="3">
        <v>5360</v>
      </c>
      <c r="E55" s="3">
        <v>5</v>
      </c>
      <c r="F55" s="1">
        <v>2015</v>
      </c>
      <c r="G55" t="s">
        <v>2</v>
      </c>
      <c r="H55" t="str">
        <f>TRIM(B55)</f>
        <v>DK</v>
      </c>
      <c r="I55" t="str">
        <f t="shared" si="0"/>
        <v>Excellent</v>
      </c>
      <c r="J55" s="1" t="str">
        <f t="shared" si="1"/>
        <v>Affordable</v>
      </c>
      <c r="K55" s="1" t="str">
        <f t="shared" si="2"/>
        <v>Low</v>
      </c>
    </row>
    <row r="56" spans="1:11" ht="13.8" x14ac:dyDescent="0.25">
      <c r="A56" t="s">
        <v>70</v>
      </c>
      <c r="B56" t="s">
        <v>71</v>
      </c>
      <c r="C56" s="2">
        <v>4.9000000000000004</v>
      </c>
      <c r="D56" s="3">
        <v>14344</v>
      </c>
      <c r="E56" s="3">
        <v>5</v>
      </c>
      <c r="F56" s="1">
        <v>2017</v>
      </c>
      <c r="G56" t="s">
        <v>5</v>
      </c>
      <c r="H56" t="str">
        <f>TRIM(B56)</f>
        <v>Bill Martin Jr.</v>
      </c>
      <c r="I56" t="str">
        <f t="shared" si="0"/>
        <v>Excellent</v>
      </c>
      <c r="J56" s="1" t="str">
        <f t="shared" si="1"/>
        <v>Affordable</v>
      </c>
      <c r="K56" s="1" t="str">
        <f t="shared" si="2"/>
        <v>High</v>
      </c>
    </row>
    <row r="57" spans="1:11" ht="13.8" x14ac:dyDescent="0.25">
      <c r="A57" t="s">
        <v>70</v>
      </c>
      <c r="B57" t="s">
        <v>71</v>
      </c>
      <c r="C57" s="2">
        <v>4.9000000000000004</v>
      </c>
      <c r="D57" s="3">
        <v>14344</v>
      </c>
      <c r="E57" s="3">
        <v>5</v>
      </c>
      <c r="F57" s="1">
        <v>2019</v>
      </c>
      <c r="G57" t="s">
        <v>5</v>
      </c>
      <c r="H57" t="str">
        <f>TRIM(B57)</f>
        <v>Bill Martin Jr.</v>
      </c>
      <c r="I57" t="str">
        <f t="shared" si="0"/>
        <v>Excellent</v>
      </c>
      <c r="J57" s="1" t="str">
        <f t="shared" si="1"/>
        <v>Affordable</v>
      </c>
      <c r="K57" s="1" t="str">
        <f t="shared" si="2"/>
        <v>High</v>
      </c>
    </row>
    <row r="58" spans="1:11" ht="13.8" x14ac:dyDescent="0.25">
      <c r="A58" t="s">
        <v>90</v>
      </c>
      <c r="B58" t="s">
        <v>89</v>
      </c>
      <c r="C58" s="2">
        <v>4.8</v>
      </c>
      <c r="D58" s="3">
        <v>3871</v>
      </c>
      <c r="E58" s="3">
        <v>5</v>
      </c>
      <c r="F58" s="1">
        <v>2015</v>
      </c>
      <c r="G58" t="s">
        <v>2</v>
      </c>
      <c r="H58" t="str">
        <f>TRIM(B58)</f>
        <v>Marjorie Sarnat</v>
      </c>
      <c r="I58" t="str">
        <f t="shared" si="0"/>
        <v>Excellent</v>
      </c>
      <c r="J58" s="1" t="str">
        <f t="shared" si="1"/>
        <v>Affordable</v>
      </c>
      <c r="K58" s="1" t="str">
        <f t="shared" si="2"/>
        <v>Low</v>
      </c>
    </row>
    <row r="59" spans="1:11" ht="13.8" x14ac:dyDescent="0.25">
      <c r="A59" t="s">
        <v>101</v>
      </c>
      <c r="B59" t="s">
        <v>102</v>
      </c>
      <c r="C59" s="2">
        <v>4.8</v>
      </c>
      <c r="D59" s="3">
        <v>10922</v>
      </c>
      <c r="E59" s="3">
        <v>5</v>
      </c>
      <c r="F59" s="1">
        <v>2015</v>
      </c>
      <c r="G59" t="s">
        <v>5</v>
      </c>
      <c r="H59" t="str">
        <f>TRIM(B59)</f>
        <v>Rod Campbell</v>
      </c>
      <c r="I59" t="str">
        <f t="shared" si="0"/>
        <v>Excellent</v>
      </c>
      <c r="J59" s="1" t="str">
        <f t="shared" si="1"/>
        <v>Affordable</v>
      </c>
      <c r="K59" s="1" t="str">
        <f t="shared" si="2"/>
        <v>High</v>
      </c>
    </row>
    <row r="60" spans="1:11" ht="13.8" x14ac:dyDescent="0.25">
      <c r="A60" t="s">
        <v>101</v>
      </c>
      <c r="B60" t="s">
        <v>102</v>
      </c>
      <c r="C60" s="2">
        <v>4.8</v>
      </c>
      <c r="D60" s="3">
        <v>10922</v>
      </c>
      <c r="E60" s="3">
        <v>5</v>
      </c>
      <c r="F60" s="1">
        <v>2016</v>
      </c>
      <c r="G60" t="s">
        <v>5</v>
      </c>
      <c r="H60" t="str">
        <f>TRIM(B60)</f>
        <v>Rod Campbell</v>
      </c>
      <c r="I60" t="str">
        <f t="shared" si="0"/>
        <v>Excellent</v>
      </c>
      <c r="J60" s="1" t="str">
        <f t="shared" si="1"/>
        <v>Affordable</v>
      </c>
      <c r="K60" s="1" t="str">
        <f t="shared" si="2"/>
        <v>High</v>
      </c>
    </row>
    <row r="61" spans="1:11" ht="13.8" x14ac:dyDescent="0.25">
      <c r="A61" t="s">
        <v>101</v>
      </c>
      <c r="B61" t="s">
        <v>102</v>
      </c>
      <c r="C61" s="2">
        <v>4.8</v>
      </c>
      <c r="D61" s="3">
        <v>10922</v>
      </c>
      <c r="E61" s="3">
        <v>5</v>
      </c>
      <c r="F61" s="1">
        <v>2017</v>
      </c>
      <c r="G61" t="s">
        <v>5</v>
      </c>
      <c r="H61" t="str">
        <f>TRIM(B61)</f>
        <v>Rod Campbell</v>
      </c>
      <c r="I61" t="str">
        <f t="shared" si="0"/>
        <v>Excellent</v>
      </c>
      <c r="J61" s="1" t="str">
        <f t="shared" si="1"/>
        <v>Affordable</v>
      </c>
      <c r="K61" s="1" t="str">
        <f t="shared" si="2"/>
        <v>High</v>
      </c>
    </row>
    <row r="62" spans="1:11" ht="13.8" x14ac:dyDescent="0.25">
      <c r="A62" t="s">
        <v>101</v>
      </c>
      <c r="B62" t="s">
        <v>102</v>
      </c>
      <c r="C62" s="2">
        <v>4.8</v>
      </c>
      <c r="D62" s="3">
        <v>10922</v>
      </c>
      <c r="E62" s="3">
        <v>5</v>
      </c>
      <c r="F62" s="1">
        <v>2018</v>
      </c>
      <c r="G62" t="s">
        <v>5</v>
      </c>
      <c r="H62" t="str">
        <f>TRIM(B62)</f>
        <v>Rod Campbell</v>
      </c>
      <c r="I62" t="str">
        <f t="shared" si="0"/>
        <v>Excellent</v>
      </c>
      <c r="J62" s="1" t="str">
        <f t="shared" si="1"/>
        <v>Affordable</v>
      </c>
      <c r="K62" s="1" t="str">
        <f t="shared" si="2"/>
        <v>High</v>
      </c>
    </row>
    <row r="63" spans="1:11" ht="13.8" x14ac:dyDescent="0.25">
      <c r="A63" t="s">
        <v>112</v>
      </c>
      <c r="B63" t="s">
        <v>113</v>
      </c>
      <c r="C63" s="2">
        <v>4.5999999999999996</v>
      </c>
      <c r="D63" s="3">
        <v>7955</v>
      </c>
      <c r="E63" s="3">
        <v>5</v>
      </c>
      <c r="F63" s="1">
        <v>2019</v>
      </c>
      <c r="G63" t="s">
        <v>2</v>
      </c>
      <c r="H63" t="str">
        <f>TRIM(B63)</f>
        <v>M Prefontaine</v>
      </c>
      <c r="I63" t="str">
        <f t="shared" si="0"/>
        <v>Excellent</v>
      </c>
      <c r="J63" s="1" t="str">
        <f t="shared" si="1"/>
        <v>Affordable</v>
      </c>
      <c r="K63" s="1" t="str">
        <f t="shared" si="2"/>
        <v>Low</v>
      </c>
    </row>
    <row r="64" spans="1:11" ht="13.8" x14ac:dyDescent="0.25">
      <c r="A64" t="s">
        <v>128</v>
      </c>
      <c r="B64" t="s">
        <v>129</v>
      </c>
      <c r="C64" s="2">
        <v>4.5999999999999996</v>
      </c>
      <c r="D64" s="3">
        <v>2134</v>
      </c>
      <c r="E64" s="3">
        <v>5</v>
      </c>
      <c r="F64" s="1">
        <v>2015</v>
      </c>
      <c r="G64" t="s">
        <v>2</v>
      </c>
      <c r="H64" t="str">
        <f>TRIM(B64)</f>
        <v>Marty Noble</v>
      </c>
      <c r="I64" t="str">
        <f t="shared" si="0"/>
        <v>Excellent</v>
      </c>
      <c r="J64" s="1" t="str">
        <f t="shared" si="1"/>
        <v>Affordable</v>
      </c>
      <c r="K64" s="1" t="str">
        <f t="shared" si="2"/>
        <v>Low</v>
      </c>
    </row>
    <row r="65" spans="1:11" ht="13.8" x14ac:dyDescent="0.25">
      <c r="A65" t="s">
        <v>164</v>
      </c>
      <c r="B65" t="s">
        <v>165</v>
      </c>
      <c r="C65" s="2">
        <v>4.5999999999999996</v>
      </c>
      <c r="D65" s="3">
        <v>5594</v>
      </c>
      <c r="E65" s="3">
        <v>5</v>
      </c>
      <c r="F65" s="1">
        <v>2011</v>
      </c>
      <c r="G65" t="s">
        <v>5</v>
      </c>
      <c r="H65" t="str">
        <f>TRIM(B65)</f>
        <v>George R.R. Martin</v>
      </c>
      <c r="I65" t="str">
        <f t="shared" si="0"/>
        <v>Excellent</v>
      </c>
      <c r="J65" s="1" t="str">
        <f t="shared" si="1"/>
        <v>Affordable</v>
      </c>
      <c r="K65" s="1" t="str">
        <f t="shared" si="2"/>
        <v>Low</v>
      </c>
    </row>
    <row r="66" spans="1:11" ht="13.8" x14ac:dyDescent="0.25">
      <c r="A66" t="s">
        <v>164</v>
      </c>
      <c r="B66" t="s">
        <v>165</v>
      </c>
      <c r="C66" s="2">
        <v>4.5999999999999996</v>
      </c>
      <c r="D66" s="3">
        <v>5594</v>
      </c>
      <c r="E66" s="3">
        <v>5</v>
      </c>
      <c r="F66" s="1">
        <v>2012</v>
      </c>
      <c r="G66" t="s">
        <v>5</v>
      </c>
      <c r="H66" t="str">
        <f>TRIM(B66)</f>
        <v>George R.R. Martin</v>
      </c>
      <c r="I66" t="str">
        <f t="shared" ref="I66:I129" si="3">IF(C66&gt;=4.5,"Excellent","Average")</f>
        <v>Excellent</v>
      </c>
      <c r="J66" s="1" t="str">
        <f t="shared" ref="J66:J129" si="4">IF(E66&gt;=15,"Expensive","Affordable")</f>
        <v>Affordable</v>
      </c>
      <c r="K66" s="1" t="str">
        <f t="shared" ref="K66:K129" si="5">IF(D66&gt;=10000,"High","Low")</f>
        <v>Low</v>
      </c>
    </row>
    <row r="67" spans="1:11" ht="13.8" x14ac:dyDescent="0.25">
      <c r="A67" t="s">
        <v>164</v>
      </c>
      <c r="B67" t="s">
        <v>165</v>
      </c>
      <c r="C67" s="2">
        <v>4.5999999999999996</v>
      </c>
      <c r="D67" s="3">
        <v>5594</v>
      </c>
      <c r="E67" s="3">
        <v>5</v>
      </c>
      <c r="F67" s="1">
        <v>2013</v>
      </c>
      <c r="G67" t="s">
        <v>5</v>
      </c>
      <c r="H67" t="str">
        <f>TRIM(B67)</f>
        <v>George R.R. Martin</v>
      </c>
      <c r="I67" t="str">
        <f t="shared" si="3"/>
        <v>Excellent</v>
      </c>
      <c r="J67" s="1" t="str">
        <f t="shared" si="4"/>
        <v>Affordable</v>
      </c>
      <c r="K67" s="1" t="str">
        <f t="shared" si="5"/>
        <v>Low</v>
      </c>
    </row>
    <row r="68" spans="1:11" ht="13.8" x14ac:dyDescent="0.25">
      <c r="A68" t="s">
        <v>188</v>
      </c>
      <c r="B68" t="s">
        <v>189</v>
      </c>
      <c r="C68" s="2">
        <v>4.8</v>
      </c>
      <c r="D68" s="3">
        <v>8837</v>
      </c>
      <c r="E68" s="3">
        <v>5</v>
      </c>
      <c r="F68" s="1">
        <v>2017</v>
      </c>
      <c r="G68" t="s">
        <v>5</v>
      </c>
      <c r="H68" t="str">
        <f>TRIM(B68)</f>
        <v>Margaret Wise Brown</v>
      </c>
      <c r="I68" t="str">
        <f t="shared" si="3"/>
        <v>Excellent</v>
      </c>
      <c r="J68" s="1" t="str">
        <f t="shared" si="4"/>
        <v>Affordable</v>
      </c>
      <c r="K68" s="1" t="str">
        <f t="shared" si="5"/>
        <v>Low</v>
      </c>
    </row>
    <row r="69" spans="1:11" ht="13.8" x14ac:dyDescent="0.25">
      <c r="A69" t="s">
        <v>188</v>
      </c>
      <c r="B69" t="s">
        <v>189</v>
      </c>
      <c r="C69" s="2">
        <v>4.8</v>
      </c>
      <c r="D69" s="3">
        <v>8837</v>
      </c>
      <c r="E69" s="3">
        <v>5</v>
      </c>
      <c r="F69" s="1">
        <v>2018</v>
      </c>
      <c r="G69" t="s">
        <v>5</v>
      </c>
      <c r="H69" t="str">
        <f>TRIM(B69)</f>
        <v>Margaret Wise Brown</v>
      </c>
      <c r="I69" t="str">
        <f t="shared" si="3"/>
        <v>Excellent</v>
      </c>
      <c r="J69" s="1" t="str">
        <f t="shared" si="4"/>
        <v>Affordable</v>
      </c>
      <c r="K69" s="1" t="str">
        <f t="shared" si="5"/>
        <v>Low</v>
      </c>
    </row>
    <row r="70" spans="1:11" ht="13.8" x14ac:dyDescent="0.25">
      <c r="A70" t="s">
        <v>188</v>
      </c>
      <c r="B70" t="s">
        <v>189</v>
      </c>
      <c r="C70" s="2">
        <v>4.8</v>
      </c>
      <c r="D70" s="3">
        <v>8837</v>
      </c>
      <c r="E70" s="3">
        <v>5</v>
      </c>
      <c r="F70" s="1">
        <v>2019</v>
      </c>
      <c r="G70" t="s">
        <v>5</v>
      </c>
      <c r="H70" t="str">
        <f>TRIM(B70)</f>
        <v>Margaret Wise Brown</v>
      </c>
      <c r="I70" t="str">
        <f t="shared" si="3"/>
        <v>Excellent</v>
      </c>
      <c r="J70" s="1" t="str">
        <f t="shared" si="4"/>
        <v>Affordable</v>
      </c>
      <c r="K70" s="1" t="str">
        <f t="shared" si="5"/>
        <v>Low</v>
      </c>
    </row>
    <row r="71" spans="1:11" ht="13.8" x14ac:dyDescent="0.25">
      <c r="A71" t="s">
        <v>256</v>
      </c>
      <c r="B71" t="s">
        <v>252</v>
      </c>
      <c r="C71" s="2">
        <v>4.5999999999999996</v>
      </c>
      <c r="D71" s="3">
        <v>5235</v>
      </c>
      <c r="E71" s="3">
        <v>5</v>
      </c>
      <c r="F71" s="1">
        <v>2015</v>
      </c>
      <c r="G71" t="s">
        <v>2</v>
      </c>
      <c r="H71" t="str">
        <f>TRIM(B71)</f>
        <v>Bill O'Reilly</v>
      </c>
      <c r="I71" t="str">
        <f t="shared" si="3"/>
        <v>Excellent</v>
      </c>
      <c r="J71" s="1" t="str">
        <f t="shared" si="4"/>
        <v>Affordable</v>
      </c>
      <c r="K71" s="1" t="str">
        <f t="shared" si="5"/>
        <v>Low</v>
      </c>
    </row>
    <row r="72" spans="1:11" ht="13.8" x14ac:dyDescent="0.25">
      <c r="A72" t="s">
        <v>285</v>
      </c>
      <c r="B72" t="s">
        <v>286</v>
      </c>
      <c r="C72" s="2">
        <v>4.8</v>
      </c>
      <c r="D72" s="3">
        <v>18613</v>
      </c>
      <c r="E72" s="3">
        <v>5</v>
      </c>
      <c r="F72" s="1">
        <v>2014</v>
      </c>
      <c r="G72" t="s">
        <v>5</v>
      </c>
      <c r="H72" t="str">
        <f>TRIM(B72)</f>
        <v>Robert Munsch</v>
      </c>
      <c r="I72" t="str">
        <f t="shared" si="3"/>
        <v>Excellent</v>
      </c>
      <c r="J72" s="1" t="str">
        <f t="shared" si="4"/>
        <v>Affordable</v>
      </c>
      <c r="K72" s="1" t="str">
        <f t="shared" si="5"/>
        <v>High</v>
      </c>
    </row>
    <row r="73" spans="1:11" ht="13.8" x14ac:dyDescent="0.25">
      <c r="A73" t="s">
        <v>285</v>
      </c>
      <c r="B73" t="s">
        <v>286</v>
      </c>
      <c r="C73" s="2">
        <v>4.8</v>
      </c>
      <c r="D73" s="3">
        <v>18613</v>
      </c>
      <c r="E73" s="3">
        <v>5</v>
      </c>
      <c r="F73" s="1">
        <v>2015</v>
      </c>
      <c r="G73" t="s">
        <v>5</v>
      </c>
      <c r="H73" t="str">
        <f>TRIM(B73)</f>
        <v>Robert Munsch</v>
      </c>
      <c r="I73" t="str">
        <f t="shared" si="3"/>
        <v>Excellent</v>
      </c>
      <c r="J73" s="1" t="str">
        <f t="shared" si="4"/>
        <v>Affordable</v>
      </c>
      <c r="K73" s="1" t="str">
        <f t="shared" si="5"/>
        <v>High</v>
      </c>
    </row>
    <row r="74" spans="1:11" ht="13.8" x14ac:dyDescent="0.25">
      <c r="A74" t="s">
        <v>323</v>
      </c>
      <c r="B74" t="s">
        <v>324</v>
      </c>
      <c r="C74" s="2">
        <v>4.7</v>
      </c>
      <c r="D74" s="3">
        <v>10820</v>
      </c>
      <c r="E74" s="3">
        <v>5</v>
      </c>
      <c r="F74" s="1">
        <v>2018</v>
      </c>
      <c r="G74" t="s">
        <v>2</v>
      </c>
      <c r="H74" t="str">
        <f>TRIM(B74)</f>
        <v>Naomi Kleinberg</v>
      </c>
      <c r="I74" t="str">
        <f t="shared" si="3"/>
        <v>Excellent</v>
      </c>
      <c r="J74" s="1" t="str">
        <f t="shared" si="4"/>
        <v>Affordable</v>
      </c>
      <c r="K74" s="1" t="str">
        <f t="shared" si="5"/>
        <v>High</v>
      </c>
    </row>
    <row r="75" spans="1:11" ht="13.8" x14ac:dyDescent="0.25">
      <c r="A75" t="s">
        <v>323</v>
      </c>
      <c r="B75" t="s">
        <v>324</v>
      </c>
      <c r="C75" s="2">
        <v>4.7</v>
      </c>
      <c r="D75" s="3">
        <v>10820</v>
      </c>
      <c r="E75" s="3">
        <v>5</v>
      </c>
      <c r="F75" s="1">
        <v>2019</v>
      </c>
      <c r="G75" t="s">
        <v>2</v>
      </c>
      <c r="H75" t="str">
        <f>TRIM(B75)</f>
        <v>Naomi Kleinberg</v>
      </c>
      <c r="I75" t="str">
        <f t="shared" si="3"/>
        <v>Excellent</v>
      </c>
      <c r="J75" s="1" t="str">
        <f t="shared" si="4"/>
        <v>Affordable</v>
      </c>
      <c r="K75" s="1" t="str">
        <f t="shared" si="5"/>
        <v>High</v>
      </c>
    </row>
    <row r="76" spans="1:11" ht="13.8" x14ac:dyDescent="0.25">
      <c r="A76" t="s">
        <v>435</v>
      </c>
      <c r="B76" t="s">
        <v>436</v>
      </c>
      <c r="C76" s="2">
        <v>4.8</v>
      </c>
      <c r="D76" s="3">
        <v>5249</v>
      </c>
      <c r="E76" s="3">
        <v>5</v>
      </c>
      <c r="F76" s="1">
        <v>2016</v>
      </c>
      <c r="G76" t="s">
        <v>5</v>
      </c>
      <c r="H76" t="str">
        <f>TRIM(B76)</f>
        <v>Sandra Boynton</v>
      </c>
      <c r="I76" t="str">
        <f t="shared" si="3"/>
        <v>Excellent</v>
      </c>
      <c r="J76" s="1" t="str">
        <f t="shared" si="4"/>
        <v>Affordable</v>
      </c>
      <c r="K76" s="1" t="str">
        <f t="shared" si="5"/>
        <v>Low</v>
      </c>
    </row>
    <row r="77" spans="1:11" ht="13.8" x14ac:dyDescent="0.25">
      <c r="A77" t="s">
        <v>435</v>
      </c>
      <c r="B77" t="s">
        <v>436</v>
      </c>
      <c r="C77" s="2">
        <v>4.8</v>
      </c>
      <c r="D77" s="3">
        <v>5249</v>
      </c>
      <c r="E77" s="3">
        <v>5</v>
      </c>
      <c r="F77" s="1">
        <v>2017</v>
      </c>
      <c r="G77" t="s">
        <v>5</v>
      </c>
      <c r="H77" t="str">
        <f>TRIM(B77)</f>
        <v>Sandra Boynton</v>
      </c>
      <c r="I77" t="str">
        <f t="shared" si="3"/>
        <v>Excellent</v>
      </c>
      <c r="J77" s="1" t="str">
        <f t="shared" si="4"/>
        <v>Affordable</v>
      </c>
      <c r="K77" s="1" t="str">
        <f t="shared" si="5"/>
        <v>Low</v>
      </c>
    </row>
    <row r="78" spans="1:11" ht="13.8" x14ac:dyDescent="0.25">
      <c r="A78" t="s">
        <v>474</v>
      </c>
      <c r="B78" t="s">
        <v>475</v>
      </c>
      <c r="C78" s="2">
        <v>4.9000000000000004</v>
      </c>
      <c r="D78" s="3">
        <v>7861</v>
      </c>
      <c r="E78" s="3">
        <v>5</v>
      </c>
      <c r="F78" s="1">
        <v>2016</v>
      </c>
      <c r="G78" t="s">
        <v>2</v>
      </c>
      <c r="H78" t="str">
        <f>TRIM(B78)</f>
        <v>Chip Gaines</v>
      </c>
      <c r="I78" t="str">
        <f t="shared" si="3"/>
        <v>Excellent</v>
      </c>
      <c r="J78" s="1" t="str">
        <f t="shared" si="4"/>
        <v>Affordable</v>
      </c>
      <c r="K78" s="1" t="str">
        <f t="shared" si="5"/>
        <v>Low</v>
      </c>
    </row>
    <row r="79" spans="1:11" ht="13.8" x14ac:dyDescent="0.25">
      <c r="A79" t="s">
        <v>498</v>
      </c>
      <c r="B79" t="s">
        <v>499</v>
      </c>
      <c r="C79" s="2">
        <v>4.8</v>
      </c>
      <c r="D79" s="3">
        <v>9784</v>
      </c>
      <c r="E79" s="3">
        <v>5</v>
      </c>
      <c r="F79" s="1">
        <v>2017</v>
      </c>
      <c r="G79" t="s">
        <v>5</v>
      </c>
      <c r="H79" t="str">
        <f>TRIM(B79)</f>
        <v>Deborah Diesen</v>
      </c>
      <c r="I79" t="str">
        <f t="shared" si="3"/>
        <v>Excellent</v>
      </c>
      <c r="J79" s="1" t="str">
        <f t="shared" si="4"/>
        <v>Affordable</v>
      </c>
      <c r="K79" s="1" t="str">
        <f t="shared" si="5"/>
        <v>Low</v>
      </c>
    </row>
    <row r="80" spans="1:11" ht="13.8" x14ac:dyDescent="0.25">
      <c r="A80" t="s">
        <v>498</v>
      </c>
      <c r="B80" t="s">
        <v>499</v>
      </c>
      <c r="C80" s="2">
        <v>4.8</v>
      </c>
      <c r="D80" s="3">
        <v>9784</v>
      </c>
      <c r="E80" s="3">
        <v>5</v>
      </c>
      <c r="F80" s="1">
        <v>2018</v>
      </c>
      <c r="G80" t="s">
        <v>5</v>
      </c>
      <c r="H80" t="str">
        <f>TRIM(B80)</f>
        <v>Deborah Diesen</v>
      </c>
      <c r="I80" t="str">
        <f t="shared" si="3"/>
        <v>Excellent</v>
      </c>
      <c r="J80" s="1" t="str">
        <f t="shared" si="4"/>
        <v>Affordable</v>
      </c>
      <c r="K80" s="1" t="str">
        <f t="shared" si="5"/>
        <v>Low</v>
      </c>
    </row>
    <row r="81" spans="1:11" ht="13.8" x14ac:dyDescent="0.25">
      <c r="A81" t="s">
        <v>528</v>
      </c>
      <c r="B81" t="s">
        <v>529</v>
      </c>
      <c r="C81" s="2">
        <v>4.9000000000000004</v>
      </c>
      <c r="D81" s="3">
        <v>19546</v>
      </c>
      <c r="E81" s="3">
        <v>5</v>
      </c>
      <c r="F81" s="1">
        <v>2013</v>
      </c>
      <c r="G81" t="s">
        <v>5</v>
      </c>
      <c r="H81" t="str">
        <f>TRIM(B81)</f>
        <v>Eric Carle</v>
      </c>
      <c r="I81" t="str">
        <f t="shared" si="3"/>
        <v>Excellent</v>
      </c>
      <c r="J81" s="1" t="str">
        <f t="shared" si="4"/>
        <v>Affordable</v>
      </c>
      <c r="K81" s="1" t="str">
        <f t="shared" si="5"/>
        <v>High</v>
      </c>
    </row>
    <row r="82" spans="1:11" ht="13.8" x14ac:dyDescent="0.25">
      <c r="A82" t="s">
        <v>528</v>
      </c>
      <c r="B82" t="s">
        <v>529</v>
      </c>
      <c r="C82" s="2">
        <v>4.9000000000000004</v>
      </c>
      <c r="D82" s="3">
        <v>19546</v>
      </c>
      <c r="E82" s="3">
        <v>5</v>
      </c>
      <c r="F82" s="1">
        <v>2014</v>
      </c>
      <c r="G82" t="s">
        <v>5</v>
      </c>
      <c r="H82" t="str">
        <f>TRIM(B82)</f>
        <v>Eric Carle</v>
      </c>
      <c r="I82" t="str">
        <f t="shared" si="3"/>
        <v>Excellent</v>
      </c>
      <c r="J82" s="1" t="str">
        <f t="shared" si="4"/>
        <v>Affordable</v>
      </c>
      <c r="K82" s="1" t="str">
        <f t="shared" si="5"/>
        <v>High</v>
      </c>
    </row>
    <row r="83" spans="1:11" ht="13.8" x14ac:dyDescent="0.25">
      <c r="A83" t="s">
        <v>528</v>
      </c>
      <c r="B83" t="s">
        <v>529</v>
      </c>
      <c r="C83" s="2">
        <v>4.9000000000000004</v>
      </c>
      <c r="D83" s="3">
        <v>19546</v>
      </c>
      <c r="E83" s="3">
        <v>5</v>
      </c>
      <c r="F83" s="1">
        <v>2015</v>
      </c>
      <c r="G83" t="s">
        <v>5</v>
      </c>
      <c r="H83" t="str">
        <f>TRIM(B83)</f>
        <v>Eric Carle</v>
      </c>
      <c r="I83" t="str">
        <f t="shared" si="3"/>
        <v>Excellent</v>
      </c>
      <c r="J83" s="1" t="str">
        <f t="shared" si="4"/>
        <v>Affordable</v>
      </c>
      <c r="K83" s="1" t="str">
        <f t="shared" si="5"/>
        <v>High</v>
      </c>
    </row>
    <row r="84" spans="1:11" ht="13.8" x14ac:dyDescent="0.25">
      <c r="A84" t="s">
        <v>528</v>
      </c>
      <c r="B84" t="s">
        <v>529</v>
      </c>
      <c r="C84" s="2">
        <v>4.9000000000000004</v>
      </c>
      <c r="D84" s="3">
        <v>19546</v>
      </c>
      <c r="E84" s="3">
        <v>5</v>
      </c>
      <c r="F84" s="1">
        <v>2016</v>
      </c>
      <c r="G84" t="s">
        <v>5</v>
      </c>
      <c r="H84" t="str">
        <f>TRIM(B84)</f>
        <v>Eric Carle</v>
      </c>
      <c r="I84" t="str">
        <f t="shared" si="3"/>
        <v>Excellent</v>
      </c>
      <c r="J84" s="1" t="str">
        <f t="shared" si="4"/>
        <v>Affordable</v>
      </c>
      <c r="K84" s="1" t="str">
        <f t="shared" si="5"/>
        <v>High</v>
      </c>
    </row>
    <row r="85" spans="1:11" ht="13.8" x14ac:dyDescent="0.25">
      <c r="A85" t="s">
        <v>528</v>
      </c>
      <c r="B85" t="s">
        <v>529</v>
      </c>
      <c r="C85" s="2">
        <v>4.9000000000000004</v>
      </c>
      <c r="D85" s="3">
        <v>19546</v>
      </c>
      <c r="E85" s="3">
        <v>5</v>
      </c>
      <c r="F85" s="1">
        <v>2017</v>
      </c>
      <c r="G85" t="s">
        <v>5</v>
      </c>
      <c r="H85" t="str">
        <f>TRIM(B85)</f>
        <v>Eric Carle</v>
      </c>
      <c r="I85" t="str">
        <f t="shared" si="3"/>
        <v>Excellent</v>
      </c>
      <c r="J85" s="1" t="str">
        <f t="shared" si="4"/>
        <v>Affordable</v>
      </c>
      <c r="K85" s="1" t="str">
        <f t="shared" si="5"/>
        <v>High</v>
      </c>
    </row>
    <row r="86" spans="1:11" ht="13.8" x14ac:dyDescent="0.25">
      <c r="A86" t="s">
        <v>528</v>
      </c>
      <c r="B86" t="s">
        <v>529</v>
      </c>
      <c r="C86" s="2">
        <v>4.9000000000000004</v>
      </c>
      <c r="D86" s="3">
        <v>19546</v>
      </c>
      <c r="E86" s="3">
        <v>5</v>
      </c>
      <c r="F86" s="1">
        <v>2018</v>
      </c>
      <c r="G86" t="s">
        <v>5</v>
      </c>
      <c r="H86" t="str">
        <f>TRIM(B86)</f>
        <v>Eric Carle</v>
      </c>
      <c r="I86" t="str">
        <f t="shared" si="3"/>
        <v>Excellent</v>
      </c>
      <c r="J86" s="1" t="str">
        <f t="shared" si="4"/>
        <v>Affordable</v>
      </c>
      <c r="K86" s="1" t="str">
        <f t="shared" si="5"/>
        <v>High</v>
      </c>
    </row>
    <row r="87" spans="1:11" ht="13.8" x14ac:dyDescent="0.25">
      <c r="A87" t="s">
        <v>528</v>
      </c>
      <c r="B87" t="s">
        <v>529</v>
      </c>
      <c r="C87" s="2">
        <v>4.9000000000000004</v>
      </c>
      <c r="D87" s="3">
        <v>19546</v>
      </c>
      <c r="E87" s="3">
        <v>5</v>
      </c>
      <c r="F87" s="1">
        <v>2019</v>
      </c>
      <c r="G87" t="s">
        <v>5</v>
      </c>
      <c r="H87" t="str">
        <f>TRIM(B87)</f>
        <v>Eric Carle</v>
      </c>
      <c r="I87" t="str">
        <f t="shared" si="3"/>
        <v>Excellent</v>
      </c>
      <c r="J87" s="1" t="str">
        <f t="shared" si="4"/>
        <v>Affordable</v>
      </c>
      <c r="K87" s="1" t="str">
        <f t="shared" si="5"/>
        <v>High</v>
      </c>
    </row>
    <row r="88" spans="1:11" ht="13.8" x14ac:dyDescent="0.25">
      <c r="A88" t="s">
        <v>559</v>
      </c>
      <c r="B88" t="s">
        <v>53</v>
      </c>
      <c r="C88" s="2">
        <v>4.5</v>
      </c>
      <c r="D88" s="3">
        <v>2586</v>
      </c>
      <c r="E88" s="3">
        <v>5</v>
      </c>
      <c r="F88" s="1">
        <v>2014</v>
      </c>
      <c r="G88" t="s">
        <v>5</v>
      </c>
      <c r="H88" t="str">
        <f>TRIM(B88)</f>
        <v>DK</v>
      </c>
      <c r="I88" t="str">
        <f t="shared" si="3"/>
        <v>Excellent</v>
      </c>
      <c r="J88" s="1" t="str">
        <f t="shared" si="4"/>
        <v>Affordable</v>
      </c>
      <c r="K88" s="1" t="str">
        <f t="shared" si="5"/>
        <v>Low</v>
      </c>
    </row>
    <row r="89" spans="1:11" ht="13.8" x14ac:dyDescent="0.25">
      <c r="A89" t="s">
        <v>8</v>
      </c>
      <c r="B89" t="s">
        <v>9</v>
      </c>
      <c r="C89" s="2">
        <v>4.7</v>
      </c>
      <c r="D89" s="3">
        <v>21424</v>
      </c>
      <c r="E89" s="3">
        <v>6</v>
      </c>
      <c r="F89" s="1">
        <v>2017</v>
      </c>
      <c r="G89" t="s">
        <v>5</v>
      </c>
      <c r="H89" t="str">
        <f>TRIM(B89)</f>
        <v>George Orwell</v>
      </c>
      <c r="I89" t="str">
        <f t="shared" si="3"/>
        <v>Excellent</v>
      </c>
      <c r="J89" s="1" t="str">
        <f t="shared" si="4"/>
        <v>Affordable</v>
      </c>
      <c r="K89" s="1" t="str">
        <f t="shared" si="5"/>
        <v>High</v>
      </c>
    </row>
    <row r="90" spans="1:11" ht="13.8" x14ac:dyDescent="0.25">
      <c r="A90" t="s">
        <v>31</v>
      </c>
      <c r="B90" t="s">
        <v>32</v>
      </c>
      <c r="C90" s="2">
        <v>4.5999999999999996</v>
      </c>
      <c r="D90" s="3">
        <v>2925</v>
      </c>
      <c r="E90" s="3">
        <v>6</v>
      </c>
      <c r="F90" s="1">
        <v>2015</v>
      </c>
      <c r="G90" t="s">
        <v>2</v>
      </c>
      <c r="H90" t="str">
        <f>TRIM(B90)</f>
        <v>Blue Star Coloring</v>
      </c>
      <c r="I90" t="str">
        <f t="shared" si="3"/>
        <v>Excellent</v>
      </c>
      <c r="J90" s="1" t="str">
        <f t="shared" si="4"/>
        <v>Affordable</v>
      </c>
      <c r="K90" s="1" t="str">
        <f t="shared" si="5"/>
        <v>Low</v>
      </c>
    </row>
    <row r="91" spans="1:11" ht="13.8" x14ac:dyDescent="0.25">
      <c r="A91" t="s">
        <v>33</v>
      </c>
      <c r="B91" t="s">
        <v>32</v>
      </c>
      <c r="C91" s="2">
        <v>4.4000000000000004</v>
      </c>
      <c r="D91" s="3">
        <v>2951</v>
      </c>
      <c r="E91" s="3">
        <v>6</v>
      </c>
      <c r="F91" s="1">
        <v>2015</v>
      </c>
      <c r="G91" t="s">
        <v>2</v>
      </c>
      <c r="H91" t="str">
        <f>TRIM(B91)</f>
        <v>Blue Star Coloring</v>
      </c>
      <c r="I91" t="str">
        <f t="shared" si="3"/>
        <v>Average</v>
      </c>
      <c r="J91" s="1" t="str">
        <f t="shared" si="4"/>
        <v>Affordable</v>
      </c>
      <c r="K91" s="1" t="str">
        <f t="shared" si="5"/>
        <v>Low</v>
      </c>
    </row>
    <row r="92" spans="1:11" ht="13.8" x14ac:dyDescent="0.25">
      <c r="A92" t="s">
        <v>115</v>
      </c>
      <c r="B92" t="s">
        <v>41</v>
      </c>
      <c r="C92" s="2">
        <v>4.5</v>
      </c>
      <c r="D92" s="3">
        <v>17684</v>
      </c>
      <c r="E92" s="3">
        <v>6</v>
      </c>
      <c r="F92" s="1">
        <v>2014</v>
      </c>
      <c r="G92" t="s">
        <v>5</v>
      </c>
      <c r="H92" t="str">
        <f>TRIM(B92)</f>
        <v>Veronica Roth</v>
      </c>
      <c r="I92" t="str">
        <f t="shared" si="3"/>
        <v>Excellent</v>
      </c>
      <c r="J92" s="1" t="str">
        <f t="shared" si="4"/>
        <v>Affordable</v>
      </c>
      <c r="K92" s="1" t="str">
        <f t="shared" si="5"/>
        <v>High</v>
      </c>
    </row>
    <row r="93" spans="1:11" ht="13.8" x14ac:dyDescent="0.25">
      <c r="A93" t="s">
        <v>116</v>
      </c>
      <c r="B93" t="s">
        <v>117</v>
      </c>
      <c r="C93" s="2">
        <v>4.5999999999999996</v>
      </c>
      <c r="D93" s="3">
        <v>37</v>
      </c>
      <c r="E93" s="3">
        <v>6</v>
      </c>
      <c r="F93" s="1">
        <v>2009</v>
      </c>
      <c r="G93" t="s">
        <v>2</v>
      </c>
      <c r="H93" t="str">
        <f>TRIM(B93)</f>
        <v>Zhi Gang Sha</v>
      </c>
      <c r="I93" t="str">
        <f t="shared" si="3"/>
        <v>Excellent</v>
      </c>
      <c r="J93" s="1" t="str">
        <f t="shared" si="4"/>
        <v>Affordable</v>
      </c>
      <c r="K93" s="1" t="str">
        <f t="shared" si="5"/>
        <v>Low</v>
      </c>
    </row>
    <row r="94" spans="1:11" ht="13.8" x14ac:dyDescent="0.25">
      <c r="A94" t="s">
        <v>120</v>
      </c>
      <c r="B94" t="s">
        <v>121</v>
      </c>
      <c r="C94" s="2">
        <v>4.9000000000000004</v>
      </c>
      <c r="D94" s="3">
        <v>5062</v>
      </c>
      <c r="E94" s="3">
        <v>6</v>
      </c>
      <c r="F94" s="1">
        <v>2018</v>
      </c>
      <c r="G94" t="s">
        <v>5</v>
      </c>
      <c r="H94" t="str">
        <f>TRIM(B94)</f>
        <v>Dav Pilkey</v>
      </c>
      <c r="I94" t="str">
        <f t="shared" si="3"/>
        <v>Excellent</v>
      </c>
      <c r="J94" s="1" t="str">
        <f t="shared" si="4"/>
        <v>Affordable</v>
      </c>
      <c r="K94" s="1" t="str">
        <f t="shared" si="5"/>
        <v>Low</v>
      </c>
    </row>
    <row r="95" spans="1:11" ht="13.8" x14ac:dyDescent="0.25">
      <c r="A95" t="s">
        <v>126</v>
      </c>
      <c r="B95" t="s">
        <v>121</v>
      </c>
      <c r="C95" s="2">
        <v>4.9000000000000004</v>
      </c>
      <c r="D95" s="3">
        <v>5470</v>
      </c>
      <c r="E95" s="3">
        <v>6</v>
      </c>
      <c r="F95" s="1">
        <v>2018</v>
      </c>
      <c r="G95" t="s">
        <v>5</v>
      </c>
      <c r="H95" t="str">
        <f>TRIM(B95)</f>
        <v>Dav Pilkey</v>
      </c>
      <c r="I95" t="str">
        <f t="shared" si="3"/>
        <v>Excellent</v>
      </c>
      <c r="J95" s="1" t="str">
        <f t="shared" si="4"/>
        <v>Affordable</v>
      </c>
      <c r="K95" s="1" t="str">
        <f t="shared" si="5"/>
        <v>Low</v>
      </c>
    </row>
    <row r="96" spans="1:11" ht="13.8" x14ac:dyDescent="0.25">
      <c r="A96" t="s">
        <v>154</v>
      </c>
      <c r="B96" t="s">
        <v>155</v>
      </c>
      <c r="C96" s="2">
        <v>4.2</v>
      </c>
      <c r="D96" s="3">
        <v>13677</v>
      </c>
      <c r="E96" s="3">
        <v>6</v>
      </c>
      <c r="F96" s="1">
        <v>2018</v>
      </c>
      <c r="G96" t="s">
        <v>2</v>
      </c>
      <c r="H96" t="str">
        <f>TRIM(B96)</f>
        <v>Michael Wolff</v>
      </c>
      <c r="I96" t="str">
        <f t="shared" si="3"/>
        <v>Average</v>
      </c>
      <c r="J96" s="1" t="str">
        <f t="shared" si="4"/>
        <v>Affordable</v>
      </c>
      <c r="K96" s="1" t="str">
        <f t="shared" si="5"/>
        <v>High</v>
      </c>
    </row>
    <row r="97" spans="1:11" ht="13.8" x14ac:dyDescent="0.25">
      <c r="A97" t="s">
        <v>180</v>
      </c>
      <c r="B97" t="s">
        <v>181</v>
      </c>
      <c r="C97" s="2">
        <v>4.5999999999999996</v>
      </c>
      <c r="D97" s="3">
        <v>1636</v>
      </c>
      <c r="E97" s="3">
        <v>6</v>
      </c>
      <c r="F97" s="1">
        <v>2009</v>
      </c>
      <c r="G97" t="s">
        <v>2</v>
      </c>
      <c r="H97" t="str">
        <f>TRIM(B97)</f>
        <v>Sarah Palin</v>
      </c>
      <c r="I97" t="str">
        <f t="shared" si="3"/>
        <v>Excellent</v>
      </c>
      <c r="J97" s="1" t="str">
        <f t="shared" si="4"/>
        <v>Affordable</v>
      </c>
      <c r="K97" s="1" t="str">
        <f t="shared" si="5"/>
        <v>Low</v>
      </c>
    </row>
    <row r="98" spans="1:11" ht="13.8" x14ac:dyDescent="0.25">
      <c r="A98" t="s">
        <v>184</v>
      </c>
      <c r="B98" t="s">
        <v>185</v>
      </c>
      <c r="C98" s="2">
        <v>4.5999999999999996</v>
      </c>
      <c r="D98" s="3">
        <v>10141</v>
      </c>
      <c r="E98" s="3">
        <v>6</v>
      </c>
      <c r="F98" s="1">
        <v>2019</v>
      </c>
      <c r="G98" t="s">
        <v>2</v>
      </c>
      <c r="H98" t="str">
        <f>TRIM(B98)</f>
        <v>Pretty Simple Press</v>
      </c>
      <c r="I98" t="str">
        <f t="shared" si="3"/>
        <v>Excellent</v>
      </c>
      <c r="J98" s="1" t="str">
        <f t="shared" si="4"/>
        <v>Affordable</v>
      </c>
      <c r="K98" s="1" t="str">
        <f t="shared" si="5"/>
        <v>High</v>
      </c>
    </row>
    <row r="99" spans="1:11" ht="13.8" x14ac:dyDescent="0.25">
      <c r="A99" t="s">
        <v>255</v>
      </c>
      <c r="B99" t="s">
        <v>252</v>
      </c>
      <c r="C99" s="2">
        <v>4.5999999999999996</v>
      </c>
      <c r="D99" s="3">
        <v>10927</v>
      </c>
      <c r="E99" s="3">
        <v>6</v>
      </c>
      <c r="F99" s="1">
        <v>2014</v>
      </c>
      <c r="G99" t="s">
        <v>2</v>
      </c>
      <c r="H99" t="str">
        <f>TRIM(B99)</f>
        <v>Bill O'Reilly</v>
      </c>
      <c r="I99" t="str">
        <f t="shared" si="3"/>
        <v>Excellent</v>
      </c>
      <c r="J99" s="1" t="str">
        <f t="shared" si="4"/>
        <v>Affordable</v>
      </c>
      <c r="K99" s="1" t="str">
        <f t="shared" si="5"/>
        <v>High</v>
      </c>
    </row>
    <row r="100" spans="1:11" ht="13.8" x14ac:dyDescent="0.25">
      <c r="A100" t="s">
        <v>257</v>
      </c>
      <c r="B100" t="s">
        <v>252</v>
      </c>
      <c r="C100" s="2">
        <v>4.8</v>
      </c>
      <c r="D100" s="3">
        <v>8916</v>
      </c>
      <c r="E100" s="3">
        <v>6</v>
      </c>
      <c r="F100" s="1">
        <v>2016</v>
      </c>
      <c r="G100" t="s">
        <v>2</v>
      </c>
      <c r="H100" t="str">
        <f>TRIM(B100)</f>
        <v>Bill O'Reilly</v>
      </c>
      <c r="I100" t="str">
        <f t="shared" si="3"/>
        <v>Excellent</v>
      </c>
      <c r="J100" s="1" t="str">
        <f t="shared" si="4"/>
        <v>Affordable</v>
      </c>
      <c r="K100" s="1" t="str">
        <f t="shared" si="5"/>
        <v>Low</v>
      </c>
    </row>
    <row r="101" spans="1:11" ht="13.8" x14ac:dyDescent="0.25">
      <c r="A101" t="s">
        <v>269</v>
      </c>
      <c r="B101" t="s">
        <v>270</v>
      </c>
      <c r="C101" s="2">
        <v>4.4000000000000004</v>
      </c>
      <c r="D101" s="3">
        <v>7550</v>
      </c>
      <c r="E101" s="3">
        <v>6</v>
      </c>
      <c r="F101" s="1">
        <v>2018</v>
      </c>
      <c r="G101" t="s">
        <v>2</v>
      </c>
      <c r="H101" t="str">
        <f>TRIM(B101)</f>
        <v>Paper Peony Press</v>
      </c>
      <c r="I101" t="str">
        <f t="shared" si="3"/>
        <v>Average</v>
      </c>
      <c r="J101" s="1" t="str">
        <f t="shared" si="4"/>
        <v>Affordable</v>
      </c>
      <c r="K101" s="1" t="str">
        <f t="shared" si="5"/>
        <v>Low</v>
      </c>
    </row>
    <row r="102" spans="1:11" ht="13.8" x14ac:dyDescent="0.25">
      <c r="A102" t="s">
        <v>295</v>
      </c>
      <c r="B102" t="s">
        <v>296</v>
      </c>
      <c r="C102" s="2">
        <v>4.4000000000000004</v>
      </c>
      <c r="D102" s="3">
        <v>3113</v>
      </c>
      <c r="E102" s="3">
        <v>6</v>
      </c>
      <c r="F102" s="1">
        <v>2017</v>
      </c>
      <c r="G102" t="s">
        <v>2</v>
      </c>
      <c r="H102" t="str">
        <f>TRIM(B102)</f>
        <v>Adam Gasiewski</v>
      </c>
      <c r="I102" t="str">
        <f t="shared" si="3"/>
        <v>Average</v>
      </c>
      <c r="J102" s="1" t="str">
        <f t="shared" si="4"/>
        <v>Affordable</v>
      </c>
      <c r="K102" s="1" t="str">
        <f t="shared" si="5"/>
        <v>Low</v>
      </c>
    </row>
    <row r="103" spans="1:11" ht="13.8" x14ac:dyDescent="0.25">
      <c r="A103" t="s">
        <v>349</v>
      </c>
      <c r="B103" t="s">
        <v>350</v>
      </c>
      <c r="C103" s="2">
        <v>4.8</v>
      </c>
      <c r="D103" s="3">
        <v>23047</v>
      </c>
      <c r="E103" s="3">
        <v>6</v>
      </c>
      <c r="F103" s="1">
        <v>2018</v>
      </c>
      <c r="G103" t="s">
        <v>2</v>
      </c>
      <c r="H103" t="str">
        <f>TRIM(B103)</f>
        <v>School Zone</v>
      </c>
      <c r="I103" t="str">
        <f t="shared" si="3"/>
        <v>Excellent</v>
      </c>
      <c r="J103" s="1" t="str">
        <f t="shared" si="4"/>
        <v>Affordable</v>
      </c>
      <c r="K103" s="1" t="str">
        <f t="shared" si="5"/>
        <v>High</v>
      </c>
    </row>
    <row r="104" spans="1:11" ht="13.8" x14ac:dyDescent="0.25">
      <c r="A104" t="s">
        <v>349</v>
      </c>
      <c r="B104" t="s">
        <v>350</v>
      </c>
      <c r="C104" s="2">
        <v>4.8</v>
      </c>
      <c r="D104" s="3">
        <v>23047</v>
      </c>
      <c r="E104" s="3">
        <v>6</v>
      </c>
      <c r="F104" s="1">
        <v>2019</v>
      </c>
      <c r="G104" t="s">
        <v>2</v>
      </c>
      <c r="H104" t="str">
        <f>TRIM(B104)</f>
        <v>School Zone</v>
      </c>
      <c r="I104" t="str">
        <f t="shared" si="3"/>
        <v>Excellent</v>
      </c>
      <c r="J104" s="1" t="str">
        <f t="shared" si="4"/>
        <v>Affordable</v>
      </c>
      <c r="K104" s="1" t="str">
        <f t="shared" si="5"/>
        <v>High</v>
      </c>
    </row>
    <row r="105" spans="1:11" ht="13.8" x14ac:dyDescent="0.25">
      <c r="A105" t="s">
        <v>356</v>
      </c>
      <c r="B105" t="s">
        <v>357</v>
      </c>
      <c r="C105" s="2">
        <v>4.0999999999999996</v>
      </c>
      <c r="D105" s="3">
        <v>2272</v>
      </c>
      <c r="E105" s="3">
        <v>6</v>
      </c>
      <c r="F105" s="1">
        <v>2013</v>
      </c>
      <c r="G105" t="s">
        <v>2</v>
      </c>
      <c r="H105" t="str">
        <f>TRIM(B105)</f>
        <v>Ian K. Smith M.D.</v>
      </c>
      <c r="I105" t="str">
        <f t="shared" si="3"/>
        <v>Average</v>
      </c>
      <c r="J105" s="1" t="str">
        <f t="shared" si="4"/>
        <v>Affordable</v>
      </c>
      <c r="K105" s="1" t="str">
        <f t="shared" si="5"/>
        <v>Low</v>
      </c>
    </row>
    <row r="106" spans="1:11" ht="13.8" x14ac:dyDescent="0.25">
      <c r="A106" t="s">
        <v>361</v>
      </c>
      <c r="B106" t="s">
        <v>362</v>
      </c>
      <c r="C106" s="2">
        <v>4.9000000000000004</v>
      </c>
      <c r="D106" s="3">
        <v>9382</v>
      </c>
      <c r="E106" s="3">
        <v>6</v>
      </c>
      <c r="F106" s="1">
        <v>2019</v>
      </c>
      <c r="G106" t="s">
        <v>5</v>
      </c>
      <c r="H106" t="str">
        <f>TRIM(B106)</f>
        <v>Nathan W. Pyle</v>
      </c>
      <c r="I106" t="str">
        <f t="shared" si="3"/>
        <v>Excellent</v>
      </c>
      <c r="J106" s="1" t="str">
        <f t="shared" si="4"/>
        <v>Affordable</v>
      </c>
      <c r="K106" s="1" t="str">
        <f t="shared" si="5"/>
        <v>Low</v>
      </c>
    </row>
    <row r="107" spans="1:11" ht="13.8" x14ac:dyDescent="0.25">
      <c r="A107" t="s">
        <v>399</v>
      </c>
      <c r="B107" t="s">
        <v>400</v>
      </c>
      <c r="C107" s="2">
        <v>4.5999999999999996</v>
      </c>
      <c r="D107" s="3">
        <v>23148</v>
      </c>
      <c r="E107" s="3">
        <v>6</v>
      </c>
      <c r="F107" s="1">
        <v>2013</v>
      </c>
      <c r="G107" t="s">
        <v>5</v>
      </c>
      <c r="H107" t="str">
        <f>TRIM(B107)</f>
        <v>Markus Zusak</v>
      </c>
      <c r="I107" t="str">
        <f t="shared" si="3"/>
        <v>Excellent</v>
      </c>
      <c r="J107" s="1" t="str">
        <f t="shared" si="4"/>
        <v>Affordable</v>
      </c>
      <c r="K107" s="1" t="str">
        <f t="shared" si="5"/>
        <v>High</v>
      </c>
    </row>
    <row r="108" spans="1:11" ht="13.8" x14ac:dyDescent="0.25">
      <c r="A108" t="s">
        <v>399</v>
      </c>
      <c r="B108" t="s">
        <v>400</v>
      </c>
      <c r="C108" s="2">
        <v>4.5999999999999996</v>
      </c>
      <c r="D108" s="3">
        <v>23148</v>
      </c>
      <c r="E108" s="3">
        <v>6</v>
      </c>
      <c r="F108" s="1">
        <v>2014</v>
      </c>
      <c r="G108" t="s">
        <v>5</v>
      </c>
      <c r="H108" t="str">
        <f>TRIM(B108)</f>
        <v>Markus Zusak</v>
      </c>
      <c r="I108" t="str">
        <f t="shared" si="3"/>
        <v>Excellent</v>
      </c>
      <c r="J108" s="1" t="str">
        <f t="shared" si="4"/>
        <v>Affordable</v>
      </c>
      <c r="K108" s="1" t="str">
        <f t="shared" si="5"/>
        <v>High</v>
      </c>
    </row>
    <row r="109" spans="1:11" ht="13.8" x14ac:dyDescent="0.25">
      <c r="A109" t="s">
        <v>408</v>
      </c>
      <c r="B109" t="s">
        <v>409</v>
      </c>
      <c r="C109" s="2">
        <v>4.3</v>
      </c>
      <c r="D109" s="3">
        <v>13061</v>
      </c>
      <c r="E109" s="3">
        <v>6</v>
      </c>
      <c r="F109" s="1">
        <v>2018</v>
      </c>
      <c r="G109" t="s">
        <v>2</v>
      </c>
      <c r="H109" t="str">
        <f>TRIM(B109)</f>
        <v>Amy Ramos</v>
      </c>
      <c r="I109" t="str">
        <f t="shared" si="3"/>
        <v>Average</v>
      </c>
      <c r="J109" s="1" t="str">
        <f t="shared" si="4"/>
        <v>Affordable</v>
      </c>
      <c r="K109" s="1" t="str">
        <f t="shared" si="5"/>
        <v>High</v>
      </c>
    </row>
    <row r="110" spans="1:11" ht="13.8" x14ac:dyDescent="0.25">
      <c r="A110" t="s">
        <v>408</v>
      </c>
      <c r="B110" t="s">
        <v>409</v>
      </c>
      <c r="C110" s="2">
        <v>4.3</v>
      </c>
      <c r="D110" s="3">
        <v>13061</v>
      </c>
      <c r="E110" s="3">
        <v>6</v>
      </c>
      <c r="F110" s="1">
        <v>2019</v>
      </c>
      <c r="G110" t="s">
        <v>2</v>
      </c>
      <c r="H110" t="str">
        <f>TRIM(B110)</f>
        <v>Amy Ramos</v>
      </c>
      <c r="I110" t="str">
        <f t="shared" si="3"/>
        <v>Average</v>
      </c>
      <c r="J110" s="1" t="str">
        <f t="shared" si="4"/>
        <v>Affordable</v>
      </c>
      <c r="K110" s="1" t="str">
        <f t="shared" si="5"/>
        <v>High</v>
      </c>
    </row>
    <row r="111" spans="1:11" ht="13.8" x14ac:dyDescent="0.25">
      <c r="A111" t="s">
        <v>422</v>
      </c>
      <c r="B111" t="s">
        <v>423</v>
      </c>
      <c r="C111" s="2">
        <v>4.5999999999999996</v>
      </c>
      <c r="D111" s="3">
        <v>3207</v>
      </c>
      <c r="E111" s="3">
        <v>6</v>
      </c>
      <c r="F111" s="1">
        <v>2009</v>
      </c>
      <c r="G111" t="s">
        <v>2</v>
      </c>
      <c r="H111" t="str">
        <f>TRIM(B111)</f>
        <v>Patrick Lencioni</v>
      </c>
      <c r="I111" t="str">
        <f t="shared" si="3"/>
        <v>Excellent</v>
      </c>
      <c r="J111" s="1" t="str">
        <f t="shared" si="4"/>
        <v>Affordable</v>
      </c>
      <c r="K111" s="1" t="str">
        <f t="shared" si="5"/>
        <v>Low</v>
      </c>
    </row>
    <row r="112" spans="1:11" ht="13.8" x14ac:dyDescent="0.25">
      <c r="A112" t="s">
        <v>422</v>
      </c>
      <c r="B112" t="s">
        <v>423</v>
      </c>
      <c r="C112" s="2">
        <v>4.5999999999999996</v>
      </c>
      <c r="D112" s="3">
        <v>3207</v>
      </c>
      <c r="E112" s="3">
        <v>6</v>
      </c>
      <c r="F112" s="1">
        <v>2010</v>
      </c>
      <c r="G112" t="s">
        <v>2</v>
      </c>
      <c r="H112" t="str">
        <f>TRIM(B112)</f>
        <v>Patrick Lencioni</v>
      </c>
      <c r="I112" t="str">
        <f t="shared" si="3"/>
        <v>Excellent</v>
      </c>
      <c r="J112" s="1" t="str">
        <f t="shared" si="4"/>
        <v>Affordable</v>
      </c>
      <c r="K112" s="1" t="str">
        <f t="shared" si="5"/>
        <v>Low</v>
      </c>
    </row>
    <row r="113" spans="1:11" ht="13.8" x14ac:dyDescent="0.25">
      <c r="A113" t="s">
        <v>422</v>
      </c>
      <c r="B113" t="s">
        <v>423</v>
      </c>
      <c r="C113" s="2">
        <v>4.5999999999999996</v>
      </c>
      <c r="D113" s="3">
        <v>3207</v>
      </c>
      <c r="E113" s="3">
        <v>6</v>
      </c>
      <c r="F113" s="1">
        <v>2011</v>
      </c>
      <c r="G113" t="s">
        <v>2</v>
      </c>
      <c r="H113" t="str">
        <f>TRIM(B113)</f>
        <v>Patrick Lencioni</v>
      </c>
      <c r="I113" t="str">
        <f t="shared" si="3"/>
        <v>Excellent</v>
      </c>
      <c r="J113" s="1" t="str">
        <f t="shared" si="4"/>
        <v>Affordable</v>
      </c>
      <c r="K113" s="1" t="str">
        <f t="shared" si="5"/>
        <v>Low</v>
      </c>
    </row>
    <row r="114" spans="1:11" ht="13.8" x14ac:dyDescent="0.25">
      <c r="A114" t="s">
        <v>422</v>
      </c>
      <c r="B114" t="s">
        <v>423</v>
      </c>
      <c r="C114" s="2">
        <v>4.5999999999999996</v>
      </c>
      <c r="D114" s="3">
        <v>3207</v>
      </c>
      <c r="E114" s="3">
        <v>6</v>
      </c>
      <c r="F114" s="1">
        <v>2012</v>
      </c>
      <c r="G114" t="s">
        <v>2</v>
      </c>
      <c r="H114" t="str">
        <f>TRIM(B114)</f>
        <v>Patrick Lencioni</v>
      </c>
      <c r="I114" t="str">
        <f t="shared" si="3"/>
        <v>Excellent</v>
      </c>
      <c r="J114" s="1" t="str">
        <f t="shared" si="4"/>
        <v>Affordable</v>
      </c>
      <c r="K114" s="1" t="str">
        <f t="shared" si="5"/>
        <v>Low</v>
      </c>
    </row>
    <row r="115" spans="1:11" ht="13.8" x14ac:dyDescent="0.25">
      <c r="A115" t="s">
        <v>422</v>
      </c>
      <c r="B115" t="s">
        <v>423</v>
      </c>
      <c r="C115" s="2">
        <v>4.5999999999999996</v>
      </c>
      <c r="D115" s="3">
        <v>3207</v>
      </c>
      <c r="E115" s="3">
        <v>6</v>
      </c>
      <c r="F115" s="1">
        <v>2013</v>
      </c>
      <c r="G115" t="s">
        <v>2</v>
      </c>
      <c r="H115" t="str">
        <f>TRIM(B115)</f>
        <v>Patrick Lencioni</v>
      </c>
      <c r="I115" t="str">
        <f t="shared" si="3"/>
        <v>Excellent</v>
      </c>
      <c r="J115" s="1" t="str">
        <f t="shared" si="4"/>
        <v>Affordable</v>
      </c>
      <c r="K115" s="1" t="str">
        <f t="shared" si="5"/>
        <v>Low</v>
      </c>
    </row>
    <row r="116" spans="1:11" ht="13.8" x14ac:dyDescent="0.25">
      <c r="A116" t="s">
        <v>425</v>
      </c>
      <c r="B116" t="s">
        <v>426</v>
      </c>
      <c r="C116" s="2">
        <v>4.7</v>
      </c>
      <c r="D116" s="3">
        <v>23308</v>
      </c>
      <c r="E116" s="3">
        <v>6</v>
      </c>
      <c r="F116" s="1">
        <v>2013</v>
      </c>
      <c r="G116" t="s">
        <v>2</v>
      </c>
      <c r="H116" t="str">
        <f>TRIM(B116)</f>
        <v>Don Miguel Ruiz</v>
      </c>
      <c r="I116" t="str">
        <f t="shared" si="3"/>
        <v>Excellent</v>
      </c>
      <c r="J116" s="1" t="str">
        <f t="shared" si="4"/>
        <v>Affordable</v>
      </c>
      <c r="K116" s="1" t="str">
        <f t="shared" si="5"/>
        <v>High</v>
      </c>
    </row>
    <row r="117" spans="1:11" ht="13.8" x14ac:dyDescent="0.25">
      <c r="A117" t="s">
        <v>425</v>
      </c>
      <c r="B117" t="s">
        <v>426</v>
      </c>
      <c r="C117" s="2">
        <v>4.7</v>
      </c>
      <c r="D117" s="3">
        <v>23308</v>
      </c>
      <c r="E117" s="3">
        <v>6</v>
      </c>
      <c r="F117" s="1">
        <v>2015</v>
      </c>
      <c r="G117" t="s">
        <v>2</v>
      </c>
      <c r="H117" t="str">
        <f>TRIM(B117)</f>
        <v>Don Miguel Ruiz</v>
      </c>
      <c r="I117" t="str">
        <f t="shared" si="3"/>
        <v>Excellent</v>
      </c>
      <c r="J117" s="1" t="str">
        <f t="shared" si="4"/>
        <v>Affordable</v>
      </c>
      <c r="K117" s="1" t="str">
        <f t="shared" si="5"/>
        <v>High</v>
      </c>
    </row>
    <row r="118" spans="1:11" ht="13.8" x14ac:dyDescent="0.25">
      <c r="A118" t="s">
        <v>425</v>
      </c>
      <c r="B118" t="s">
        <v>426</v>
      </c>
      <c r="C118" s="2">
        <v>4.7</v>
      </c>
      <c r="D118" s="3">
        <v>23308</v>
      </c>
      <c r="E118" s="3">
        <v>6</v>
      </c>
      <c r="F118" s="1">
        <v>2016</v>
      </c>
      <c r="G118" t="s">
        <v>2</v>
      </c>
      <c r="H118" t="str">
        <f>TRIM(B118)</f>
        <v>Don Miguel Ruiz</v>
      </c>
      <c r="I118" t="str">
        <f t="shared" si="3"/>
        <v>Excellent</v>
      </c>
      <c r="J118" s="1" t="str">
        <f t="shared" si="4"/>
        <v>Affordable</v>
      </c>
      <c r="K118" s="1" t="str">
        <f t="shared" si="5"/>
        <v>High</v>
      </c>
    </row>
    <row r="119" spans="1:11" ht="13.8" x14ac:dyDescent="0.25">
      <c r="A119" t="s">
        <v>425</v>
      </c>
      <c r="B119" t="s">
        <v>426</v>
      </c>
      <c r="C119" s="2">
        <v>4.7</v>
      </c>
      <c r="D119" s="3">
        <v>23308</v>
      </c>
      <c r="E119" s="3">
        <v>6</v>
      </c>
      <c r="F119" s="1">
        <v>2017</v>
      </c>
      <c r="G119" t="s">
        <v>2</v>
      </c>
      <c r="H119" t="str">
        <f>TRIM(B119)</f>
        <v>Don Miguel Ruiz</v>
      </c>
      <c r="I119" t="str">
        <f t="shared" si="3"/>
        <v>Excellent</v>
      </c>
      <c r="J119" s="1" t="str">
        <f t="shared" si="4"/>
        <v>Affordable</v>
      </c>
      <c r="K119" s="1" t="str">
        <f t="shared" si="5"/>
        <v>High</v>
      </c>
    </row>
    <row r="120" spans="1:11" ht="13.8" x14ac:dyDescent="0.25">
      <c r="A120" t="s">
        <v>425</v>
      </c>
      <c r="B120" t="s">
        <v>426</v>
      </c>
      <c r="C120" s="2">
        <v>4.7</v>
      </c>
      <c r="D120" s="3">
        <v>23308</v>
      </c>
      <c r="E120" s="3">
        <v>6</v>
      </c>
      <c r="F120" s="1">
        <v>2018</v>
      </c>
      <c r="G120" t="s">
        <v>2</v>
      </c>
      <c r="H120" t="str">
        <f>TRIM(B120)</f>
        <v>Don Miguel Ruiz</v>
      </c>
      <c r="I120" t="str">
        <f t="shared" si="3"/>
        <v>Excellent</v>
      </c>
      <c r="J120" s="1" t="str">
        <f t="shared" si="4"/>
        <v>Affordable</v>
      </c>
      <c r="K120" s="1" t="str">
        <f t="shared" si="5"/>
        <v>High</v>
      </c>
    </row>
    <row r="121" spans="1:11" ht="13.8" x14ac:dyDescent="0.25">
      <c r="A121" t="s">
        <v>425</v>
      </c>
      <c r="B121" t="s">
        <v>426</v>
      </c>
      <c r="C121" s="2">
        <v>4.7</v>
      </c>
      <c r="D121" s="3">
        <v>23308</v>
      </c>
      <c r="E121" s="3">
        <v>6</v>
      </c>
      <c r="F121" s="1">
        <v>2019</v>
      </c>
      <c r="G121" t="s">
        <v>2</v>
      </c>
      <c r="H121" t="str">
        <f>TRIM(B121)</f>
        <v>Don Miguel Ruiz</v>
      </c>
      <c r="I121" t="str">
        <f t="shared" si="3"/>
        <v>Excellent</v>
      </c>
      <c r="J121" s="1" t="str">
        <f t="shared" si="4"/>
        <v>Affordable</v>
      </c>
      <c r="K121" s="1" t="str">
        <f t="shared" si="5"/>
        <v>High</v>
      </c>
    </row>
    <row r="122" spans="1:11" ht="13.8" x14ac:dyDescent="0.25">
      <c r="A122" t="s">
        <v>450</v>
      </c>
      <c r="B122" t="s">
        <v>451</v>
      </c>
      <c r="C122" s="2">
        <v>4.8</v>
      </c>
      <c r="D122" s="3">
        <v>13871</v>
      </c>
      <c r="E122" s="3">
        <v>6</v>
      </c>
      <c r="F122" s="1">
        <v>2009</v>
      </c>
      <c r="G122" t="s">
        <v>5</v>
      </c>
      <c r="H122" t="str">
        <f>TRIM(B122)</f>
        <v>Kathryn Stockett</v>
      </c>
      <c r="I122" t="str">
        <f t="shared" si="3"/>
        <v>Excellent</v>
      </c>
      <c r="J122" s="1" t="str">
        <f t="shared" si="4"/>
        <v>Affordable</v>
      </c>
      <c r="K122" s="1" t="str">
        <f t="shared" si="5"/>
        <v>High</v>
      </c>
    </row>
    <row r="123" spans="1:11" ht="13.8" x14ac:dyDescent="0.25">
      <c r="A123" t="s">
        <v>450</v>
      </c>
      <c r="B123" t="s">
        <v>451</v>
      </c>
      <c r="C123" s="2">
        <v>4.8</v>
      </c>
      <c r="D123" s="3">
        <v>13871</v>
      </c>
      <c r="E123" s="3">
        <v>6</v>
      </c>
      <c r="F123" s="1">
        <v>2010</v>
      </c>
      <c r="G123" t="s">
        <v>5</v>
      </c>
      <c r="H123" t="str">
        <f>TRIM(B123)</f>
        <v>Kathryn Stockett</v>
      </c>
      <c r="I123" t="str">
        <f t="shared" si="3"/>
        <v>Excellent</v>
      </c>
      <c r="J123" s="1" t="str">
        <f t="shared" si="4"/>
        <v>Affordable</v>
      </c>
      <c r="K123" s="1" t="str">
        <f t="shared" si="5"/>
        <v>High</v>
      </c>
    </row>
    <row r="124" spans="1:11" ht="13.8" x14ac:dyDescent="0.25">
      <c r="A124" t="s">
        <v>519</v>
      </c>
      <c r="B124" t="s">
        <v>520</v>
      </c>
      <c r="C124" s="2">
        <v>4.4000000000000004</v>
      </c>
      <c r="D124" s="3">
        <v>3759</v>
      </c>
      <c r="E124" s="3">
        <v>6</v>
      </c>
      <c r="F124" s="1">
        <v>2009</v>
      </c>
      <c r="G124" t="s">
        <v>5</v>
      </c>
      <c r="H124" t="str">
        <f>TRIM(B124)</f>
        <v>Audrey Niffenegger</v>
      </c>
      <c r="I124" t="str">
        <f t="shared" si="3"/>
        <v>Average</v>
      </c>
      <c r="J124" s="1" t="str">
        <f t="shared" si="4"/>
        <v>Affordable</v>
      </c>
      <c r="K124" s="1" t="str">
        <f t="shared" si="5"/>
        <v>Low</v>
      </c>
    </row>
    <row r="125" spans="1:11" ht="13.8" x14ac:dyDescent="0.25">
      <c r="A125" t="s">
        <v>580</v>
      </c>
      <c r="B125" t="s">
        <v>581</v>
      </c>
      <c r="C125" s="2">
        <v>4.4000000000000004</v>
      </c>
      <c r="D125" s="3">
        <v>7497</v>
      </c>
      <c r="E125" s="3">
        <v>6</v>
      </c>
      <c r="F125" s="1">
        <v>2012</v>
      </c>
      <c r="G125" t="s">
        <v>2</v>
      </c>
      <c r="H125" t="str">
        <f>TRIM(B125)</f>
        <v>William Davis</v>
      </c>
      <c r="I125" t="str">
        <f t="shared" si="3"/>
        <v>Average</v>
      </c>
      <c r="J125" s="1" t="str">
        <f t="shared" si="4"/>
        <v>Affordable</v>
      </c>
      <c r="K125" s="1" t="str">
        <f t="shared" si="5"/>
        <v>Low</v>
      </c>
    </row>
    <row r="126" spans="1:11" ht="13.8" x14ac:dyDescent="0.25">
      <c r="A126" t="s">
        <v>580</v>
      </c>
      <c r="B126" t="s">
        <v>581</v>
      </c>
      <c r="C126" s="2">
        <v>4.4000000000000004</v>
      </c>
      <c r="D126" s="3">
        <v>7497</v>
      </c>
      <c r="E126" s="3">
        <v>6</v>
      </c>
      <c r="F126" s="1">
        <v>2013</v>
      </c>
      <c r="G126" t="s">
        <v>2</v>
      </c>
      <c r="H126" t="str">
        <f>TRIM(B126)</f>
        <v>William Davis</v>
      </c>
      <c r="I126" t="str">
        <f t="shared" si="3"/>
        <v>Average</v>
      </c>
      <c r="J126" s="1" t="str">
        <f t="shared" si="4"/>
        <v>Affordable</v>
      </c>
      <c r="K126" s="1" t="str">
        <f t="shared" si="5"/>
        <v>Low</v>
      </c>
    </row>
    <row r="127" spans="1:11" ht="13.8" x14ac:dyDescent="0.25">
      <c r="A127" t="s">
        <v>137</v>
      </c>
      <c r="B127" t="s">
        <v>68</v>
      </c>
      <c r="C127" s="2">
        <v>4.7</v>
      </c>
      <c r="D127" s="3">
        <v>5505</v>
      </c>
      <c r="E127" s="3">
        <v>7</v>
      </c>
      <c r="F127" s="1">
        <v>2009</v>
      </c>
      <c r="G127" t="s">
        <v>5</v>
      </c>
      <c r="H127" t="str">
        <f>TRIM(B127)</f>
        <v>Stephenie Meyer</v>
      </c>
      <c r="I127" t="str">
        <f t="shared" si="3"/>
        <v>Excellent</v>
      </c>
      <c r="J127" s="1" t="str">
        <f t="shared" si="4"/>
        <v>Affordable</v>
      </c>
      <c r="K127" s="1" t="str">
        <f t="shared" si="5"/>
        <v>Low</v>
      </c>
    </row>
    <row r="128" spans="1:11" ht="13.8" x14ac:dyDescent="0.25">
      <c r="A128" t="s">
        <v>149</v>
      </c>
      <c r="B128" t="s">
        <v>150</v>
      </c>
      <c r="C128" s="2">
        <v>4.4000000000000004</v>
      </c>
      <c r="D128" s="3">
        <v>23631</v>
      </c>
      <c r="E128" s="3">
        <v>7</v>
      </c>
      <c r="F128" s="1">
        <v>2012</v>
      </c>
      <c r="G128" t="s">
        <v>5</v>
      </c>
      <c r="H128" t="str">
        <f>TRIM(B128)</f>
        <v>E L James</v>
      </c>
      <c r="I128" t="str">
        <f t="shared" si="3"/>
        <v>Average</v>
      </c>
      <c r="J128" s="1" t="str">
        <f t="shared" si="4"/>
        <v>Affordable</v>
      </c>
      <c r="K128" s="1" t="str">
        <f t="shared" si="5"/>
        <v>High</v>
      </c>
    </row>
    <row r="129" spans="1:11" ht="13.8" x14ac:dyDescent="0.25">
      <c r="A129" t="s">
        <v>190</v>
      </c>
      <c r="B129" t="s">
        <v>191</v>
      </c>
      <c r="C129" s="2">
        <v>4.9000000000000004</v>
      </c>
      <c r="D129" s="3">
        <v>7038</v>
      </c>
      <c r="E129" s="3">
        <v>7</v>
      </c>
      <c r="F129" s="1">
        <v>2012</v>
      </c>
      <c r="G129" t="s">
        <v>5</v>
      </c>
      <c r="H129" t="str">
        <f>TRIM(B129)</f>
        <v>Sherri Duskey Rinker</v>
      </c>
      <c r="I129" t="str">
        <f t="shared" si="3"/>
        <v>Excellent</v>
      </c>
      <c r="J129" s="1" t="str">
        <f t="shared" si="4"/>
        <v>Affordable</v>
      </c>
      <c r="K129" s="1" t="str">
        <f t="shared" si="5"/>
        <v>Low</v>
      </c>
    </row>
    <row r="130" spans="1:11" ht="13.8" x14ac:dyDescent="0.25">
      <c r="A130" t="s">
        <v>190</v>
      </c>
      <c r="B130" t="s">
        <v>191</v>
      </c>
      <c r="C130" s="2">
        <v>4.9000000000000004</v>
      </c>
      <c r="D130" s="3">
        <v>7038</v>
      </c>
      <c r="E130" s="3">
        <v>7</v>
      </c>
      <c r="F130" s="1">
        <v>2013</v>
      </c>
      <c r="G130" t="s">
        <v>5</v>
      </c>
      <c r="H130" t="str">
        <f>TRIM(B130)</f>
        <v>Sherri Duskey Rinker</v>
      </c>
      <c r="I130" t="str">
        <f t="shared" ref="I130:I193" si="6">IF(C130&gt;=4.5,"Excellent","Average")</f>
        <v>Excellent</v>
      </c>
      <c r="J130" s="1" t="str">
        <f t="shared" ref="J130:J193" si="7">IF(E130&gt;=15,"Expensive","Affordable")</f>
        <v>Affordable</v>
      </c>
      <c r="K130" s="1" t="str">
        <f t="shared" ref="K130:K193" si="8">IF(D130&gt;=10000,"High","Low")</f>
        <v>Low</v>
      </c>
    </row>
    <row r="131" spans="1:11" ht="13.8" x14ac:dyDescent="0.25">
      <c r="A131" t="s">
        <v>195</v>
      </c>
      <c r="B131" t="s">
        <v>196</v>
      </c>
      <c r="C131" s="2">
        <v>4.8</v>
      </c>
      <c r="D131" s="3">
        <v>5476</v>
      </c>
      <c r="E131" s="3">
        <v>7</v>
      </c>
      <c r="F131" s="1">
        <v>2019</v>
      </c>
      <c r="G131" t="s">
        <v>2</v>
      </c>
      <c r="H131" t="str">
        <f>TRIM(B131)</f>
        <v>Raina Telgemeier</v>
      </c>
      <c r="I131" t="str">
        <f t="shared" si="6"/>
        <v>Excellent</v>
      </c>
      <c r="J131" s="1" t="str">
        <f t="shared" si="7"/>
        <v>Affordable</v>
      </c>
      <c r="K131" s="1" t="str">
        <f t="shared" si="8"/>
        <v>Low</v>
      </c>
    </row>
    <row r="132" spans="1:11" ht="13.8" x14ac:dyDescent="0.25">
      <c r="A132" t="s">
        <v>227</v>
      </c>
      <c r="B132" t="s">
        <v>228</v>
      </c>
      <c r="C132" s="2">
        <v>4.8</v>
      </c>
      <c r="D132" s="3">
        <v>9737</v>
      </c>
      <c r="E132" s="3">
        <v>7</v>
      </c>
      <c r="F132" s="1">
        <v>2019</v>
      </c>
      <c r="G132" t="s">
        <v>2</v>
      </c>
      <c r="H132" t="str">
        <f>TRIM(B132)</f>
        <v>Hopscotch Girls</v>
      </c>
      <c r="I132" t="str">
        <f t="shared" si="6"/>
        <v>Excellent</v>
      </c>
      <c r="J132" s="1" t="str">
        <f t="shared" si="7"/>
        <v>Affordable</v>
      </c>
      <c r="K132" s="1" t="str">
        <f t="shared" si="8"/>
        <v>Low</v>
      </c>
    </row>
    <row r="133" spans="1:11" ht="13.8" x14ac:dyDescent="0.25">
      <c r="A133" t="s">
        <v>229</v>
      </c>
      <c r="B133" t="s">
        <v>230</v>
      </c>
      <c r="C133" s="2">
        <v>4.5999999999999996</v>
      </c>
      <c r="D133" s="3">
        <v>1320</v>
      </c>
      <c r="E133" s="3">
        <v>7</v>
      </c>
      <c r="F133" s="1">
        <v>2009</v>
      </c>
      <c r="G133" t="s">
        <v>5</v>
      </c>
      <c r="H133" t="str">
        <f>TRIM(B133)</f>
        <v>James Patterson</v>
      </c>
      <c r="I133" t="str">
        <f t="shared" si="6"/>
        <v>Excellent</v>
      </c>
      <c r="J133" s="1" t="str">
        <f t="shared" si="7"/>
        <v>Affordable</v>
      </c>
      <c r="K133" s="1" t="str">
        <f t="shared" si="8"/>
        <v>Low</v>
      </c>
    </row>
    <row r="134" spans="1:11" ht="13.8" x14ac:dyDescent="0.25">
      <c r="A134" t="s">
        <v>281</v>
      </c>
      <c r="B134" t="s">
        <v>282</v>
      </c>
      <c r="C134" s="2">
        <v>4.5</v>
      </c>
      <c r="D134" s="3">
        <v>8491</v>
      </c>
      <c r="E134" s="3">
        <v>7</v>
      </c>
      <c r="F134" s="1">
        <v>2014</v>
      </c>
      <c r="G134" t="s">
        <v>5</v>
      </c>
      <c r="H134" t="str">
        <f>TRIM(B134)</f>
        <v>John Green</v>
      </c>
      <c r="I134" t="str">
        <f t="shared" si="6"/>
        <v>Excellent</v>
      </c>
      <c r="J134" s="1" t="str">
        <f t="shared" si="7"/>
        <v>Affordable</v>
      </c>
      <c r="K134" s="1" t="str">
        <f t="shared" si="8"/>
        <v>Low</v>
      </c>
    </row>
    <row r="135" spans="1:11" ht="13.8" x14ac:dyDescent="0.25">
      <c r="A135" t="s">
        <v>313</v>
      </c>
      <c r="B135" t="s">
        <v>73</v>
      </c>
      <c r="C135" s="2">
        <v>4.8</v>
      </c>
      <c r="D135" s="3">
        <v>6169</v>
      </c>
      <c r="E135" s="3">
        <v>7</v>
      </c>
      <c r="F135" s="1">
        <v>2015</v>
      </c>
      <c r="G135" t="s">
        <v>5</v>
      </c>
      <c r="H135" t="str">
        <f>TRIM(B135)</f>
        <v>Jeff Kinney</v>
      </c>
      <c r="I135" t="str">
        <f t="shared" si="6"/>
        <v>Excellent</v>
      </c>
      <c r="J135" s="1" t="str">
        <f t="shared" si="7"/>
        <v>Affordable</v>
      </c>
      <c r="K135" s="1" t="str">
        <f t="shared" si="8"/>
        <v>Low</v>
      </c>
    </row>
    <row r="136" spans="1:11" ht="13.8" x14ac:dyDescent="0.25">
      <c r="A136" t="s">
        <v>336</v>
      </c>
      <c r="B136" t="s">
        <v>337</v>
      </c>
      <c r="C136" s="2">
        <v>4.5999999999999996</v>
      </c>
      <c r="D136" s="3">
        <v>10009</v>
      </c>
      <c r="E136" s="3">
        <v>7</v>
      </c>
      <c r="F136" s="1">
        <v>2013</v>
      </c>
      <c r="G136" t="s">
        <v>2</v>
      </c>
      <c r="H136" t="str">
        <f>TRIM(B136)</f>
        <v>Susan Cain</v>
      </c>
      <c r="I136" t="str">
        <f t="shared" si="6"/>
        <v>Excellent</v>
      </c>
      <c r="J136" s="1" t="str">
        <f t="shared" si="7"/>
        <v>Affordable</v>
      </c>
      <c r="K136" s="1" t="str">
        <f t="shared" si="8"/>
        <v>High</v>
      </c>
    </row>
    <row r="137" spans="1:11" ht="13.8" x14ac:dyDescent="0.25">
      <c r="A137" t="s">
        <v>421</v>
      </c>
      <c r="B137" t="s">
        <v>282</v>
      </c>
      <c r="C137" s="2">
        <v>4.7</v>
      </c>
      <c r="D137" s="3">
        <v>50482</v>
      </c>
      <c r="E137" s="3">
        <v>7</v>
      </c>
      <c r="F137" s="1">
        <v>2014</v>
      </c>
      <c r="G137" t="s">
        <v>5</v>
      </c>
      <c r="H137" t="str">
        <f>TRIM(B137)</f>
        <v>John Green</v>
      </c>
      <c r="I137" t="str">
        <f t="shared" si="6"/>
        <v>Excellent</v>
      </c>
      <c r="J137" s="1" t="str">
        <f t="shared" si="7"/>
        <v>Affordable</v>
      </c>
      <c r="K137" s="1" t="str">
        <f t="shared" si="8"/>
        <v>High</v>
      </c>
    </row>
    <row r="138" spans="1:11" ht="13.8" x14ac:dyDescent="0.25">
      <c r="A138" t="s">
        <v>428</v>
      </c>
      <c r="B138" t="s">
        <v>429</v>
      </c>
      <c r="C138" s="2">
        <v>4.0999999999999996</v>
      </c>
      <c r="D138" s="3">
        <v>79446</v>
      </c>
      <c r="E138" s="3">
        <v>7</v>
      </c>
      <c r="F138" s="1">
        <v>2016</v>
      </c>
      <c r="G138" t="s">
        <v>5</v>
      </c>
      <c r="H138" t="str">
        <f>TRIM(B138)</f>
        <v>Paula Hawkins</v>
      </c>
      <c r="I138" t="str">
        <f t="shared" si="6"/>
        <v>Average</v>
      </c>
      <c r="J138" s="1" t="str">
        <f t="shared" si="7"/>
        <v>Affordable</v>
      </c>
      <c r="K138" s="1" t="str">
        <f t="shared" si="8"/>
        <v>High</v>
      </c>
    </row>
    <row r="139" spans="1:11" ht="13.8" x14ac:dyDescent="0.25">
      <c r="A139" t="s">
        <v>439</v>
      </c>
      <c r="B139" t="s">
        <v>440</v>
      </c>
      <c r="C139" s="2">
        <v>4.4000000000000004</v>
      </c>
      <c r="D139" s="3">
        <v>11616</v>
      </c>
      <c r="E139" s="3">
        <v>7</v>
      </c>
      <c r="F139" s="1">
        <v>2012</v>
      </c>
      <c r="G139" t="s">
        <v>5</v>
      </c>
      <c r="H139" t="str">
        <f>TRIM(B139)</f>
        <v>F. Scott Fitzgerald</v>
      </c>
      <c r="I139" t="str">
        <f t="shared" si="6"/>
        <v>Average</v>
      </c>
      <c r="J139" s="1" t="str">
        <f t="shared" si="7"/>
        <v>Affordable</v>
      </c>
      <c r="K139" s="1" t="str">
        <f t="shared" si="8"/>
        <v>High</v>
      </c>
    </row>
    <row r="140" spans="1:11" ht="13.8" x14ac:dyDescent="0.25">
      <c r="A140" t="s">
        <v>439</v>
      </c>
      <c r="B140" t="s">
        <v>440</v>
      </c>
      <c r="C140" s="2">
        <v>4.4000000000000004</v>
      </c>
      <c r="D140" s="3">
        <v>11616</v>
      </c>
      <c r="E140" s="3">
        <v>7</v>
      </c>
      <c r="F140" s="1">
        <v>2013</v>
      </c>
      <c r="G140" t="s">
        <v>5</v>
      </c>
      <c r="H140" t="str">
        <f>TRIM(B140)</f>
        <v>F. Scott Fitzgerald</v>
      </c>
      <c r="I140" t="str">
        <f t="shared" si="6"/>
        <v>Average</v>
      </c>
      <c r="J140" s="1" t="str">
        <f t="shared" si="7"/>
        <v>Affordable</v>
      </c>
      <c r="K140" s="1" t="str">
        <f t="shared" si="8"/>
        <v>High</v>
      </c>
    </row>
    <row r="141" spans="1:11" ht="13.8" x14ac:dyDescent="0.25">
      <c r="A141" t="s">
        <v>439</v>
      </c>
      <c r="B141" t="s">
        <v>440</v>
      </c>
      <c r="C141" s="2">
        <v>4.4000000000000004</v>
      </c>
      <c r="D141" s="3">
        <v>11616</v>
      </c>
      <c r="E141" s="3">
        <v>7</v>
      </c>
      <c r="F141" s="1">
        <v>2014</v>
      </c>
      <c r="G141" t="s">
        <v>5</v>
      </c>
      <c r="H141" t="str">
        <f>TRIM(B141)</f>
        <v>F. Scott Fitzgerald</v>
      </c>
      <c r="I141" t="str">
        <f t="shared" si="6"/>
        <v>Average</v>
      </c>
      <c r="J141" s="1" t="str">
        <f t="shared" si="7"/>
        <v>Affordable</v>
      </c>
      <c r="K141" s="1" t="str">
        <f t="shared" si="8"/>
        <v>High</v>
      </c>
    </row>
    <row r="142" spans="1:11" ht="13.8" x14ac:dyDescent="0.25">
      <c r="A142" t="s">
        <v>444</v>
      </c>
      <c r="B142" t="s">
        <v>445</v>
      </c>
      <c r="C142" s="2">
        <v>4.3</v>
      </c>
      <c r="D142" s="3">
        <v>29442</v>
      </c>
      <c r="E142" s="3">
        <v>7</v>
      </c>
      <c r="F142" s="1">
        <v>2017</v>
      </c>
      <c r="G142" t="s">
        <v>5</v>
      </c>
      <c r="H142" t="str">
        <f>TRIM(B142)</f>
        <v>Margaret Atwood</v>
      </c>
      <c r="I142" t="str">
        <f t="shared" si="6"/>
        <v>Average</v>
      </c>
      <c r="J142" s="1" t="str">
        <f t="shared" si="7"/>
        <v>Affordable</v>
      </c>
      <c r="K142" s="1" t="str">
        <f t="shared" si="8"/>
        <v>High</v>
      </c>
    </row>
    <row r="143" spans="1:11" ht="13.8" x14ac:dyDescent="0.25">
      <c r="A143" t="s">
        <v>450</v>
      </c>
      <c r="B143" t="s">
        <v>451</v>
      </c>
      <c r="C143" s="2">
        <v>4.8</v>
      </c>
      <c r="D143" s="3">
        <v>13871</v>
      </c>
      <c r="E143" s="3">
        <v>7</v>
      </c>
      <c r="F143" s="1">
        <v>2011</v>
      </c>
      <c r="G143" t="s">
        <v>5</v>
      </c>
      <c r="H143" t="str">
        <f>TRIM(B143)</f>
        <v>Kathryn Stockett</v>
      </c>
      <c r="I143" t="str">
        <f t="shared" si="6"/>
        <v>Excellent</v>
      </c>
      <c r="J143" s="1" t="str">
        <f t="shared" si="7"/>
        <v>Affordable</v>
      </c>
      <c r="K143" s="1" t="str">
        <f t="shared" si="8"/>
        <v>High</v>
      </c>
    </row>
    <row r="144" spans="1:11" ht="13.8" x14ac:dyDescent="0.25">
      <c r="A144" t="s">
        <v>458</v>
      </c>
      <c r="B144" t="s">
        <v>459</v>
      </c>
      <c r="C144" s="2">
        <v>4.3</v>
      </c>
      <c r="D144" s="3">
        <v>7368</v>
      </c>
      <c r="E144" s="3">
        <v>7</v>
      </c>
      <c r="F144" s="1">
        <v>2017</v>
      </c>
      <c r="G144" t="s">
        <v>2</v>
      </c>
      <c r="H144" t="str">
        <f>TRIM(B144)</f>
        <v>Laurel Randolph</v>
      </c>
      <c r="I144" t="str">
        <f t="shared" si="6"/>
        <v>Average</v>
      </c>
      <c r="J144" s="1" t="str">
        <f t="shared" si="7"/>
        <v>Affordable</v>
      </c>
      <c r="K144" s="1" t="str">
        <f t="shared" si="8"/>
        <v>Low</v>
      </c>
    </row>
    <row r="145" spans="1:11" ht="13.8" x14ac:dyDescent="0.25">
      <c r="A145" t="s">
        <v>458</v>
      </c>
      <c r="B145" t="s">
        <v>459</v>
      </c>
      <c r="C145" s="2">
        <v>4.3</v>
      </c>
      <c r="D145" s="3">
        <v>7368</v>
      </c>
      <c r="E145" s="3">
        <v>7</v>
      </c>
      <c r="F145" s="1">
        <v>2018</v>
      </c>
      <c r="G145" t="s">
        <v>2</v>
      </c>
      <c r="H145" t="str">
        <f>TRIM(B145)</f>
        <v>Laurel Randolph</v>
      </c>
      <c r="I145" t="str">
        <f t="shared" si="6"/>
        <v>Average</v>
      </c>
      <c r="J145" s="1" t="str">
        <f t="shared" si="7"/>
        <v>Affordable</v>
      </c>
      <c r="K145" s="1" t="str">
        <f t="shared" si="8"/>
        <v>Low</v>
      </c>
    </row>
    <row r="146" spans="1:11" ht="13.8" x14ac:dyDescent="0.25">
      <c r="A146" t="s">
        <v>462</v>
      </c>
      <c r="B146" t="s">
        <v>326</v>
      </c>
      <c r="C146" s="2">
        <v>4.8</v>
      </c>
      <c r="D146" s="3">
        <v>4628</v>
      </c>
      <c r="E146" s="3">
        <v>7</v>
      </c>
      <c r="F146" s="1">
        <v>2009</v>
      </c>
      <c r="G146" t="s">
        <v>5</v>
      </c>
      <c r="H146" t="str">
        <f>TRIM(B146)</f>
        <v>Rick Riordan</v>
      </c>
      <c r="I146" t="str">
        <f t="shared" si="6"/>
        <v>Excellent</v>
      </c>
      <c r="J146" s="1" t="str">
        <f t="shared" si="7"/>
        <v>Affordable</v>
      </c>
      <c r="K146" s="1" t="str">
        <f t="shared" si="8"/>
        <v>Low</v>
      </c>
    </row>
    <row r="147" spans="1:11" ht="13.8" x14ac:dyDescent="0.25">
      <c r="A147" t="s">
        <v>462</v>
      </c>
      <c r="B147" t="s">
        <v>326</v>
      </c>
      <c r="C147" s="2">
        <v>4.8</v>
      </c>
      <c r="D147" s="3">
        <v>4628</v>
      </c>
      <c r="E147" s="3">
        <v>7</v>
      </c>
      <c r="F147" s="1">
        <v>2010</v>
      </c>
      <c r="G147" t="s">
        <v>5</v>
      </c>
      <c r="H147" t="str">
        <f>TRIM(B147)</f>
        <v>Rick Riordan</v>
      </c>
      <c r="I147" t="str">
        <f t="shared" si="6"/>
        <v>Excellent</v>
      </c>
      <c r="J147" s="1" t="str">
        <f t="shared" si="7"/>
        <v>Affordable</v>
      </c>
      <c r="K147" s="1" t="str">
        <f t="shared" si="8"/>
        <v>Low</v>
      </c>
    </row>
    <row r="148" spans="1:11" ht="13.8" x14ac:dyDescent="0.25">
      <c r="A148" t="s">
        <v>517</v>
      </c>
      <c r="B148" t="s">
        <v>73</v>
      </c>
      <c r="C148" s="2">
        <v>4.7</v>
      </c>
      <c r="D148" s="3">
        <v>6377</v>
      </c>
      <c r="E148" s="3">
        <v>7</v>
      </c>
      <c r="F148" s="1">
        <v>2012</v>
      </c>
      <c r="G148" t="s">
        <v>5</v>
      </c>
      <c r="H148" t="str">
        <f>TRIM(B148)</f>
        <v>Jeff Kinney</v>
      </c>
      <c r="I148" t="str">
        <f t="shared" si="6"/>
        <v>Excellent</v>
      </c>
      <c r="J148" s="1" t="str">
        <f t="shared" si="7"/>
        <v>Affordable</v>
      </c>
      <c r="K148" s="1" t="str">
        <f t="shared" si="8"/>
        <v>Low</v>
      </c>
    </row>
    <row r="149" spans="1:11" ht="13.8" x14ac:dyDescent="0.25">
      <c r="A149" t="s">
        <v>552</v>
      </c>
      <c r="B149" t="s">
        <v>177</v>
      </c>
      <c r="C149" s="2">
        <v>4.8</v>
      </c>
      <c r="D149" s="3">
        <v>26234</v>
      </c>
      <c r="E149" s="3">
        <v>7</v>
      </c>
      <c r="F149" s="1">
        <v>2019</v>
      </c>
      <c r="G149" t="s">
        <v>5</v>
      </c>
      <c r="H149" t="str">
        <f>TRIM(B149)</f>
        <v>Harper Lee</v>
      </c>
      <c r="I149" t="str">
        <f t="shared" si="6"/>
        <v>Excellent</v>
      </c>
      <c r="J149" s="1" t="str">
        <f t="shared" si="7"/>
        <v>Affordable</v>
      </c>
      <c r="K149" s="1" t="str">
        <f t="shared" si="8"/>
        <v>High</v>
      </c>
    </row>
    <row r="150" spans="1:11" ht="13.8" x14ac:dyDescent="0.25">
      <c r="A150" t="s">
        <v>0</v>
      </c>
      <c r="B150" t="s">
        <v>1</v>
      </c>
      <c r="C150" s="2">
        <v>4.7</v>
      </c>
      <c r="D150" s="3">
        <v>17350</v>
      </c>
      <c r="E150" s="3">
        <v>8</v>
      </c>
      <c r="F150" s="1">
        <v>2016</v>
      </c>
      <c r="G150" t="s">
        <v>2</v>
      </c>
      <c r="H150" t="str">
        <f>TRIM(B150)</f>
        <v>JJ Smith</v>
      </c>
      <c r="I150" t="str">
        <f t="shared" si="6"/>
        <v>Excellent</v>
      </c>
      <c r="J150" s="1" t="str">
        <f t="shared" si="7"/>
        <v>Affordable</v>
      </c>
      <c r="K150" s="1" t="str">
        <f t="shared" si="8"/>
        <v>High</v>
      </c>
    </row>
    <row r="151" spans="1:11" ht="13.8" x14ac:dyDescent="0.25">
      <c r="A151" t="s">
        <v>19</v>
      </c>
      <c r="B151" t="s">
        <v>20</v>
      </c>
      <c r="C151" s="2">
        <v>4.5999999999999996</v>
      </c>
      <c r="D151" s="3">
        <v>23848</v>
      </c>
      <c r="E151" s="3">
        <v>8</v>
      </c>
      <c r="F151" s="1">
        <v>2016</v>
      </c>
      <c r="G151" t="s">
        <v>5</v>
      </c>
      <c r="H151" t="str">
        <f>TRIM(B151)</f>
        <v>Fredrik Backman</v>
      </c>
      <c r="I151" t="str">
        <f t="shared" si="6"/>
        <v>Excellent</v>
      </c>
      <c r="J151" s="1" t="str">
        <f t="shared" si="7"/>
        <v>Affordable</v>
      </c>
      <c r="K151" s="1" t="str">
        <f t="shared" si="8"/>
        <v>High</v>
      </c>
    </row>
    <row r="152" spans="1:11" ht="13.8" x14ac:dyDescent="0.25">
      <c r="A152" t="s">
        <v>19</v>
      </c>
      <c r="B152" t="s">
        <v>20</v>
      </c>
      <c r="C152" s="2">
        <v>4.5999999999999996</v>
      </c>
      <c r="D152" s="3">
        <v>23848</v>
      </c>
      <c r="E152" s="3">
        <v>8</v>
      </c>
      <c r="F152" s="1">
        <v>2017</v>
      </c>
      <c r="G152" t="s">
        <v>5</v>
      </c>
      <c r="H152" t="str">
        <f>TRIM(B152)</f>
        <v>Fredrik Backman</v>
      </c>
      <c r="I152" t="str">
        <f t="shared" si="6"/>
        <v>Excellent</v>
      </c>
      <c r="J152" s="1" t="str">
        <f t="shared" si="7"/>
        <v>Affordable</v>
      </c>
      <c r="K152" s="1" t="str">
        <f t="shared" si="8"/>
        <v>High</v>
      </c>
    </row>
    <row r="153" spans="1:11" ht="13.8" x14ac:dyDescent="0.25">
      <c r="A153" t="s">
        <v>34</v>
      </c>
      <c r="B153" t="s">
        <v>35</v>
      </c>
      <c r="C153" s="2">
        <v>4.5</v>
      </c>
      <c r="D153" s="3">
        <v>2426</v>
      </c>
      <c r="E153" s="3">
        <v>8</v>
      </c>
      <c r="F153" s="1">
        <v>2015</v>
      </c>
      <c r="G153" t="s">
        <v>2</v>
      </c>
      <c r="H153" t="str">
        <f>TRIM(B153)</f>
        <v>Coloring Books for Adults</v>
      </c>
      <c r="I153" t="str">
        <f t="shared" si="6"/>
        <v>Excellent</v>
      </c>
      <c r="J153" s="1" t="str">
        <f t="shared" si="7"/>
        <v>Affordable</v>
      </c>
      <c r="K153" s="1" t="str">
        <f t="shared" si="8"/>
        <v>Low</v>
      </c>
    </row>
    <row r="154" spans="1:11" ht="13.8" x14ac:dyDescent="0.25">
      <c r="A154" t="s">
        <v>69</v>
      </c>
      <c r="B154" t="s">
        <v>47</v>
      </c>
      <c r="C154" s="2">
        <v>4.5</v>
      </c>
      <c r="D154" s="3">
        <v>471</v>
      </c>
      <c r="E154" s="3">
        <v>8</v>
      </c>
      <c r="F154" s="1">
        <v>2010</v>
      </c>
      <c r="G154" t="s">
        <v>2</v>
      </c>
      <c r="H154" t="str">
        <f>TRIM(B154)</f>
        <v>Glenn Beck</v>
      </c>
      <c r="I154" t="str">
        <f t="shared" si="6"/>
        <v>Excellent</v>
      </c>
      <c r="J154" s="1" t="str">
        <f t="shared" si="7"/>
        <v>Affordable</v>
      </c>
      <c r="K154" s="1" t="str">
        <f t="shared" si="8"/>
        <v>Low</v>
      </c>
    </row>
    <row r="155" spans="1:11" ht="13.8" x14ac:dyDescent="0.25">
      <c r="A155" t="s">
        <v>86</v>
      </c>
      <c r="B155" t="s">
        <v>87</v>
      </c>
      <c r="C155" s="2">
        <v>4.3</v>
      </c>
      <c r="D155" s="3">
        <v>6143</v>
      </c>
      <c r="E155" s="3">
        <v>8</v>
      </c>
      <c r="F155" s="1">
        <v>2018</v>
      </c>
      <c r="G155" t="s">
        <v>5</v>
      </c>
      <c r="H155" t="str">
        <f>TRIM(B155)</f>
        <v>Kevin Kwan</v>
      </c>
      <c r="I155" t="str">
        <f t="shared" si="6"/>
        <v>Average</v>
      </c>
      <c r="J155" s="1" t="str">
        <f t="shared" si="7"/>
        <v>Affordable</v>
      </c>
      <c r="K155" s="1" t="str">
        <f t="shared" si="8"/>
        <v>Low</v>
      </c>
    </row>
    <row r="156" spans="1:11" ht="13.8" x14ac:dyDescent="0.25">
      <c r="A156" t="s">
        <v>99</v>
      </c>
      <c r="B156" t="s">
        <v>98</v>
      </c>
      <c r="C156" s="2">
        <v>4.3</v>
      </c>
      <c r="D156" s="3">
        <v>1924</v>
      </c>
      <c r="E156" s="3">
        <v>8</v>
      </c>
      <c r="F156" s="1">
        <v>2010</v>
      </c>
      <c r="G156" t="s">
        <v>5</v>
      </c>
      <c r="H156" t="str">
        <f>TRIM(B156)</f>
        <v>Charlaine Harris</v>
      </c>
      <c r="I156" t="str">
        <f t="shared" si="6"/>
        <v>Average</v>
      </c>
      <c r="J156" s="1" t="str">
        <f t="shared" si="7"/>
        <v>Affordable</v>
      </c>
      <c r="K156" s="1" t="str">
        <f t="shared" si="8"/>
        <v>Low</v>
      </c>
    </row>
    <row r="157" spans="1:11" ht="13.8" x14ac:dyDescent="0.25">
      <c r="A157" t="s">
        <v>122</v>
      </c>
      <c r="B157" t="s">
        <v>121</v>
      </c>
      <c r="C157" s="2">
        <v>4.9000000000000004</v>
      </c>
      <c r="D157" s="3">
        <v>4786</v>
      </c>
      <c r="E157" s="3">
        <v>8</v>
      </c>
      <c r="F157" s="1">
        <v>2017</v>
      </c>
      <c r="G157" t="s">
        <v>5</v>
      </c>
      <c r="H157" t="str">
        <f>TRIM(B157)</f>
        <v>Dav Pilkey</v>
      </c>
      <c r="I157" t="str">
        <f t="shared" si="6"/>
        <v>Excellent</v>
      </c>
      <c r="J157" s="1" t="str">
        <f t="shared" si="7"/>
        <v>Affordable</v>
      </c>
      <c r="K157" s="1" t="str">
        <f t="shared" si="8"/>
        <v>Low</v>
      </c>
    </row>
    <row r="158" spans="1:11" ht="13.8" x14ac:dyDescent="0.25">
      <c r="A158" t="s">
        <v>124</v>
      </c>
      <c r="B158" t="s">
        <v>121</v>
      </c>
      <c r="C158" s="2">
        <v>4.9000000000000004</v>
      </c>
      <c r="D158" s="3">
        <v>12619</v>
      </c>
      <c r="E158" s="3">
        <v>8</v>
      </c>
      <c r="F158" s="1">
        <v>2019</v>
      </c>
      <c r="G158" t="s">
        <v>5</v>
      </c>
      <c r="H158" t="str">
        <f>TRIM(B158)</f>
        <v>Dav Pilkey</v>
      </c>
      <c r="I158" t="str">
        <f t="shared" si="6"/>
        <v>Excellent</v>
      </c>
      <c r="J158" s="1" t="str">
        <f t="shared" si="7"/>
        <v>Affordable</v>
      </c>
      <c r="K158" s="1" t="str">
        <f t="shared" si="8"/>
        <v>High</v>
      </c>
    </row>
    <row r="159" spans="1:11" ht="13.8" x14ac:dyDescent="0.25">
      <c r="A159" t="s">
        <v>125</v>
      </c>
      <c r="B159" t="s">
        <v>121</v>
      </c>
      <c r="C159" s="2">
        <v>4.9000000000000004</v>
      </c>
      <c r="D159" s="3">
        <v>9089</v>
      </c>
      <c r="E159" s="3">
        <v>8</v>
      </c>
      <c r="F159" s="1">
        <v>2019</v>
      </c>
      <c r="G159" t="s">
        <v>5</v>
      </c>
      <c r="H159" t="str">
        <f>TRIM(B159)</f>
        <v>Dav Pilkey</v>
      </c>
      <c r="I159" t="str">
        <f t="shared" si="6"/>
        <v>Excellent</v>
      </c>
      <c r="J159" s="1" t="str">
        <f t="shared" si="7"/>
        <v>Affordable</v>
      </c>
      <c r="K159" s="1" t="str">
        <f t="shared" si="8"/>
        <v>Low</v>
      </c>
    </row>
    <row r="160" spans="1:11" ht="13.8" x14ac:dyDescent="0.25">
      <c r="A160" t="s">
        <v>143</v>
      </c>
      <c r="B160" t="s">
        <v>144</v>
      </c>
      <c r="C160" s="2">
        <v>4.5999999999999996</v>
      </c>
      <c r="D160" s="3">
        <v>10721</v>
      </c>
      <c r="E160" s="3">
        <v>8</v>
      </c>
      <c r="F160" s="1">
        <v>2016</v>
      </c>
      <c r="G160" t="s">
        <v>5</v>
      </c>
      <c r="H160" t="str">
        <f>TRIM(B160)</f>
        <v>Ray Bradbury</v>
      </c>
      <c r="I160" t="str">
        <f t="shared" si="6"/>
        <v>Excellent</v>
      </c>
      <c r="J160" s="1" t="str">
        <f t="shared" si="7"/>
        <v>Affordable</v>
      </c>
      <c r="K160" s="1" t="str">
        <f t="shared" si="8"/>
        <v>High</v>
      </c>
    </row>
    <row r="161" spans="1:11" ht="13.8" x14ac:dyDescent="0.25">
      <c r="A161" t="s">
        <v>143</v>
      </c>
      <c r="B161" t="s">
        <v>144</v>
      </c>
      <c r="C161" s="2">
        <v>4.5999999999999996</v>
      </c>
      <c r="D161" s="3">
        <v>10721</v>
      </c>
      <c r="E161" s="3">
        <v>8</v>
      </c>
      <c r="F161" s="1">
        <v>2018</v>
      </c>
      <c r="G161" t="s">
        <v>5</v>
      </c>
      <c r="H161" t="str">
        <f>TRIM(B161)</f>
        <v>Ray Bradbury</v>
      </c>
      <c r="I161" t="str">
        <f t="shared" si="6"/>
        <v>Excellent</v>
      </c>
      <c r="J161" s="1" t="str">
        <f t="shared" si="7"/>
        <v>Affordable</v>
      </c>
      <c r="K161" s="1" t="str">
        <f t="shared" si="8"/>
        <v>High</v>
      </c>
    </row>
    <row r="162" spans="1:11" ht="13.8" x14ac:dyDescent="0.25">
      <c r="A162" t="s">
        <v>245</v>
      </c>
      <c r="B162" t="s">
        <v>246</v>
      </c>
      <c r="C162" s="2">
        <v>4.9000000000000004</v>
      </c>
      <c r="D162" s="3">
        <v>19576</v>
      </c>
      <c r="E162" s="3">
        <v>8</v>
      </c>
      <c r="F162" s="1">
        <v>2011</v>
      </c>
      <c r="G162" t="s">
        <v>2</v>
      </c>
      <c r="H162" t="str">
        <f>TRIM(B162)</f>
        <v>Sarah Young</v>
      </c>
      <c r="I162" t="str">
        <f t="shared" si="6"/>
        <v>Excellent</v>
      </c>
      <c r="J162" s="1" t="str">
        <f t="shared" si="7"/>
        <v>Affordable</v>
      </c>
      <c r="K162" s="1" t="str">
        <f t="shared" si="8"/>
        <v>High</v>
      </c>
    </row>
    <row r="163" spans="1:11" ht="13.8" x14ac:dyDescent="0.25">
      <c r="A163" t="s">
        <v>245</v>
      </c>
      <c r="B163" t="s">
        <v>246</v>
      </c>
      <c r="C163" s="2">
        <v>4.9000000000000004</v>
      </c>
      <c r="D163" s="3">
        <v>19576</v>
      </c>
      <c r="E163" s="3">
        <v>8</v>
      </c>
      <c r="F163" s="1">
        <v>2012</v>
      </c>
      <c r="G163" t="s">
        <v>2</v>
      </c>
      <c r="H163" t="str">
        <f>TRIM(B163)</f>
        <v>Sarah Young</v>
      </c>
      <c r="I163" t="str">
        <f t="shared" si="6"/>
        <v>Excellent</v>
      </c>
      <c r="J163" s="1" t="str">
        <f t="shared" si="7"/>
        <v>Affordable</v>
      </c>
      <c r="K163" s="1" t="str">
        <f t="shared" si="8"/>
        <v>High</v>
      </c>
    </row>
    <row r="164" spans="1:11" ht="13.8" x14ac:dyDescent="0.25">
      <c r="A164" t="s">
        <v>245</v>
      </c>
      <c r="B164" t="s">
        <v>246</v>
      </c>
      <c r="C164" s="2">
        <v>4.9000000000000004</v>
      </c>
      <c r="D164" s="3">
        <v>19576</v>
      </c>
      <c r="E164" s="3">
        <v>8</v>
      </c>
      <c r="F164" s="1">
        <v>2013</v>
      </c>
      <c r="G164" t="s">
        <v>2</v>
      </c>
      <c r="H164" t="str">
        <f>TRIM(B164)</f>
        <v>Sarah Young</v>
      </c>
      <c r="I164" t="str">
        <f t="shared" si="6"/>
        <v>Excellent</v>
      </c>
      <c r="J164" s="1" t="str">
        <f t="shared" si="7"/>
        <v>Affordable</v>
      </c>
      <c r="K164" s="1" t="str">
        <f t="shared" si="8"/>
        <v>High</v>
      </c>
    </row>
    <row r="165" spans="1:11" ht="13.8" x14ac:dyDescent="0.25">
      <c r="A165" t="s">
        <v>245</v>
      </c>
      <c r="B165" t="s">
        <v>246</v>
      </c>
      <c r="C165" s="2">
        <v>4.9000000000000004</v>
      </c>
      <c r="D165" s="3">
        <v>19576</v>
      </c>
      <c r="E165" s="3">
        <v>8</v>
      </c>
      <c r="F165" s="1">
        <v>2014</v>
      </c>
      <c r="G165" t="s">
        <v>2</v>
      </c>
      <c r="H165" t="str">
        <f>TRIM(B165)</f>
        <v>Sarah Young</v>
      </c>
      <c r="I165" t="str">
        <f t="shared" si="6"/>
        <v>Excellent</v>
      </c>
      <c r="J165" s="1" t="str">
        <f t="shared" si="7"/>
        <v>Affordable</v>
      </c>
      <c r="K165" s="1" t="str">
        <f t="shared" si="8"/>
        <v>High</v>
      </c>
    </row>
    <row r="166" spans="1:11" ht="13.8" x14ac:dyDescent="0.25">
      <c r="A166" t="s">
        <v>245</v>
      </c>
      <c r="B166" t="s">
        <v>246</v>
      </c>
      <c r="C166" s="2">
        <v>4.9000000000000004</v>
      </c>
      <c r="D166" s="3">
        <v>19576</v>
      </c>
      <c r="E166" s="3">
        <v>8</v>
      </c>
      <c r="F166" s="1">
        <v>2015</v>
      </c>
      <c r="G166" t="s">
        <v>2</v>
      </c>
      <c r="H166" t="str">
        <f>TRIM(B166)</f>
        <v>Sarah Young</v>
      </c>
      <c r="I166" t="str">
        <f t="shared" si="6"/>
        <v>Excellent</v>
      </c>
      <c r="J166" s="1" t="str">
        <f t="shared" si="7"/>
        <v>Affordable</v>
      </c>
      <c r="K166" s="1" t="str">
        <f t="shared" si="8"/>
        <v>High</v>
      </c>
    </row>
    <row r="167" spans="1:11" ht="13.8" x14ac:dyDescent="0.25">
      <c r="A167" t="s">
        <v>245</v>
      </c>
      <c r="B167" t="s">
        <v>246</v>
      </c>
      <c r="C167" s="2">
        <v>4.9000000000000004</v>
      </c>
      <c r="D167" s="3">
        <v>19576</v>
      </c>
      <c r="E167" s="3">
        <v>8</v>
      </c>
      <c r="F167" s="1">
        <v>2016</v>
      </c>
      <c r="G167" t="s">
        <v>2</v>
      </c>
      <c r="H167" t="str">
        <f>TRIM(B167)</f>
        <v>Sarah Young</v>
      </c>
      <c r="I167" t="str">
        <f t="shared" si="6"/>
        <v>Excellent</v>
      </c>
      <c r="J167" s="1" t="str">
        <f t="shared" si="7"/>
        <v>Affordable</v>
      </c>
      <c r="K167" s="1" t="str">
        <f t="shared" si="8"/>
        <v>High</v>
      </c>
    </row>
    <row r="168" spans="1:11" ht="13.8" x14ac:dyDescent="0.25">
      <c r="A168" t="s">
        <v>258</v>
      </c>
      <c r="B168" t="s">
        <v>259</v>
      </c>
      <c r="C168" s="2">
        <v>4.8</v>
      </c>
      <c r="D168" s="3">
        <v>2507</v>
      </c>
      <c r="E168" s="3">
        <v>8</v>
      </c>
      <c r="F168" s="1">
        <v>2018</v>
      </c>
      <c r="G168" t="s">
        <v>2</v>
      </c>
      <c r="H168" t="str">
        <f>TRIM(B168)</f>
        <v>Anthony Bourdain</v>
      </c>
      <c r="I168" t="str">
        <f t="shared" si="6"/>
        <v>Excellent</v>
      </c>
      <c r="J168" s="1" t="str">
        <f t="shared" si="7"/>
        <v>Affordable</v>
      </c>
      <c r="K168" s="1" t="str">
        <f t="shared" si="8"/>
        <v>Low</v>
      </c>
    </row>
    <row r="169" spans="1:11" ht="13.8" x14ac:dyDescent="0.25">
      <c r="A169" t="s">
        <v>293</v>
      </c>
      <c r="B169" t="s">
        <v>294</v>
      </c>
      <c r="C169" s="2">
        <v>4.7</v>
      </c>
      <c r="D169" s="3">
        <v>17739</v>
      </c>
      <c r="E169" s="3">
        <v>8</v>
      </c>
      <c r="F169" s="1">
        <v>2016</v>
      </c>
      <c r="G169" t="s">
        <v>2</v>
      </c>
      <c r="H169" t="str">
        <f>TRIM(B169)</f>
        <v>Rupi Kaur</v>
      </c>
      <c r="I169" t="str">
        <f t="shared" si="6"/>
        <v>Excellent</v>
      </c>
      <c r="J169" s="1" t="str">
        <f t="shared" si="7"/>
        <v>Affordable</v>
      </c>
      <c r="K169" s="1" t="str">
        <f t="shared" si="8"/>
        <v>High</v>
      </c>
    </row>
    <row r="170" spans="1:11" ht="13.8" x14ac:dyDescent="0.25">
      <c r="A170" t="s">
        <v>293</v>
      </c>
      <c r="B170" t="s">
        <v>294</v>
      </c>
      <c r="C170" s="2">
        <v>4.7</v>
      </c>
      <c r="D170" s="3">
        <v>17739</v>
      </c>
      <c r="E170" s="3">
        <v>8</v>
      </c>
      <c r="F170" s="1">
        <v>2017</v>
      </c>
      <c r="G170" t="s">
        <v>2</v>
      </c>
      <c r="H170" t="str">
        <f>TRIM(B170)</f>
        <v>Rupi Kaur</v>
      </c>
      <c r="I170" t="str">
        <f t="shared" si="6"/>
        <v>Excellent</v>
      </c>
      <c r="J170" s="1" t="str">
        <f t="shared" si="7"/>
        <v>Affordable</v>
      </c>
      <c r="K170" s="1" t="str">
        <f t="shared" si="8"/>
        <v>High</v>
      </c>
    </row>
    <row r="171" spans="1:11" ht="13.8" x14ac:dyDescent="0.25">
      <c r="A171" t="s">
        <v>293</v>
      </c>
      <c r="B171" t="s">
        <v>294</v>
      </c>
      <c r="C171" s="2">
        <v>4.7</v>
      </c>
      <c r="D171" s="3">
        <v>17739</v>
      </c>
      <c r="E171" s="3">
        <v>8</v>
      </c>
      <c r="F171" s="1">
        <v>2018</v>
      </c>
      <c r="G171" t="s">
        <v>2</v>
      </c>
      <c r="H171" t="str">
        <f>TRIM(B171)</f>
        <v>Rupi Kaur</v>
      </c>
      <c r="I171" t="str">
        <f t="shared" si="6"/>
        <v>Excellent</v>
      </c>
      <c r="J171" s="1" t="str">
        <f t="shared" si="7"/>
        <v>Affordable</v>
      </c>
      <c r="K171" s="1" t="str">
        <f t="shared" si="8"/>
        <v>High</v>
      </c>
    </row>
    <row r="172" spans="1:11" ht="13.8" x14ac:dyDescent="0.25">
      <c r="A172" t="s">
        <v>299</v>
      </c>
      <c r="B172" t="s">
        <v>81</v>
      </c>
      <c r="C172" s="2">
        <v>4.5</v>
      </c>
      <c r="D172" s="3">
        <v>26741</v>
      </c>
      <c r="E172" s="3">
        <v>8</v>
      </c>
      <c r="F172" s="1">
        <v>2010</v>
      </c>
      <c r="G172" t="s">
        <v>5</v>
      </c>
      <c r="H172" t="str">
        <f>TRIM(B172)</f>
        <v>Suzanne Collins</v>
      </c>
      <c r="I172" t="str">
        <f t="shared" si="6"/>
        <v>Excellent</v>
      </c>
      <c r="J172" s="1" t="str">
        <f t="shared" si="7"/>
        <v>Affordable</v>
      </c>
      <c r="K172" s="1" t="str">
        <f t="shared" si="8"/>
        <v>High</v>
      </c>
    </row>
    <row r="173" spans="1:11" ht="13.8" x14ac:dyDescent="0.25">
      <c r="A173" t="s">
        <v>299</v>
      </c>
      <c r="B173" t="s">
        <v>81</v>
      </c>
      <c r="C173" s="2">
        <v>4.5</v>
      </c>
      <c r="D173" s="3">
        <v>26741</v>
      </c>
      <c r="E173" s="3">
        <v>8</v>
      </c>
      <c r="F173" s="1">
        <v>2011</v>
      </c>
      <c r="G173" t="s">
        <v>5</v>
      </c>
      <c r="H173" t="str">
        <f>TRIM(B173)</f>
        <v>Suzanne Collins</v>
      </c>
      <c r="I173" t="str">
        <f t="shared" si="6"/>
        <v>Excellent</v>
      </c>
      <c r="J173" s="1" t="str">
        <f t="shared" si="7"/>
        <v>Affordable</v>
      </c>
      <c r="K173" s="1" t="str">
        <f t="shared" si="8"/>
        <v>High</v>
      </c>
    </row>
    <row r="174" spans="1:11" ht="13.8" x14ac:dyDescent="0.25">
      <c r="A174" t="s">
        <v>299</v>
      </c>
      <c r="B174" t="s">
        <v>81</v>
      </c>
      <c r="C174" s="2">
        <v>4.5</v>
      </c>
      <c r="D174" s="3">
        <v>26741</v>
      </c>
      <c r="E174" s="3">
        <v>8</v>
      </c>
      <c r="F174" s="1">
        <v>2012</v>
      </c>
      <c r="G174" t="s">
        <v>5</v>
      </c>
      <c r="H174" t="str">
        <f>TRIM(B174)</f>
        <v>Suzanne Collins</v>
      </c>
      <c r="I174" t="str">
        <f t="shared" si="6"/>
        <v>Excellent</v>
      </c>
      <c r="J174" s="1" t="str">
        <f t="shared" si="7"/>
        <v>Affordable</v>
      </c>
      <c r="K174" s="1" t="str">
        <f t="shared" si="8"/>
        <v>High</v>
      </c>
    </row>
    <row r="175" spans="1:11" ht="13.8" x14ac:dyDescent="0.25">
      <c r="A175" t="s">
        <v>311</v>
      </c>
      <c r="B175" t="s">
        <v>312</v>
      </c>
      <c r="C175" s="2">
        <v>4.9000000000000004</v>
      </c>
      <c r="D175" s="3">
        <v>21834</v>
      </c>
      <c r="E175" s="3">
        <v>8</v>
      </c>
      <c r="F175" s="1">
        <v>2012</v>
      </c>
      <c r="G175" t="s">
        <v>5</v>
      </c>
      <c r="H175" t="str">
        <f>TRIM(B175)</f>
        <v>Dr. Seuss</v>
      </c>
      <c r="I175" t="str">
        <f t="shared" si="6"/>
        <v>Excellent</v>
      </c>
      <c r="J175" s="1" t="str">
        <f t="shared" si="7"/>
        <v>Affordable</v>
      </c>
      <c r="K175" s="1" t="str">
        <f t="shared" si="8"/>
        <v>High</v>
      </c>
    </row>
    <row r="176" spans="1:11" ht="13.8" x14ac:dyDescent="0.25">
      <c r="A176" t="s">
        <v>311</v>
      </c>
      <c r="B176" t="s">
        <v>312</v>
      </c>
      <c r="C176" s="2">
        <v>4.9000000000000004</v>
      </c>
      <c r="D176" s="3">
        <v>21834</v>
      </c>
      <c r="E176" s="3">
        <v>8</v>
      </c>
      <c r="F176" s="1">
        <v>2013</v>
      </c>
      <c r="G176" t="s">
        <v>5</v>
      </c>
      <c r="H176" t="str">
        <f>TRIM(B176)</f>
        <v>Dr. Seuss</v>
      </c>
      <c r="I176" t="str">
        <f t="shared" si="6"/>
        <v>Excellent</v>
      </c>
      <c r="J176" s="1" t="str">
        <f t="shared" si="7"/>
        <v>Affordable</v>
      </c>
      <c r="K176" s="1" t="str">
        <f t="shared" si="8"/>
        <v>High</v>
      </c>
    </row>
    <row r="177" spans="1:11" ht="13.8" x14ac:dyDescent="0.25">
      <c r="A177" t="s">
        <v>311</v>
      </c>
      <c r="B177" t="s">
        <v>312</v>
      </c>
      <c r="C177" s="2">
        <v>4.9000000000000004</v>
      </c>
      <c r="D177" s="3">
        <v>21834</v>
      </c>
      <c r="E177" s="3">
        <v>8</v>
      </c>
      <c r="F177" s="1">
        <v>2014</v>
      </c>
      <c r="G177" t="s">
        <v>5</v>
      </c>
      <c r="H177" t="str">
        <f>TRIM(B177)</f>
        <v>Dr. Seuss</v>
      </c>
      <c r="I177" t="str">
        <f t="shared" si="6"/>
        <v>Excellent</v>
      </c>
      <c r="J177" s="1" t="str">
        <f t="shared" si="7"/>
        <v>Affordable</v>
      </c>
      <c r="K177" s="1" t="str">
        <f t="shared" si="8"/>
        <v>High</v>
      </c>
    </row>
    <row r="178" spans="1:11" ht="13.8" x14ac:dyDescent="0.25">
      <c r="A178" t="s">
        <v>311</v>
      </c>
      <c r="B178" t="s">
        <v>312</v>
      </c>
      <c r="C178" s="2">
        <v>4.9000000000000004</v>
      </c>
      <c r="D178" s="3">
        <v>21834</v>
      </c>
      <c r="E178" s="3">
        <v>8</v>
      </c>
      <c r="F178" s="1">
        <v>2015</v>
      </c>
      <c r="G178" t="s">
        <v>5</v>
      </c>
      <c r="H178" t="str">
        <f>TRIM(B178)</f>
        <v>Dr. Seuss</v>
      </c>
      <c r="I178" t="str">
        <f t="shared" si="6"/>
        <v>Excellent</v>
      </c>
      <c r="J178" s="1" t="str">
        <f t="shared" si="7"/>
        <v>Affordable</v>
      </c>
      <c r="K178" s="1" t="str">
        <f t="shared" si="8"/>
        <v>High</v>
      </c>
    </row>
    <row r="179" spans="1:11" ht="13.8" x14ac:dyDescent="0.25">
      <c r="A179" t="s">
        <v>311</v>
      </c>
      <c r="B179" t="s">
        <v>312</v>
      </c>
      <c r="C179" s="2">
        <v>4.9000000000000004</v>
      </c>
      <c r="D179" s="3">
        <v>21834</v>
      </c>
      <c r="E179" s="3">
        <v>8</v>
      </c>
      <c r="F179" s="1">
        <v>2016</v>
      </c>
      <c r="G179" t="s">
        <v>5</v>
      </c>
      <c r="H179" t="str">
        <f>TRIM(B179)</f>
        <v>Dr. Seuss</v>
      </c>
      <c r="I179" t="str">
        <f t="shared" si="6"/>
        <v>Excellent</v>
      </c>
      <c r="J179" s="1" t="str">
        <f t="shared" si="7"/>
        <v>Affordable</v>
      </c>
      <c r="K179" s="1" t="str">
        <f t="shared" si="8"/>
        <v>High</v>
      </c>
    </row>
    <row r="180" spans="1:11" ht="13.8" x14ac:dyDescent="0.25">
      <c r="A180" t="s">
        <v>311</v>
      </c>
      <c r="B180" t="s">
        <v>312</v>
      </c>
      <c r="C180" s="2">
        <v>4.9000000000000004</v>
      </c>
      <c r="D180" s="3">
        <v>21834</v>
      </c>
      <c r="E180" s="3">
        <v>8</v>
      </c>
      <c r="F180" s="1">
        <v>2017</v>
      </c>
      <c r="G180" t="s">
        <v>5</v>
      </c>
      <c r="H180" t="str">
        <f>TRIM(B180)</f>
        <v>Dr. Seuss</v>
      </c>
      <c r="I180" t="str">
        <f t="shared" si="6"/>
        <v>Excellent</v>
      </c>
      <c r="J180" s="1" t="str">
        <f t="shared" si="7"/>
        <v>Affordable</v>
      </c>
      <c r="K180" s="1" t="str">
        <f t="shared" si="8"/>
        <v>High</v>
      </c>
    </row>
    <row r="181" spans="1:11" ht="13.8" x14ac:dyDescent="0.25">
      <c r="A181" t="s">
        <v>311</v>
      </c>
      <c r="B181" t="s">
        <v>312</v>
      </c>
      <c r="C181" s="2">
        <v>4.9000000000000004</v>
      </c>
      <c r="D181" s="3">
        <v>21834</v>
      </c>
      <c r="E181" s="3">
        <v>8</v>
      </c>
      <c r="F181" s="1">
        <v>2018</v>
      </c>
      <c r="G181" t="s">
        <v>5</v>
      </c>
      <c r="H181" t="str">
        <f>TRIM(B181)</f>
        <v>Dr. Seuss</v>
      </c>
      <c r="I181" t="str">
        <f t="shared" si="6"/>
        <v>Excellent</v>
      </c>
      <c r="J181" s="1" t="str">
        <f t="shared" si="7"/>
        <v>Affordable</v>
      </c>
      <c r="K181" s="1" t="str">
        <f t="shared" si="8"/>
        <v>High</v>
      </c>
    </row>
    <row r="182" spans="1:11" ht="13.8" x14ac:dyDescent="0.25">
      <c r="A182" t="s">
        <v>311</v>
      </c>
      <c r="B182" t="s">
        <v>312</v>
      </c>
      <c r="C182" s="2">
        <v>4.9000000000000004</v>
      </c>
      <c r="D182" s="3">
        <v>21834</v>
      </c>
      <c r="E182" s="3">
        <v>8</v>
      </c>
      <c r="F182" s="1">
        <v>2019</v>
      </c>
      <c r="G182" t="s">
        <v>5</v>
      </c>
      <c r="H182" t="str">
        <f>TRIM(B182)</f>
        <v>Dr. Seuss</v>
      </c>
      <c r="I182" t="str">
        <f t="shared" si="6"/>
        <v>Excellent</v>
      </c>
      <c r="J182" s="1" t="str">
        <f t="shared" si="7"/>
        <v>Affordable</v>
      </c>
      <c r="K182" s="1" t="str">
        <f t="shared" si="8"/>
        <v>High</v>
      </c>
    </row>
    <row r="183" spans="1:11" ht="13.8" x14ac:dyDescent="0.25">
      <c r="A183" t="s">
        <v>379</v>
      </c>
      <c r="B183" t="s">
        <v>378</v>
      </c>
      <c r="C183" s="2">
        <v>4.8</v>
      </c>
      <c r="D183" s="3">
        <v>25554</v>
      </c>
      <c r="E183" s="3">
        <v>8</v>
      </c>
      <c r="F183" s="1">
        <v>2015</v>
      </c>
      <c r="G183" t="s">
        <v>2</v>
      </c>
      <c r="H183" t="str">
        <f>TRIM(B183)</f>
        <v>Gary Chapman</v>
      </c>
      <c r="I183" t="str">
        <f t="shared" si="6"/>
        <v>Excellent</v>
      </c>
      <c r="J183" s="1" t="str">
        <f t="shared" si="7"/>
        <v>Affordable</v>
      </c>
      <c r="K183" s="1" t="str">
        <f t="shared" si="8"/>
        <v>High</v>
      </c>
    </row>
    <row r="184" spans="1:11" ht="13.8" x14ac:dyDescent="0.25">
      <c r="A184" t="s">
        <v>379</v>
      </c>
      <c r="B184" t="s">
        <v>378</v>
      </c>
      <c r="C184" s="2">
        <v>4.8</v>
      </c>
      <c r="D184" s="3">
        <v>25554</v>
      </c>
      <c r="E184" s="3">
        <v>8</v>
      </c>
      <c r="F184" s="1">
        <v>2016</v>
      </c>
      <c r="G184" t="s">
        <v>2</v>
      </c>
      <c r="H184" t="str">
        <f>TRIM(B184)</f>
        <v>Gary Chapman</v>
      </c>
      <c r="I184" t="str">
        <f t="shared" si="6"/>
        <v>Excellent</v>
      </c>
      <c r="J184" s="1" t="str">
        <f t="shared" si="7"/>
        <v>Affordable</v>
      </c>
      <c r="K184" s="1" t="str">
        <f t="shared" si="8"/>
        <v>High</v>
      </c>
    </row>
    <row r="185" spans="1:11" ht="13.8" x14ac:dyDescent="0.25">
      <c r="A185" t="s">
        <v>379</v>
      </c>
      <c r="B185" t="s">
        <v>378</v>
      </c>
      <c r="C185" s="2">
        <v>4.8</v>
      </c>
      <c r="D185" s="3">
        <v>25554</v>
      </c>
      <c r="E185" s="3">
        <v>8</v>
      </c>
      <c r="F185" s="1">
        <v>2017</v>
      </c>
      <c r="G185" t="s">
        <v>2</v>
      </c>
      <c r="H185" t="str">
        <f>TRIM(B185)</f>
        <v>Gary Chapman</v>
      </c>
      <c r="I185" t="str">
        <f t="shared" si="6"/>
        <v>Excellent</v>
      </c>
      <c r="J185" s="1" t="str">
        <f t="shared" si="7"/>
        <v>Affordable</v>
      </c>
      <c r="K185" s="1" t="str">
        <f t="shared" si="8"/>
        <v>High</v>
      </c>
    </row>
    <row r="186" spans="1:11" ht="13.8" x14ac:dyDescent="0.25">
      <c r="A186" t="s">
        <v>379</v>
      </c>
      <c r="B186" t="s">
        <v>378</v>
      </c>
      <c r="C186" s="2">
        <v>4.8</v>
      </c>
      <c r="D186" s="3">
        <v>25554</v>
      </c>
      <c r="E186" s="3">
        <v>8</v>
      </c>
      <c r="F186" s="1">
        <v>2018</v>
      </c>
      <c r="G186" t="s">
        <v>2</v>
      </c>
      <c r="H186" t="str">
        <f>TRIM(B186)</f>
        <v>Gary Chapman</v>
      </c>
      <c r="I186" t="str">
        <f t="shared" si="6"/>
        <v>Excellent</v>
      </c>
      <c r="J186" s="1" t="str">
        <f t="shared" si="7"/>
        <v>Affordable</v>
      </c>
      <c r="K186" s="1" t="str">
        <f t="shared" si="8"/>
        <v>High</v>
      </c>
    </row>
    <row r="187" spans="1:11" ht="13.8" x14ac:dyDescent="0.25">
      <c r="A187" t="s">
        <v>379</v>
      </c>
      <c r="B187" t="s">
        <v>378</v>
      </c>
      <c r="C187" s="2">
        <v>4.8</v>
      </c>
      <c r="D187" s="3">
        <v>25554</v>
      </c>
      <c r="E187" s="3">
        <v>8</v>
      </c>
      <c r="F187" s="1">
        <v>2019</v>
      </c>
      <c r="G187" t="s">
        <v>2</v>
      </c>
      <c r="H187" t="str">
        <f>TRIM(B187)</f>
        <v>Gary Chapman</v>
      </c>
      <c r="I187" t="str">
        <f t="shared" si="6"/>
        <v>Excellent</v>
      </c>
      <c r="J187" s="1" t="str">
        <f t="shared" si="7"/>
        <v>Affordable</v>
      </c>
      <c r="K187" s="1" t="str">
        <f t="shared" si="8"/>
        <v>High</v>
      </c>
    </row>
    <row r="188" spans="1:11" ht="13.8" x14ac:dyDescent="0.25">
      <c r="A188" t="s">
        <v>401</v>
      </c>
      <c r="B188" t="s">
        <v>402</v>
      </c>
      <c r="C188" s="2">
        <v>4.8</v>
      </c>
      <c r="D188" s="3">
        <v>8081</v>
      </c>
      <c r="E188" s="3">
        <v>8</v>
      </c>
      <c r="F188" s="1">
        <v>2014</v>
      </c>
      <c r="G188" t="s">
        <v>5</v>
      </c>
      <c r="H188" t="str">
        <f>TRIM(B188)</f>
        <v>B. J. Novak</v>
      </c>
      <c r="I188" t="str">
        <f t="shared" si="6"/>
        <v>Excellent</v>
      </c>
      <c r="J188" s="1" t="str">
        <f t="shared" si="7"/>
        <v>Affordable</v>
      </c>
      <c r="K188" s="1" t="str">
        <f t="shared" si="8"/>
        <v>Low</v>
      </c>
    </row>
    <row r="189" spans="1:11" ht="13.8" x14ac:dyDescent="0.25">
      <c r="A189" t="s">
        <v>401</v>
      </c>
      <c r="B189" t="s">
        <v>402</v>
      </c>
      <c r="C189" s="2">
        <v>4.8</v>
      </c>
      <c r="D189" s="3">
        <v>8081</v>
      </c>
      <c r="E189" s="3">
        <v>8</v>
      </c>
      <c r="F189" s="1">
        <v>2015</v>
      </c>
      <c r="G189" t="s">
        <v>5</v>
      </c>
      <c r="H189" t="str">
        <f>TRIM(B189)</f>
        <v>B. J. Novak</v>
      </c>
      <c r="I189" t="str">
        <f t="shared" si="6"/>
        <v>Excellent</v>
      </c>
      <c r="J189" s="1" t="str">
        <f t="shared" si="7"/>
        <v>Affordable</v>
      </c>
      <c r="K189" s="1" t="str">
        <f t="shared" si="8"/>
        <v>Low</v>
      </c>
    </row>
    <row r="190" spans="1:11" ht="13.8" x14ac:dyDescent="0.25">
      <c r="A190" t="s">
        <v>450</v>
      </c>
      <c r="B190" t="s">
        <v>451</v>
      </c>
      <c r="C190" s="2">
        <v>4.8</v>
      </c>
      <c r="D190" s="3">
        <v>13871</v>
      </c>
      <c r="E190" s="3">
        <v>8</v>
      </c>
      <c r="F190" s="1">
        <v>2011</v>
      </c>
      <c r="G190" t="s">
        <v>5</v>
      </c>
      <c r="H190" t="str">
        <f>TRIM(B190)</f>
        <v>Kathryn Stockett</v>
      </c>
      <c r="I190" t="str">
        <f t="shared" si="6"/>
        <v>Excellent</v>
      </c>
      <c r="J190" s="1" t="str">
        <f t="shared" si="7"/>
        <v>Affordable</v>
      </c>
      <c r="K190" s="1" t="str">
        <f t="shared" si="8"/>
        <v>High</v>
      </c>
    </row>
    <row r="191" spans="1:11" ht="13.8" x14ac:dyDescent="0.25">
      <c r="A191" t="s">
        <v>454</v>
      </c>
      <c r="B191" t="s">
        <v>81</v>
      </c>
      <c r="C191" s="2">
        <v>4.7</v>
      </c>
      <c r="D191" s="3">
        <v>32122</v>
      </c>
      <c r="E191" s="3">
        <v>8</v>
      </c>
      <c r="F191" s="1">
        <v>2011</v>
      </c>
      <c r="G191" t="s">
        <v>5</v>
      </c>
      <c r="H191" t="str">
        <f>TRIM(B191)</f>
        <v>Suzanne Collins</v>
      </c>
      <c r="I191" t="str">
        <f t="shared" si="6"/>
        <v>Excellent</v>
      </c>
      <c r="J191" s="1" t="str">
        <f t="shared" si="7"/>
        <v>Affordable</v>
      </c>
      <c r="K191" s="1" t="str">
        <f t="shared" si="8"/>
        <v>High</v>
      </c>
    </row>
    <row r="192" spans="1:11" ht="13.8" x14ac:dyDescent="0.25">
      <c r="A192" t="s">
        <v>454</v>
      </c>
      <c r="B192" t="s">
        <v>81</v>
      </c>
      <c r="C192" s="2">
        <v>4.7</v>
      </c>
      <c r="D192" s="3">
        <v>32122</v>
      </c>
      <c r="E192" s="3">
        <v>8</v>
      </c>
      <c r="F192" s="1">
        <v>2012</v>
      </c>
      <c r="G192" t="s">
        <v>5</v>
      </c>
      <c r="H192" t="str">
        <f>TRIM(B192)</f>
        <v>Suzanne Collins</v>
      </c>
      <c r="I192" t="str">
        <f t="shared" si="6"/>
        <v>Excellent</v>
      </c>
      <c r="J192" s="1" t="str">
        <f t="shared" si="7"/>
        <v>Affordable</v>
      </c>
      <c r="K192" s="1" t="str">
        <f t="shared" si="8"/>
        <v>High</v>
      </c>
    </row>
    <row r="193" spans="1:11" ht="13.8" x14ac:dyDescent="0.25">
      <c r="A193" t="s">
        <v>479</v>
      </c>
      <c r="B193" t="s">
        <v>480</v>
      </c>
      <c r="C193" s="2">
        <v>4.5</v>
      </c>
      <c r="D193" s="3">
        <v>10101</v>
      </c>
      <c r="E193" s="3">
        <v>8</v>
      </c>
      <c r="F193" s="1">
        <v>2014</v>
      </c>
      <c r="G193" t="s">
        <v>5</v>
      </c>
      <c r="H193" t="str">
        <f>TRIM(B193)</f>
        <v>James Dashner</v>
      </c>
      <c r="I193" t="str">
        <f t="shared" si="6"/>
        <v>Excellent</v>
      </c>
      <c r="J193" s="1" t="str">
        <f t="shared" si="7"/>
        <v>Affordable</v>
      </c>
      <c r="K193" s="1" t="str">
        <f t="shared" si="8"/>
        <v>High</v>
      </c>
    </row>
    <row r="194" spans="1:11" ht="13.8" x14ac:dyDescent="0.25">
      <c r="A194" t="s">
        <v>481</v>
      </c>
      <c r="B194" t="s">
        <v>73</v>
      </c>
      <c r="C194" s="2">
        <v>4.8</v>
      </c>
      <c r="D194" s="3">
        <v>5898</v>
      </c>
      <c r="E194" s="3">
        <v>8</v>
      </c>
      <c r="F194" s="1">
        <v>2018</v>
      </c>
      <c r="G194" t="s">
        <v>5</v>
      </c>
      <c r="H194" t="str">
        <f>TRIM(B194)</f>
        <v>Jeff Kinney</v>
      </c>
      <c r="I194" t="str">
        <f t="shared" ref="I194:I257" si="9">IF(C194&gt;=4.5,"Excellent","Average")</f>
        <v>Excellent</v>
      </c>
      <c r="J194" s="1" t="str">
        <f t="shared" ref="J194:J257" si="10">IF(E194&gt;=15,"Expensive","Affordable")</f>
        <v>Affordable</v>
      </c>
      <c r="K194" s="1" t="str">
        <f t="shared" ref="K194:K257" si="11">IF(D194&gt;=10000,"High","Low")</f>
        <v>Low</v>
      </c>
    </row>
    <row r="195" spans="1:11" ht="13.8" x14ac:dyDescent="0.25">
      <c r="A195" t="s">
        <v>508</v>
      </c>
      <c r="B195" t="s">
        <v>509</v>
      </c>
      <c r="C195" s="2">
        <v>4.5999999999999996</v>
      </c>
      <c r="D195" s="3">
        <v>19720</v>
      </c>
      <c r="E195" s="3">
        <v>8</v>
      </c>
      <c r="F195" s="1">
        <v>2009</v>
      </c>
      <c r="G195" t="s">
        <v>5</v>
      </c>
      <c r="H195" t="str">
        <f>TRIM(B195)</f>
        <v>William P. Young</v>
      </c>
      <c r="I195" t="str">
        <f t="shared" si="9"/>
        <v>Excellent</v>
      </c>
      <c r="J195" s="1" t="str">
        <f t="shared" si="10"/>
        <v>Affordable</v>
      </c>
      <c r="K195" s="1" t="str">
        <f t="shared" si="11"/>
        <v>High</v>
      </c>
    </row>
    <row r="196" spans="1:11" ht="13.8" x14ac:dyDescent="0.25">
      <c r="A196" t="s">
        <v>508</v>
      </c>
      <c r="B196" t="s">
        <v>509</v>
      </c>
      <c r="C196" s="2">
        <v>4.5999999999999996</v>
      </c>
      <c r="D196" s="3">
        <v>19720</v>
      </c>
      <c r="E196" s="3">
        <v>8</v>
      </c>
      <c r="F196" s="1">
        <v>2017</v>
      </c>
      <c r="G196" t="s">
        <v>5</v>
      </c>
      <c r="H196" t="str">
        <f>TRIM(B196)</f>
        <v>William P. Young</v>
      </c>
      <c r="I196" t="str">
        <f t="shared" si="9"/>
        <v>Excellent</v>
      </c>
      <c r="J196" s="1" t="str">
        <f t="shared" si="10"/>
        <v>Affordable</v>
      </c>
      <c r="K196" s="1" t="str">
        <f t="shared" si="11"/>
        <v>High</v>
      </c>
    </row>
    <row r="197" spans="1:11" ht="13.8" x14ac:dyDescent="0.25">
      <c r="A197" t="s">
        <v>598</v>
      </c>
      <c r="B197" t="s">
        <v>73</v>
      </c>
      <c r="C197" s="2">
        <v>4.9000000000000004</v>
      </c>
      <c r="D197" s="3">
        <v>9413</v>
      </c>
      <c r="E197" s="3">
        <v>8</v>
      </c>
      <c r="F197" s="1">
        <v>2019</v>
      </c>
      <c r="G197" t="s">
        <v>5</v>
      </c>
      <c r="H197" t="str">
        <f>TRIM(B197)</f>
        <v>Jeff Kinney</v>
      </c>
      <c r="I197" t="str">
        <f t="shared" si="9"/>
        <v>Excellent</v>
      </c>
      <c r="J197" s="1" t="str">
        <f t="shared" si="10"/>
        <v>Affordable</v>
      </c>
      <c r="K197" s="1" t="str">
        <f t="shared" si="11"/>
        <v>Low</v>
      </c>
    </row>
    <row r="198" spans="1:11" ht="13.8" x14ac:dyDescent="0.25">
      <c r="A198" t="s">
        <v>599</v>
      </c>
      <c r="B198" t="s">
        <v>600</v>
      </c>
      <c r="C198" s="2">
        <v>4.7</v>
      </c>
      <c r="D198" s="3">
        <v>14331</v>
      </c>
      <c r="E198" s="3">
        <v>8</v>
      </c>
      <c r="F198" s="1">
        <v>2016</v>
      </c>
      <c r="G198" t="s">
        <v>2</v>
      </c>
      <c r="H198" t="str">
        <f>TRIM(B198)</f>
        <v>Jen Sincero</v>
      </c>
      <c r="I198" t="str">
        <f t="shared" si="9"/>
        <v>Excellent</v>
      </c>
      <c r="J198" s="1" t="str">
        <f t="shared" si="10"/>
        <v>Affordable</v>
      </c>
      <c r="K198" s="1" t="str">
        <f t="shared" si="11"/>
        <v>High</v>
      </c>
    </row>
    <row r="199" spans="1:11" ht="13.8" x14ac:dyDescent="0.25">
      <c r="A199" t="s">
        <v>599</v>
      </c>
      <c r="B199" t="s">
        <v>600</v>
      </c>
      <c r="C199" s="2">
        <v>4.7</v>
      </c>
      <c r="D199" s="3">
        <v>14331</v>
      </c>
      <c r="E199" s="3">
        <v>8</v>
      </c>
      <c r="F199" s="1">
        <v>2017</v>
      </c>
      <c r="G199" t="s">
        <v>2</v>
      </c>
      <c r="H199" t="str">
        <f>TRIM(B199)</f>
        <v>Jen Sincero</v>
      </c>
      <c r="I199" t="str">
        <f t="shared" si="9"/>
        <v>Excellent</v>
      </c>
      <c r="J199" s="1" t="str">
        <f t="shared" si="10"/>
        <v>Affordable</v>
      </c>
      <c r="K199" s="1" t="str">
        <f t="shared" si="11"/>
        <v>High</v>
      </c>
    </row>
    <row r="200" spans="1:11" ht="13.8" x14ac:dyDescent="0.25">
      <c r="A200" t="s">
        <v>599</v>
      </c>
      <c r="B200" t="s">
        <v>600</v>
      </c>
      <c r="C200" s="2">
        <v>4.7</v>
      </c>
      <c r="D200" s="3">
        <v>14331</v>
      </c>
      <c r="E200" s="3">
        <v>8</v>
      </c>
      <c r="F200" s="1">
        <v>2018</v>
      </c>
      <c r="G200" t="s">
        <v>2</v>
      </c>
      <c r="H200" t="str">
        <f>TRIM(B200)</f>
        <v>Jen Sincero</v>
      </c>
      <c r="I200" t="str">
        <f t="shared" si="9"/>
        <v>Excellent</v>
      </c>
      <c r="J200" s="1" t="str">
        <f t="shared" si="10"/>
        <v>Affordable</v>
      </c>
      <c r="K200" s="1" t="str">
        <f t="shared" si="11"/>
        <v>High</v>
      </c>
    </row>
    <row r="201" spans="1:11" ht="13.8" x14ac:dyDescent="0.25">
      <c r="A201" t="s">
        <v>599</v>
      </c>
      <c r="B201" t="s">
        <v>600</v>
      </c>
      <c r="C201" s="2">
        <v>4.7</v>
      </c>
      <c r="D201" s="3">
        <v>14331</v>
      </c>
      <c r="E201" s="3">
        <v>8</v>
      </c>
      <c r="F201" s="1">
        <v>2019</v>
      </c>
      <c r="G201" t="s">
        <v>2</v>
      </c>
      <c r="H201" t="str">
        <f>TRIM(B201)</f>
        <v>Jen Sincero</v>
      </c>
      <c r="I201" t="str">
        <f t="shared" si="9"/>
        <v>Excellent</v>
      </c>
      <c r="J201" s="1" t="str">
        <f t="shared" si="10"/>
        <v>Affordable</v>
      </c>
      <c r="K201" s="1" t="str">
        <f t="shared" si="11"/>
        <v>High</v>
      </c>
    </row>
    <row r="202" spans="1:11" ht="13.8" x14ac:dyDescent="0.25">
      <c r="A202" t="s">
        <v>42</v>
      </c>
      <c r="B202" t="s">
        <v>43</v>
      </c>
      <c r="C202" s="2">
        <v>4.5999999999999996</v>
      </c>
      <c r="D202" s="3">
        <v>15921</v>
      </c>
      <c r="E202" s="3">
        <v>9</v>
      </c>
      <c r="F202" s="1">
        <v>2015</v>
      </c>
      <c r="G202" t="s">
        <v>2</v>
      </c>
      <c r="H202" t="str">
        <f>TRIM(B202)</f>
        <v>Chris Kyle</v>
      </c>
      <c r="I202" t="str">
        <f t="shared" si="9"/>
        <v>Excellent</v>
      </c>
      <c r="J202" s="1" t="str">
        <f t="shared" si="10"/>
        <v>Affordable</v>
      </c>
      <c r="K202" s="1" t="str">
        <f t="shared" si="11"/>
        <v>High</v>
      </c>
    </row>
    <row r="203" spans="1:11" ht="13.8" x14ac:dyDescent="0.25">
      <c r="A203" t="s">
        <v>48</v>
      </c>
      <c r="B203" t="s">
        <v>49</v>
      </c>
      <c r="C203" s="2">
        <v>4.7</v>
      </c>
      <c r="D203" s="3">
        <v>9374</v>
      </c>
      <c r="E203" s="3">
        <v>9</v>
      </c>
      <c r="F203" s="1">
        <v>2017</v>
      </c>
      <c r="G203" t="s">
        <v>2</v>
      </c>
      <c r="H203" t="str">
        <f>TRIM(B203)</f>
        <v>Neil deGrasse Tyson</v>
      </c>
      <c r="I203" t="str">
        <f t="shared" si="9"/>
        <v>Excellent</v>
      </c>
      <c r="J203" s="1" t="str">
        <f t="shared" si="10"/>
        <v>Affordable</v>
      </c>
      <c r="K203" s="1" t="str">
        <f t="shared" si="11"/>
        <v>Low</v>
      </c>
    </row>
    <row r="204" spans="1:11" ht="13.8" x14ac:dyDescent="0.25">
      <c r="A204" t="s">
        <v>135</v>
      </c>
      <c r="B204" t="s">
        <v>136</v>
      </c>
      <c r="C204" s="2">
        <v>4.5</v>
      </c>
      <c r="D204" s="3">
        <v>6346</v>
      </c>
      <c r="E204" s="3">
        <v>9</v>
      </c>
      <c r="F204" s="1">
        <v>2011</v>
      </c>
      <c r="G204" t="s">
        <v>2</v>
      </c>
      <c r="H204" t="str">
        <f>TRIM(B204)</f>
        <v>Joel Fuhrman MD</v>
      </c>
      <c r="I204" t="str">
        <f t="shared" si="9"/>
        <v>Excellent</v>
      </c>
      <c r="J204" s="1" t="str">
        <f t="shared" si="10"/>
        <v>Affordable</v>
      </c>
      <c r="K204" s="1" t="str">
        <f t="shared" si="11"/>
        <v>Low</v>
      </c>
    </row>
    <row r="205" spans="1:11" ht="13.8" x14ac:dyDescent="0.25">
      <c r="A205" t="s">
        <v>135</v>
      </c>
      <c r="B205" t="s">
        <v>136</v>
      </c>
      <c r="C205" s="2">
        <v>4.5</v>
      </c>
      <c r="D205" s="3">
        <v>6346</v>
      </c>
      <c r="E205" s="3">
        <v>9</v>
      </c>
      <c r="F205" s="1">
        <v>2012</v>
      </c>
      <c r="G205" t="s">
        <v>2</v>
      </c>
      <c r="H205" t="str">
        <f>TRIM(B205)</f>
        <v>Joel Fuhrman MD</v>
      </c>
      <c r="I205" t="str">
        <f t="shared" si="9"/>
        <v>Excellent</v>
      </c>
      <c r="J205" s="1" t="str">
        <f t="shared" si="10"/>
        <v>Affordable</v>
      </c>
      <c r="K205" s="1" t="str">
        <f t="shared" si="11"/>
        <v>Low</v>
      </c>
    </row>
    <row r="206" spans="1:11" ht="13.8" x14ac:dyDescent="0.25">
      <c r="A206" t="s">
        <v>141</v>
      </c>
      <c r="B206" t="s">
        <v>142</v>
      </c>
      <c r="C206" s="2">
        <v>4.7</v>
      </c>
      <c r="D206" s="3">
        <v>5413</v>
      </c>
      <c r="E206" s="3">
        <v>9</v>
      </c>
      <c r="F206" s="1">
        <v>2015</v>
      </c>
      <c r="G206" t="s">
        <v>2</v>
      </c>
      <c r="H206" t="str">
        <f>TRIM(B206)</f>
        <v>Johanna Basford</v>
      </c>
      <c r="I206" t="str">
        <f t="shared" si="9"/>
        <v>Excellent</v>
      </c>
      <c r="J206" s="1" t="str">
        <f t="shared" si="10"/>
        <v>Affordable</v>
      </c>
      <c r="K206" s="1" t="str">
        <f t="shared" si="11"/>
        <v>Low</v>
      </c>
    </row>
    <row r="207" spans="1:11" ht="13.8" x14ac:dyDescent="0.25">
      <c r="A207" t="s">
        <v>158</v>
      </c>
      <c r="B207" t="s">
        <v>159</v>
      </c>
      <c r="C207" s="2">
        <v>4.4000000000000004</v>
      </c>
      <c r="D207" s="3">
        <v>1555</v>
      </c>
      <c r="E207" s="3">
        <v>9</v>
      </c>
      <c r="F207" s="1">
        <v>2010</v>
      </c>
      <c r="G207" t="s">
        <v>2</v>
      </c>
      <c r="H207" t="str">
        <f>TRIM(B207)</f>
        <v>Michael Pollan</v>
      </c>
      <c r="I207" t="str">
        <f t="shared" si="9"/>
        <v>Average</v>
      </c>
      <c r="J207" s="1" t="str">
        <f t="shared" si="10"/>
        <v>Affordable</v>
      </c>
      <c r="K207" s="1" t="str">
        <f t="shared" si="11"/>
        <v>Low</v>
      </c>
    </row>
    <row r="208" spans="1:11" ht="13.8" x14ac:dyDescent="0.25">
      <c r="A208" t="s">
        <v>162</v>
      </c>
      <c r="B208" t="s">
        <v>163</v>
      </c>
      <c r="C208" s="2">
        <v>4.4000000000000004</v>
      </c>
      <c r="D208" s="3">
        <v>1215</v>
      </c>
      <c r="E208" s="3">
        <v>9</v>
      </c>
      <c r="F208" s="1">
        <v>2010</v>
      </c>
      <c r="G208" t="s">
        <v>2</v>
      </c>
      <c r="H208" t="str">
        <f>TRIM(B208)</f>
        <v>John Heilemann</v>
      </c>
      <c r="I208" t="str">
        <f t="shared" si="9"/>
        <v>Average</v>
      </c>
      <c r="J208" s="1" t="str">
        <f t="shared" si="10"/>
        <v>Affordable</v>
      </c>
      <c r="K208" s="1" t="str">
        <f t="shared" si="11"/>
        <v>Low</v>
      </c>
    </row>
    <row r="209" spans="1:11" ht="13.8" x14ac:dyDescent="0.25">
      <c r="A209" t="s">
        <v>178</v>
      </c>
      <c r="B209" t="s">
        <v>179</v>
      </c>
      <c r="C209" s="2">
        <v>4.8</v>
      </c>
      <c r="D209" s="3">
        <v>9568</v>
      </c>
      <c r="E209" s="3">
        <v>9</v>
      </c>
      <c r="F209" s="1">
        <v>2011</v>
      </c>
      <c r="G209" t="s">
        <v>5</v>
      </c>
      <c r="H209" t="str">
        <f>TRIM(B209)</f>
        <v>Adam Mansbach</v>
      </c>
      <c r="I209" t="str">
        <f t="shared" si="9"/>
        <v>Excellent</v>
      </c>
      <c r="J209" s="1" t="str">
        <f t="shared" si="10"/>
        <v>Affordable</v>
      </c>
      <c r="K209" s="1" t="str">
        <f t="shared" si="11"/>
        <v>Low</v>
      </c>
    </row>
    <row r="210" spans="1:11" ht="13.8" x14ac:dyDescent="0.25">
      <c r="A210" t="s">
        <v>182</v>
      </c>
      <c r="B210" t="s">
        <v>183</v>
      </c>
      <c r="C210" s="2">
        <v>4</v>
      </c>
      <c r="D210" s="3">
        <v>57271</v>
      </c>
      <c r="E210" s="3">
        <v>9</v>
      </c>
      <c r="F210" s="1">
        <v>2014</v>
      </c>
      <c r="G210" t="s">
        <v>5</v>
      </c>
      <c r="H210" t="str">
        <f>TRIM(B210)</f>
        <v>Gillian Flynn</v>
      </c>
      <c r="I210" t="str">
        <f t="shared" si="9"/>
        <v>Average</v>
      </c>
      <c r="J210" s="1" t="str">
        <f t="shared" si="10"/>
        <v>Affordable</v>
      </c>
      <c r="K210" s="1" t="str">
        <f t="shared" si="11"/>
        <v>High</v>
      </c>
    </row>
    <row r="211" spans="1:11" ht="13.8" x14ac:dyDescent="0.25">
      <c r="A211" t="s">
        <v>207</v>
      </c>
      <c r="B211" t="s">
        <v>208</v>
      </c>
      <c r="C211" s="2">
        <v>4.7</v>
      </c>
      <c r="D211" s="3">
        <v>3564</v>
      </c>
      <c r="E211" s="3">
        <v>9</v>
      </c>
      <c r="F211" s="1">
        <v>2015</v>
      </c>
      <c r="G211" t="s">
        <v>2</v>
      </c>
      <c r="H211" t="str">
        <f>TRIM(B211)</f>
        <v>Scholastic</v>
      </c>
      <c r="I211" t="str">
        <f t="shared" si="9"/>
        <v>Excellent</v>
      </c>
      <c r="J211" s="1" t="str">
        <f t="shared" si="10"/>
        <v>Affordable</v>
      </c>
      <c r="K211" s="1" t="str">
        <f t="shared" si="11"/>
        <v>Low</v>
      </c>
    </row>
    <row r="212" spans="1:11" ht="13.8" x14ac:dyDescent="0.25">
      <c r="A212" t="s">
        <v>233</v>
      </c>
      <c r="B212" t="s">
        <v>234</v>
      </c>
      <c r="C212" s="2">
        <v>4.3</v>
      </c>
      <c r="D212" s="3">
        <v>7153</v>
      </c>
      <c r="E212" s="3">
        <v>9</v>
      </c>
      <c r="F212" s="1">
        <v>2014</v>
      </c>
      <c r="G212" t="s">
        <v>5</v>
      </c>
      <c r="H212" t="str">
        <f>TRIM(B212)</f>
        <v>Gayle Forman</v>
      </c>
      <c r="I212" t="str">
        <f t="shared" si="9"/>
        <v>Average</v>
      </c>
      <c r="J212" s="1" t="str">
        <f t="shared" si="10"/>
        <v>Affordable</v>
      </c>
      <c r="K212" s="1" t="str">
        <f t="shared" si="11"/>
        <v>Low</v>
      </c>
    </row>
    <row r="213" spans="1:11" ht="13.8" x14ac:dyDescent="0.25">
      <c r="A213" t="s">
        <v>305</v>
      </c>
      <c r="B213" t="s">
        <v>306</v>
      </c>
      <c r="C213" s="2">
        <v>4.7</v>
      </c>
      <c r="D213" s="3">
        <v>5178</v>
      </c>
      <c r="E213" s="3">
        <v>9</v>
      </c>
      <c r="F213" s="1">
        <v>2016</v>
      </c>
      <c r="G213" t="s">
        <v>2</v>
      </c>
      <c r="H213" t="str">
        <f>TRIM(B213)</f>
        <v>Elie Wiesel</v>
      </c>
      <c r="I213" t="str">
        <f t="shared" si="9"/>
        <v>Excellent</v>
      </c>
      <c r="J213" s="1" t="str">
        <f t="shared" si="10"/>
        <v>Affordable</v>
      </c>
      <c r="K213" s="1" t="str">
        <f t="shared" si="11"/>
        <v>Low</v>
      </c>
    </row>
    <row r="214" spans="1:11" ht="13.8" x14ac:dyDescent="0.25">
      <c r="A214" t="s">
        <v>318</v>
      </c>
      <c r="B214" t="s">
        <v>266</v>
      </c>
      <c r="C214" s="2">
        <v>4.5</v>
      </c>
      <c r="D214" s="3">
        <v>1831</v>
      </c>
      <c r="E214" s="3">
        <v>9</v>
      </c>
      <c r="F214" s="1">
        <v>2017</v>
      </c>
      <c r="G214" t="s">
        <v>2</v>
      </c>
      <c r="H214" t="str">
        <f>TRIM(B214)</f>
        <v>Sheryl Sandberg</v>
      </c>
      <c r="I214" t="str">
        <f t="shared" si="9"/>
        <v>Excellent</v>
      </c>
      <c r="J214" s="1" t="str">
        <f t="shared" si="10"/>
        <v>Affordable</v>
      </c>
      <c r="K214" s="1" t="str">
        <f t="shared" si="11"/>
        <v>Low</v>
      </c>
    </row>
    <row r="215" spans="1:11" ht="13.8" x14ac:dyDescent="0.25">
      <c r="A215" t="s">
        <v>329</v>
      </c>
      <c r="B215" t="s">
        <v>208</v>
      </c>
      <c r="C215" s="2">
        <v>4.7</v>
      </c>
      <c r="D215" s="3">
        <v>3503</v>
      </c>
      <c r="E215" s="3">
        <v>9</v>
      </c>
      <c r="F215" s="1">
        <v>2016</v>
      </c>
      <c r="G215" t="s">
        <v>5</v>
      </c>
      <c r="H215" t="str">
        <f>TRIM(B215)</f>
        <v>Scholastic</v>
      </c>
      <c r="I215" t="str">
        <f t="shared" si="9"/>
        <v>Excellent</v>
      </c>
      <c r="J215" s="1" t="str">
        <f t="shared" si="10"/>
        <v>Affordable</v>
      </c>
      <c r="K215" s="1" t="str">
        <f t="shared" si="11"/>
        <v>Low</v>
      </c>
    </row>
    <row r="216" spans="1:11" ht="13.8" x14ac:dyDescent="0.25">
      <c r="A216" t="s">
        <v>338</v>
      </c>
      <c r="B216" t="s">
        <v>339</v>
      </c>
      <c r="C216" s="2">
        <v>4.7</v>
      </c>
      <c r="D216" s="3">
        <v>1985</v>
      </c>
      <c r="E216" s="3">
        <v>9</v>
      </c>
      <c r="F216" s="1">
        <v>2010</v>
      </c>
      <c r="G216" t="s">
        <v>2</v>
      </c>
      <c r="H216" t="str">
        <f>TRIM(B216)</f>
        <v>David Platt</v>
      </c>
      <c r="I216" t="str">
        <f t="shared" si="9"/>
        <v>Excellent</v>
      </c>
      <c r="J216" s="1" t="str">
        <f t="shared" si="10"/>
        <v>Affordable</v>
      </c>
      <c r="K216" s="1" t="str">
        <f t="shared" si="11"/>
        <v>Low</v>
      </c>
    </row>
    <row r="217" spans="1:11" ht="13.8" x14ac:dyDescent="0.25">
      <c r="A217" t="s">
        <v>338</v>
      </c>
      <c r="B217" t="s">
        <v>339</v>
      </c>
      <c r="C217" s="2">
        <v>4.7</v>
      </c>
      <c r="D217" s="3">
        <v>1985</v>
      </c>
      <c r="E217" s="3">
        <v>9</v>
      </c>
      <c r="F217" s="1">
        <v>2011</v>
      </c>
      <c r="G217" t="s">
        <v>2</v>
      </c>
      <c r="H217" t="str">
        <f>TRIM(B217)</f>
        <v>David Platt</v>
      </c>
      <c r="I217" t="str">
        <f t="shared" si="9"/>
        <v>Excellent</v>
      </c>
      <c r="J217" s="1" t="str">
        <f t="shared" si="10"/>
        <v>Affordable</v>
      </c>
      <c r="K217" s="1" t="str">
        <f t="shared" si="11"/>
        <v>Low</v>
      </c>
    </row>
    <row r="218" spans="1:11" ht="13.8" x14ac:dyDescent="0.25">
      <c r="A218" t="s">
        <v>351</v>
      </c>
      <c r="B218" t="s">
        <v>142</v>
      </c>
      <c r="C218" s="2">
        <v>4.7</v>
      </c>
      <c r="D218" s="3">
        <v>9366</v>
      </c>
      <c r="E218" s="3">
        <v>9</v>
      </c>
      <c r="F218" s="1">
        <v>2015</v>
      </c>
      <c r="G218" t="s">
        <v>2</v>
      </c>
      <c r="H218" t="str">
        <f>TRIM(B218)</f>
        <v>Johanna Basford</v>
      </c>
      <c r="I218" t="str">
        <f t="shared" si="9"/>
        <v>Excellent</v>
      </c>
      <c r="J218" s="1" t="str">
        <f t="shared" si="10"/>
        <v>Affordable</v>
      </c>
      <c r="K218" s="1" t="str">
        <f t="shared" si="11"/>
        <v>Low</v>
      </c>
    </row>
    <row r="219" spans="1:11" ht="13.8" x14ac:dyDescent="0.25">
      <c r="A219" t="s">
        <v>386</v>
      </c>
      <c r="B219" t="s">
        <v>387</v>
      </c>
      <c r="C219" s="2">
        <v>4.5999999999999996</v>
      </c>
      <c r="D219" s="3">
        <v>2580</v>
      </c>
      <c r="E219" s="3">
        <v>9</v>
      </c>
      <c r="F219" s="1">
        <v>2012</v>
      </c>
      <c r="G219" t="s">
        <v>2</v>
      </c>
      <c r="H219" t="str">
        <f>TRIM(B219)</f>
        <v>Edward Klein</v>
      </c>
      <c r="I219" t="str">
        <f t="shared" si="9"/>
        <v>Excellent</v>
      </c>
      <c r="J219" s="1" t="str">
        <f t="shared" si="10"/>
        <v>Affordable</v>
      </c>
      <c r="K219" s="1" t="str">
        <f t="shared" si="11"/>
        <v>Low</v>
      </c>
    </row>
    <row r="220" spans="1:11" ht="13.8" x14ac:dyDescent="0.25">
      <c r="A220" t="s">
        <v>415</v>
      </c>
      <c r="B220" t="s">
        <v>416</v>
      </c>
      <c r="C220" s="2">
        <v>4.8</v>
      </c>
      <c r="D220" s="3">
        <v>8922</v>
      </c>
      <c r="E220" s="3">
        <v>9</v>
      </c>
      <c r="F220" s="1">
        <v>2013</v>
      </c>
      <c r="G220" t="s">
        <v>5</v>
      </c>
      <c r="H220" t="str">
        <f>TRIM(B220)</f>
        <v>Drew Daywalt</v>
      </c>
      <c r="I220" t="str">
        <f t="shared" si="9"/>
        <v>Excellent</v>
      </c>
      <c r="J220" s="1" t="str">
        <f t="shared" si="10"/>
        <v>Affordable</v>
      </c>
      <c r="K220" s="1" t="str">
        <f t="shared" si="11"/>
        <v>Low</v>
      </c>
    </row>
    <row r="221" spans="1:11" ht="13.8" x14ac:dyDescent="0.25">
      <c r="A221" t="s">
        <v>415</v>
      </c>
      <c r="B221" t="s">
        <v>416</v>
      </c>
      <c r="C221" s="2">
        <v>4.8</v>
      </c>
      <c r="D221" s="3">
        <v>8922</v>
      </c>
      <c r="E221" s="3">
        <v>9</v>
      </c>
      <c r="F221" s="1">
        <v>2014</v>
      </c>
      <c r="G221" t="s">
        <v>5</v>
      </c>
      <c r="H221" t="str">
        <f>TRIM(B221)</f>
        <v>Drew Daywalt</v>
      </c>
      <c r="I221" t="str">
        <f t="shared" si="9"/>
        <v>Excellent</v>
      </c>
      <c r="J221" s="1" t="str">
        <f t="shared" si="10"/>
        <v>Affordable</v>
      </c>
      <c r="K221" s="1" t="str">
        <f t="shared" si="11"/>
        <v>Low</v>
      </c>
    </row>
    <row r="222" spans="1:11" ht="13.8" x14ac:dyDescent="0.25">
      <c r="A222" t="s">
        <v>415</v>
      </c>
      <c r="B222" t="s">
        <v>416</v>
      </c>
      <c r="C222" s="2">
        <v>4.8</v>
      </c>
      <c r="D222" s="3">
        <v>8922</v>
      </c>
      <c r="E222" s="3">
        <v>9</v>
      </c>
      <c r="F222" s="1">
        <v>2015</v>
      </c>
      <c r="G222" t="s">
        <v>5</v>
      </c>
      <c r="H222" t="str">
        <f>TRIM(B222)</f>
        <v>Drew Daywalt</v>
      </c>
      <c r="I222" t="str">
        <f t="shared" si="9"/>
        <v>Excellent</v>
      </c>
      <c r="J222" s="1" t="str">
        <f t="shared" si="10"/>
        <v>Affordable</v>
      </c>
      <c r="K222" s="1" t="str">
        <f t="shared" si="11"/>
        <v>Low</v>
      </c>
    </row>
    <row r="223" spans="1:11" ht="13.8" x14ac:dyDescent="0.25">
      <c r="A223" t="s">
        <v>424</v>
      </c>
      <c r="B223" t="s">
        <v>378</v>
      </c>
      <c r="C223" s="2">
        <v>4.5999999999999996</v>
      </c>
      <c r="D223" s="3">
        <v>803</v>
      </c>
      <c r="E223" s="3">
        <v>9</v>
      </c>
      <c r="F223" s="1">
        <v>2009</v>
      </c>
      <c r="G223" t="s">
        <v>2</v>
      </c>
      <c r="H223" t="str">
        <f>TRIM(B223)</f>
        <v>Gary Chapman</v>
      </c>
      <c r="I223" t="str">
        <f t="shared" si="9"/>
        <v>Excellent</v>
      </c>
      <c r="J223" s="1" t="str">
        <f t="shared" si="10"/>
        <v>Affordable</v>
      </c>
      <c r="K223" s="1" t="str">
        <f t="shared" si="11"/>
        <v>Low</v>
      </c>
    </row>
    <row r="224" spans="1:11" ht="13.8" x14ac:dyDescent="0.25">
      <c r="A224" t="s">
        <v>432</v>
      </c>
      <c r="B224" t="s">
        <v>431</v>
      </c>
      <c r="C224" s="2">
        <v>4.7</v>
      </c>
      <c r="D224" s="3">
        <v>7251</v>
      </c>
      <c r="E224" s="3">
        <v>9</v>
      </c>
      <c r="F224" s="1">
        <v>2010</v>
      </c>
      <c r="G224" t="s">
        <v>5</v>
      </c>
      <c r="H224" t="str">
        <f>TRIM(B224)</f>
        <v>Stieg Larsson</v>
      </c>
      <c r="I224" t="str">
        <f t="shared" si="9"/>
        <v>Excellent</v>
      </c>
      <c r="J224" s="1" t="str">
        <f t="shared" si="10"/>
        <v>Affordable</v>
      </c>
      <c r="K224" s="1" t="str">
        <f t="shared" si="11"/>
        <v>Low</v>
      </c>
    </row>
    <row r="225" spans="1:11" ht="13.8" x14ac:dyDescent="0.25">
      <c r="A225" t="s">
        <v>456</v>
      </c>
      <c r="B225" t="s">
        <v>457</v>
      </c>
      <c r="C225" s="2">
        <v>4.7</v>
      </c>
      <c r="D225" s="3">
        <v>9289</v>
      </c>
      <c r="E225" s="3">
        <v>9</v>
      </c>
      <c r="F225" s="1">
        <v>2011</v>
      </c>
      <c r="G225" t="s">
        <v>2</v>
      </c>
      <c r="H225" t="str">
        <f>TRIM(B225)</f>
        <v>Rebecca Skloot</v>
      </c>
      <c r="I225" t="str">
        <f t="shared" si="9"/>
        <v>Excellent</v>
      </c>
      <c r="J225" s="1" t="str">
        <f t="shared" si="10"/>
        <v>Affordable</v>
      </c>
      <c r="K225" s="1" t="str">
        <f t="shared" si="11"/>
        <v>Low</v>
      </c>
    </row>
    <row r="226" spans="1:11" ht="13.8" x14ac:dyDescent="0.25">
      <c r="A226" t="s">
        <v>456</v>
      </c>
      <c r="B226" t="s">
        <v>457</v>
      </c>
      <c r="C226" s="2">
        <v>4.7</v>
      </c>
      <c r="D226" s="3">
        <v>9289</v>
      </c>
      <c r="E226" s="3">
        <v>9</v>
      </c>
      <c r="F226" s="1">
        <v>2012</v>
      </c>
      <c r="G226" t="s">
        <v>2</v>
      </c>
      <c r="H226" t="str">
        <f>TRIM(B226)</f>
        <v>Rebecca Skloot</v>
      </c>
      <c r="I226" t="str">
        <f t="shared" si="9"/>
        <v>Excellent</v>
      </c>
      <c r="J226" s="1" t="str">
        <f t="shared" si="10"/>
        <v>Affordable</v>
      </c>
      <c r="K226" s="1" t="str">
        <f t="shared" si="11"/>
        <v>Low</v>
      </c>
    </row>
    <row r="227" spans="1:11" ht="13.8" x14ac:dyDescent="0.25">
      <c r="A227" t="s">
        <v>460</v>
      </c>
      <c r="B227" t="s">
        <v>461</v>
      </c>
      <c r="C227" s="2">
        <v>4.7</v>
      </c>
      <c r="D227" s="3">
        <v>4028</v>
      </c>
      <c r="E227" s="3">
        <v>9</v>
      </c>
      <c r="F227" s="1">
        <v>2009</v>
      </c>
      <c r="G227" t="s">
        <v>2</v>
      </c>
      <c r="H227" t="str">
        <f>TRIM(B227)</f>
        <v>Randy Pausch</v>
      </c>
      <c r="I227" t="str">
        <f t="shared" si="9"/>
        <v>Excellent</v>
      </c>
      <c r="J227" s="1" t="str">
        <f t="shared" si="10"/>
        <v>Affordable</v>
      </c>
      <c r="K227" s="1" t="str">
        <f t="shared" si="11"/>
        <v>Low</v>
      </c>
    </row>
    <row r="228" spans="1:11" ht="13.8" x14ac:dyDescent="0.25">
      <c r="A228" t="s">
        <v>477</v>
      </c>
      <c r="B228" t="s">
        <v>478</v>
      </c>
      <c r="C228" s="2">
        <v>4.7</v>
      </c>
      <c r="D228" s="3">
        <v>39459</v>
      </c>
      <c r="E228" s="3">
        <v>9</v>
      </c>
      <c r="F228" s="1">
        <v>2015</v>
      </c>
      <c r="G228" t="s">
        <v>5</v>
      </c>
      <c r="H228" t="str">
        <f>TRIM(B228)</f>
        <v>Andy Weir</v>
      </c>
      <c r="I228" t="str">
        <f t="shared" si="9"/>
        <v>Excellent</v>
      </c>
      <c r="J228" s="1" t="str">
        <f t="shared" si="10"/>
        <v>Affordable</v>
      </c>
      <c r="K228" s="1" t="str">
        <f t="shared" si="11"/>
        <v>High</v>
      </c>
    </row>
    <row r="229" spans="1:11" ht="13.8" x14ac:dyDescent="0.25">
      <c r="A229" t="s">
        <v>516</v>
      </c>
      <c r="B229" t="s">
        <v>294</v>
      </c>
      <c r="C229" s="2">
        <v>4.7</v>
      </c>
      <c r="D229" s="3">
        <v>5487</v>
      </c>
      <c r="E229" s="3">
        <v>9</v>
      </c>
      <c r="F229" s="1">
        <v>2017</v>
      </c>
      <c r="G229" t="s">
        <v>2</v>
      </c>
      <c r="H229" t="str">
        <f>TRIM(B229)</f>
        <v>Rupi Kaur</v>
      </c>
      <c r="I229" t="str">
        <f t="shared" si="9"/>
        <v>Excellent</v>
      </c>
      <c r="J229" s="1" t="str">
        <f t="shared" si="10"/>
        <v>Affordable</v>
      </c>
      <c r="K229" s="1" t="str">
        <f t="shared" si="11"/>
        <v>Low</v>
      </c>
    </row>
    <row r="230" spans="1:11" ht="13.8" x14ac:dyDescent="0.25">
      <c r="A230" t="s">
        <v>521</v>
      </c>
      <c r="B230" t="s">
        <v>96</v>
      </c>
      <c r="C230" s="2">
        <v>4.4000000000000004</v>
      </c>
      <c r="D230" s="3">
        <v>3503</v>
      </c>
      <c r="E230" s="3">
        <v>9</v>
      </c>
      <c r="F230" s="1">
        <v>2009</v>
      </c>
      <c r="G230" t="s">
        <v>2</v>
      </c>
      <c r="H230" t="str">
        <f>TRIM(B230)</f>
        <v>Malcolm Gladwell</v>
      </c>
      <c r="I230" t="str">
        <f t="shared" si="9"/>
        <v>Average</v>
      </c>
      <c r="J230" s="1" t="str">
        <f t="shared" si="10"/>
        <v>Affordable</v>
      </c>
      <c r="K230" s="1" t="str">
        <f t="shared" si="11"/>
        <v>Low</v>
      </c>
    </row>
    <row r="231" spans="1:11" ht="13.8" x14ac:dyDescent="0.25">
      <c r="A231" t="s">
        <v>542</v>
      </c>
      <c r="B231" t="s">
        <v>543</v>
      </c>
      <c r="C231" s="2">
        <v>4.5</v>
      </c>
      <c r="D231" s="3">
        <v>7932</v>
      </c>
      <c r="E231" s="3">
        <v>9</v>
      </c>
      <c r="F231" s="1">
        <v>2017</v>
      </c>
      <c r="G231" t="s">
        <v>5</v>
      </c>
      <c r="H231" t="str">
        <f>TRIM(B231)</f>
        <v>Jay Asher</v>
      </c>
      <c r="I231" t="str">
        <f t="shared" si="9"/>
        <v>Excellent</v>
      </c>
      <c r="J231" s="1" t="str">
        <f t="shared" si="10"/>
        <v>Affordable</v>
      </c>
      <c r="K231" s="1" t="str">
        <f t="shared" si="11"/>
        <v>Low</v>
      </c>
    </row>
    <row r="232" spans="1:11" ht="13.8" x14ac:dyDescent="0.25">
      <c r="A232" t="s">
        <v>558</v>
      </c>
      <c r="B232" t="s">
        <v>68</v>
      </c>
      <c r="C232" s="2">
        <v>4.7</v>
      </c>
      <c r="D232" s="3">
        <v>11676</v>
      </c>
      <c r="E232" s="3">
        <v>9</v>
      </c>
      <c r="F232" s="1">
        <v>2009</v>
      </c>
      <c r="G232" t="s">
        <v>5</v>
      </c>
      <c r="H232" t="str">
        <f>TRIM(B232)</f>
        <v>Stephenie Meyer</v>
      </c>
      <c r="I232" t="str">
        <f t="shared" si="9"/>
        <v>Excellent</v>
      </c>
      <c r="J232" s="1" t="str">
        <f t="shared" si="10"/>
        <v>Affordable</v>
      </c>
      <c r="K232" s="1" t="str">
        <f t="shared" si="11"/>
        <v>High</v>
      </c>
    </row>
    <row r="233" spans="1:11" ht="13.8" x14ac:dyDescent="0.25">
      <c r="A233" t="s">
        <v>566</v>
      </c>
      <c r="B233" t="s">
        <v>244</v>
      </c>
      <c r="C233" s="2">
        <v>4.7</v>
      </c>
      <c r="D233" s="3">
        <v>4585</v>
      </c>
      <c r="E233" s="3">
        <v>9</v>
      </c>
      <c r="F233" s="1">
        <v>2016</v>
      </c>
      <c r="G233" t="s">
        <v>2</v>
      </c>
      <c r="H233" t="str">
        <f>TRIM(B233)</f>
        <v>Lysa TerKeurst</v>
      </c>
      <c r="I233" t="str">
        <f t="shared" si="9"/>
        <v>Excellent</v>
      </c>
      <c r="J233" s="1" t="str">
        <f t="shared" si="10"/>
        <v>Affordable</v>
      </c>
      <c r="K233" s="1" t="str">
        <f t="shared" si="11"/>
        <v>Low</v>
      </c>
    </row>
    <row r="234" spans="1:11" ht="13.8" x14ac:dyDescent="0.25">
      <c r="A234" t="s">
        <v>578</v>
      </c>
      <c r="B234" t="s">
        <v>579</v>
      </c>
      <c r="C234" s="2">
        <v>4.4000000000000004</v>
      </c>
      <c r="D234" s="3">
        <v>3341</v>
      </c>
      <c r="E234" s="3">
        <v>9</v>
      </c>
      <c r="F234" s="1">
        <v>2011</v>
      </c>
      <c r="G234" t="s">
        <v>2</v>
      </c>
      <c r="H234" t="str">
        <f>TRIM(B234)</f>
        <v>Heidi Murkoff</v>
      </c>
      <c r="I234" t="str">
        <f t="shared" si="9"/>
        <v>Average</v>
      </c>
      <c r="J234" s="1" t="str">
        <f t="shared" si="10"/>
        <v>Affordable</v>
      </c>
      <c r="K234" s="1" t="str">
        <f t="shared" si="11"/>
        <v>Low</v>
      </c>
    </row>
    <row r="235" spans="1:11" ht="13.8" x14ac:dyDescent="0.25">
      <c r="A235" t="s">
        <v>596</v>
      </c>
      <c r="B235" t="s">
        <v>597</v>
      </c>
      <c r="C235" s="2">
        <v>4.8</v>
      </c>
      <c r="D235" s="3">
        <v>21625</v>
      </c>
      <c r="E235" s="3">
        <v>9</v>
      </c>
      <c r="F235" s="1">
        <v>2013</v>
      </c>
      <c r="G235" t="s">
        <v>5</v>
      </c>
      <c r="H235" t="str">
        <f>TRIM(B235)</f>
        <v>R. J. Palacio</v>
      </c>
      <c r="I235" t="str">
        <f t="shared" si="9"/>
        <v>Excellent</v>
      </c>
      <c r="J235" s="1" t="str">
        <f t="shared" si="10"/>
        <v>Affordable</v>
      </c>
      <c r="K235" s="1" t="str">
        <f t="shared" si="11"/>
        <v>High</v>
      </c>
    </row>
    <row r="236" spans="1:11" ht="13.8" x14ac:dyDescent="0.25">
      <c r="A236" t="s">
        <v>596</v>
      </c>
      <c r="B236" t="s">
        <v>597</v>
      </c>
      <c r="C236" s="2">
        <v>4.8</v>
      </c>
      <c r="D236" s="3">
        <v>21625</v>
      </c>
      <c r="E236" s="3">
        <v>9</v>
      </c>
      <c r="F236" s="1">
        <v>2014</v>
      </c>
      <c r="G236" t="s">
        <v>5</v>
      </c>
      <c r="H236" t="str">
        <f>TRIM(B236)</f>
        <v>R. J. Palacio</v>
      </c>
      <c r="I236" t="str">
        <f t="shared" si="9"/>
        <v>Excellent</v>
      </c>
      <c r="J236" s="1" t="str">
        <f t="shared" si="10"/>
        <v>Affordable</v>
      </c>
      <c r="K236" s="1" t="str">
        <f t="shared" si="11"/>
        <v>High</v>
      </c>
    </row>
    <row r="237" spans="1:11" ht="13.8" x14ac:dyDescent="0.25">
      <c r="A237" t="s">
        <v>596</v>
      </c>
      <c r="B237" t="s">
        <v>597</v>
      </c>
      <c r="C237" s="2">
        <v>4.8</v>
      </c>
      <c r="D237" s="3">
        <v>21625</v>
      </c>
      <c r="E237" s="3">
        <v>9</v>
      </c>
      <c r="F237" s="1">
        <v>2015</v>
      </c>
      <c r="G237" t="s">
        <v>5</v>
      </c>
      <c r="H237" t="str">
        <f>TRIM(B237)</f>
        <v>R. J. Palacio</v>
      </c>
      <c r="I237" t="str">
        <f t="shared" si="9"/>
        <v>Excellent</v>
      </c>
      <c r="J237" s="1" t="str">
        <f t="shared" si="10"/>
        <v>Affordable</v>
      </c>
      <c r="K237" s="1" t="str">
        <f t="shared" si="11"/>
        <v>High</v>
      </c>
    </row>
    <row r="238" spans="1:11" ht="13.8" x14ac:dyDescent="0.25">
      <c r="A238" t="s">
        <v>596</v>
      </c>
      <c r="B238" t="s">
        <v>597</v>
      </c>
      <c r="C238" s="2">
        <v>4.8</v>
      </c>
      <c r="D238" s="3">
        <v>21625</v>
      </c>
      <c r="E238" s="3">
        <v>9</v>
      </c>
      <c r="F238" s="1">
        <v>2016</v>
      </c>
      <c r="G238" t="s">
        <v>5</v>
      </c>
      <c r="H238" t="str">
        <f>TRIM(B238)</f>
        <v>R. J. Palacio</v>
      </c>
      <c r="I238" t="str">
        <f t="shared" si="9"/>
        <v>Excellent</v>
      </c>
      <c r="J238" s="1" t="str">
        <f t="shared" si="10"/>
        <v>Affordable</v>
      </c>
      <c r="K238" s="1" t="str">
        <f t="shared" si="11"/>
        <v>High</v>
      </c>
    </row>
    <row r="239" spans="1:11" ht="13.8" x14ac:dyDescent="0.25">
      <c r="A239" t="s">
        <v>596</v>
      </c>
      <c r="B239" t="s">
        <v>597</v>
      </c>
      <c r="C239" s="2">
        <v>4.8</v>
      </c>
      <c r="D239" s="3">
        <v>21625</v>
      </c>
      <c r="E239" s="3">
        <v>9</v>
      </c>
      <c r="F239" s="1">
        <v>2017</v>
      </c>
      <c r="G239" t="s">
        <v>5</v>
      </c>
      <c r="H239" t="str">
        <f>TRIM(B239)</f>
        <v>R. J. Palacio</v>
      </c>
      <c r="I239" t="str">
        <f t="shared" si="9"/>
        <v>Excellent</v>
      </c>
      <c r="J239" s="1" t="str">
        <f t="shared" si="10"/>
        <v>Affordable</v>
      </c>
      <c r="K239" s="1" t="str">
        <f t="shared" si="11"/>
        <v>High</v>
      </c>
    </row>
    <row r="240" spans="1:11" ht="13.8" x14ac:dyDescent="0.25">
      <c r="A240" t="s">
        <v>93</v>
      </c>
      <c r="B240" t="s">
        <v>94</v>
      </c>
      <c r="C240" s="2">
        <v>4.8</v>
      </c>
      <c r="D240" s="3">
        <v>1329</v>
      </c>
      <c r="E240" s="3">
        <v>10</v>
      </c>
      <c r="F240" s="1">
        <v>2013</v>
      </c>
      <c r="G240" t="s">
        <v>2</v>
      </c>
      <c r="H240" t="str">
        <f>TRIM(B240)</f>
        <v>BreneÌ Brown</v>
      </c>
      <c r="I240" t="str">
        <f t="shared" si="9"/>
        <v>Excellent</v>
      </c>
      <c r="J240" s="1" t="str">
        <f t="shared" si="10"/>
        <v>Affordable</v>
      </c>
      <c r="K240" s="1" t="str">
        <f t="shared" si="11"/>
        <v>Low</v>
      </c>
    </row>
    <row r="241" spans="1:11" ht="13.8" x14ac:dyDescent="0.25">
      <c r="A241" t="s">
        <v>182</v>
      </c>
      <c r="B241" t="s">
        <v>183</v>
      </c>
      <c r="C241" s="2">
        <v>4</v>
      </c>
      <c r="D241" s="3">
        <v>57271</v>
      </c>
      <c r="E241" s="3">
        <v>10</v>
      </c>
      <c r="F241" s="1">
        <v>2012</v>
      </c>
      <c r="G241" t="s">
        <v>5</v>
      </c>
      <c r="H241" t="str">
        <f>TRIM(B241)</f>
        <v>Gillian Flynn</v>
      </c>
      <c r="I241" t="str">
        <f t="shared" si="9"/>
        <v>Average</v>
      </c>
      <c r="J241" s="1" t="str">
        <f t="shared" si="10"/>
        <v>Affordable</v>
      </c>
      <c r="K241" s="1" t="str">
        <f t="shared" si="11"/>
        <v>High</v>
      </c>
    </row>
    <row r="242" spans="1:11" ht="13.8" x14ac:dyDescent="0.25">
      <c r="A242" t="s">
        <v>182</v>
      </c>
      <c r="B242" t="s">
        <v>183</v>
      </c>
      <c r="C242" s="2">
        <v>4</v>
      </c>
      <c r="D242" s="3">
        <v>57271</v>
      </c>
      <c r="E242" s="3">
        <v>10</v>
      </c>
      <c r="F242" s="1">
        <v>2013</v>
      </c>
      <c r="G242" t="s">
        <v>5</v>
      </c>
      <c r="H242" t="str">
        <f>TRIM(B242)</f>
        <v>Gillian Flynn</v>
      </c>
      <c r="I242" t="str">
        <f t="shared" si="9"/>
        <v>Average</v>
      </c>
      <c r="J242" s="1" t="str">
        <f t="shared" si="10"/>
        <v>Affordable</v>
      </c>
      <c r="K242" s="1" t="str">
        <f t="shared" si="11"/>
        <v>High</v>
      </c>
    </row>
    <row r="243" spans="1:11" ht="13.8" x14ac:dyDescent="0.25">
      <c r="A243" t="s">
        <v>192</v>
      </c>
      <c r="B243" t="s">
        <v>193</v>
      </c>
      <c r="C243" s="2">
        <v>4.5999999999999996</v>
      </c>
      <c r="D243" s="3">
        <v>5972</v>
      </c>
      <c r="E243" s="3">
        <v>10</v>
      </c>
      <c r="F243" s="1">
        <v>2014</v>
      </c>
      <c r="G243" t="s">
        <v>2</v>
      </c>
      <c r="H243" t="str">
        <f>TRIM(B243)</f>
        <v>David Perlmutter MD</v>
      </c>
      <c r="I243" t="str">
        <f t="shared" si="9"/>
        <v>Excellent</v>
      </c>
      <c r="J243" s="1" t="str">
        <f t="shared" si="10"/>
        <v>Affordable</v>
      </c>
      <c r="K243" s="1" t="str">
        <f t="shared" si="11"/>
        <v>Low</v>
      </c>
    </row>
    <row r="244" spans="1:11" ht="13.8" x14ac:dyDescent="0.25">
      <c r="A244" t="s">
        <v>212</v>
      </c>
      <c r="B244" t="s">
        <v>213</v>
      </c>
      <c r="C244" s="2">
        <v>4.7</v>
      </c>
      <c r="D244" s="3">
        <v>15779</v>
      </c>
      <c r="E244" s="3">
        <v>10</v>
      </c>
      <c r="F244" s="1">
        <v>2011</v>
      </c>
      <c r="G244" t="s">
        <v>2</v>
      </c>
      <c r="H244" t="str">
        <f>TRIM(B244)</f>
        <v>Todd Burpo</v>
      </c>
      <c r="I244" t="str">
        <f t="shared" si="9"/>
        <v>Excellent</v>
      </c>
      <c r="J244" s="1" t="str">
        <f t="shared" si="10"/>
        <v>Affordable</v>
      </c>
      <c r="K244" s="1" t="str">
        <f t="shared" si="11"/>
        <v>High</v>
      </c>
    </row>
    <row r="245" spans="1:11" ht="13.8" x14ac:dyDescent="0.25">
      <c r="A245" t="s">
        <v>212</v>
      </c>
      <c r="B245" t="s">
        <v>213</v>
      </c>
      <c r="C245" s="2">
        <v>4.7</v>
      </c>
      <c r="D245" s="3">
        <v>15779</v>
      </c>
      <c r="E245" s="3">
        <v>10</v>
      </c>
      <c r="F245" s="1">
        <v>2012</v>
      </c>
      <c r="G245" t="s">
        <v>2</v>
      </c>
      <c r="H245" t="str">
        <f>TRIM(B245)</f>
        <v>Todd Burpo</v>
      </c>
      <c r="I245" t="str">
        <f t="shared" si="9"/>
        <v>Excellent</v>
      </c>
      <c r="J245" s="1" t="str">
        <f t="shared" si="10"/>
        <v>Affordable</v>
      </c>
      <c r="K245" s="1" t="str">
        <f t="shared" si="11"/>
        <v>High</v>
      </c>
    </row>
    <row r="246" spans="1:11" ht="13.8" x14ac:dyDescent="0.25">
      <c r="A246" t="s">
        <v>254</v>
      </c>
      <c r="B246" t="s">
        <v>252</v>
      </c>
      <c r="C246" s="2">
        <v>4.7</v>
      </c>
      <c r="D246" s="3">
        <v>9342</v>
      </c>
      <c r="E246" s="3">
        <v>10</v>
      </c>
      <c r="F246" s="1">
        <v>2011</v>
      </c>
      <c r="G246" t="s">
        <v>2</v>
      </c>
      <c r="H246" t="str">
        <f>TRIM(B246)</f>
        <v>Bill O'Reilly</v>
      </c>
      <c r="I246" t="str">
        <f t="shared" si="9"/>
        <v>Excellent</v>
      </c>
      <c r="J246" s="1" t="str">
        <f t="shared" si="10"/>
        <v>Affordable</v>
      </c>
      <c r="K246" s="1" t="str">
        <f t="shared" si="11"/>
        <v>Low</v>
      </c>
    </row>
    <row r="247" spans="1:11" ht="13.8" x14ac:dyDescent="0.25">
      <c r="A247" t="s">
        <v>254</v>
      </c>
      <c r="B247" t="s">
        <v>252</v>
      </c>
      <c r="C247" s="2">
        <v>4.7</v>
      </c>
      <c r="D247" s="3">
        <v>9342</v>
      </c>
      <c r="E247" s="3">
        <v>10</v>
      </c>
      <c r="F247" s="1">
        <v>2012</v>
      </c>
      <c r="G247" t="s">
        <v>2</v>
      </c>
      <c r="H247" t="str">
        <f>TRIM(B247)</f>
        <v>Bill O'Reilly</v>
      </c>
      <c r="I247" t="str">
        <f t="shared" si="9"/>
        <v>Excellent</v>
      </c>
      <c r="J247" s="1" t="str">
        <f t="shared" si="10"/>
        <v>Affordable</v>
      </c>
      <c r="K247" s="1" t="str">
        <f t="shared" si="11"/>
        <v>Low</v>
      </c>
    </row>
    <row r="248" spans="1:11" ht="13.8" x14ac:dyDescent="0.25">
      <c r="A248" t="s">
        <v>275</v>
      </c>
      <c r="B248" t="s">
        <v>276</v>
      </c>
      <c r="C248" s="2">
        <v>4.0999999999999996</v>
      </c>
      <c r="D248" s="3">
        <v>1467</v>
      </c>
      <c r="E248" s="3">
        <v>10</v>
      </c>
      <c r="F248" s="1">
        <v>2010</v>
      </c>
      <c r="G248" t="s">
        <v>5</v>
      </c>
      <c r="H248" t="str">
        <f>TRIM(B248)</f>
        <v>Chris Cleave</v>
      </c>
      <c r="I248" t="str">
        <f t="shared" si="9"/>
        <v>Average</v>
      </c>
      <c r="J248" s="1" t="str">
        <f t="shared" si="10"/>
        <v>Affordable</v>
      </c>
      <c r="K248" s="1" t="str">
        <f t="shared" si="11"/>
        <v>Low</v>
      </c>
    </row>
    <row r="249" spans="1:11" ht="13.8" x14ac:dyDescent="0.25">
      <c r="A249" t="s">
        <v>297</v>
      </c>
      <c r="B249" t="s">
        <v>298</v>
      </c>
      <c r="C249" s="2">
        <v>4.5999999999999996</v>
      </c>
      <c r="D249" s="3">
        <v>5542</v>
      </c>
      <c r="E249" s="3">
        <v>10</v>
      </c>
      <c r="F249" s="1">
        <v>2014</v>
      </c>
      <c r="G249" t="s">
        <v>2</v>
      </c>
      <c r="H249" t="str">
        <f>TRIM(B249)</f>
        <v>Carol S. Dweck</v>
      </c>
      <c r="I249" t="str">
        <f t="shared" si="9"/>
        <v>Excellent</v>
      </c>
      <c r="J249" s="1" t="str">
        <f t="shared" si="10"/>
        <v>Affordable</v>
      </c>
      <c r="K249" s="1" t="str">
        <f t="shared" si="11"/>
        <v>Low</v>
      </c>
    </row>
    <row r="250" spans="1:11" ht="13.8" x14ac:dyDescent="0.25">
      <c r="A250" t="s">
        <v>297</v>
      </c>
      <c r="B250" t="s">
        <v>298</v>
      </c>
      <c r="C250" s="2">
        <v>4.5999999999999996</v>
      </c>
      <c r="D250" s="3">
        <v>5542</v>
      </c>
      <c r="E250" s="3">
        <v>10</v>
      </c>
      <c r="F250" s="1">
        <v>2015</v>
      </c>
      <c r="G250" t="s">
        <v>2</v>
      </c>
      <c r="H250" t="str">
        <f>TRIM(B250)</f>
        <v>Carol S. Dweck</v>
      </c>
      <c r="I250" t="str">
        <f t="shared" si="9"/>
        <v>Excellent</v>
      </c>
      <c r="J250" s="1" t="str">
        <f t="shared" si="10"/>
        <v>Affordable</v>
      </c>
      <c r="K250" s="1" t="str">
        <f t="shared" si="11"/>
        <v>Low</v>
      </c>
    </row>
    <row r="251" spans="1:11" ht="13.8" x14ac:dyDescent="0.25">
      <c r="A251" t="s">
        <v>297</v>
      </c>
      <c r="B251" t="s">
        <v>298</v>
      </c>
      <c r="C251" s="2">
        <v>4.5999999999999996</v>
      </c>
      <c r="D251" s="3">
        <v>5542</v>
      </c>
      <c r="E251" s="3">
        <v>10</v>
      </c>
      <c r="F251" s="1">
        <v>2016</v>
      </c>
      <c r="G251" t="s">
        <v>2</v>
      </c>
      <c r="H251" t="str">
        <f>TRIM(B251)</f>
        <v>Carol S. Dweck</v>
      </c>
      <c r="I251" t="str">
        <f t="shared" si="9"/>
        <v>Excellent</v>
      </c>
      <c r="J251" s="1" t="str">
        <f t="shared" si="10"/>
        <v>Affordable</v>
      </c>
      <c r="K251" s="1" t="str">
        <f t="shared" si="11"/>
        <v>Low</v>
      </c>
    </row>
    <row r="252" spans="1:11" ht="13.8" x14ac:dyDescent="0.25">
      <c r="A252" t="s">
        <v>304</v>
      </c>
      <c r="B252" t="s">
        <v>68</v>
      </c>
      <c r="C252" s="2">
        <v>4.5999999999999996</v>
      </c>
      <c r="D252" s="3">
        <v>5680</v>
      </c>
      <c r="E252" s="3">
        <v>10</v>
      </c>
      <c r="F252" s="1">
        <v>2009</v>
      </c>
      <c r="G252" t="s">
        <v>5</v>
      </c>
      <c r="H252" t="str">
        <f>TRIM(B252)</f>
        <v>Stephenie Meyer</v>
      </c>
      <c r="I252" t="str">
        <f t="shared" si="9"/>
        <v>Excellent</v>
      </c>
      <c r="J252" s="1" t="str">
        <f t="shared" si="10"/>
        <v>Affordable</v>
      </c>
      <c r="K252" s="1" t="str">
        <f t="shared" si="11"/>
        <v>Low</v>
      </c>
    </row>
    <row r="253" spans="1:11" ht="13.8" x14ac:dyDescent="0.25">
      <c r="A253" t="s">
        <v>330</v>
      </c>
      <c r="B253" t="s">
        <v>331</v>
      </c>
      <c r="C253" s="2">
        <v>4.3</v>
      </c>
      <c r="D253" s="3">
        <v>13616</v>
      </c>
      <c r="E253" s="3">
        <v>10</v>
      </c>
      <c r="F253" s="1">
        <v>2012</v>
      </c>
      <c r="G253" t="s">
        <v>2</v>
      </c>
      <c r="H253" t="str">
        <f>TRIM(B253)</f>
        <v>Eben Alexander</v>
      </c>
      <c r="I253" t="str">
        <f t="shared" si="9"/>
        <v>Average</v>
      </c>
      <c r="J253" s="1" t="str">
        <f t="shared" si="10"/>
        <v>Affordable</v>
      </c>
      <c r="K253" s="1" t="str">
        <f t="shared" si="11"/>
        <v>High</v>
      </c>
    </row>
    <row r="254" spans="1:11" ht="13.8" x14ac:dyDescent="0.25">
      <c r="A254" t="s">
        <v>330</v>
      </c>
      <c r="B254" t="s">
        <v>331</v>
      </c>
      <c r="C254" s="2">
        <v>4.3</v>
      </c>
      <c r="D254" s="3">
        <v>13616</v>
      </c>
      <c r="E254" s="3">
        <v>10</v>
      </c>
      <c r="F254" s="1">
        <v>2013</v>
      </c>
      <c r="G254" t="s">
        <v>2</v>
      </c>
      <c r="H254" t="str">
        <f>TRIM(B254)</f>
        <v>Eben Alexander</v>
      </c>
      <c r="I254" t="str">
        <f t="shared" si="9"/>
        <v>Average</v>
      </c>
      <c r="J254" s="1" t="str">
        <f t="shared" si="10"/>
        <v>Affordable</v>
      </c>
      <c r="K254" s="1" t="str">
        <f t="shared" si="11"/>
        <v>High</v>
      </c>
    </row>
    <row r="255" spans="1:11" ht="13.8" x14ac:dyDescent="0.25">
      <c r="A255" t="s">
        <v>347</v>
      </c>
      <c r="B255" t="s">
        <v>348</v>
      </c>
      <c r="C255" s="2">
        <v>4.5999999999999996</v>
      </c>
      <c r="D255" s="3">
        <v>3619</v>
      </c>
      <c r="E255" s="3">
        <v>10</v>
      </c>
      <c r="F255" s="1">
        <v>2010</v>
      </c>
      <c r="G255" t="s">
        <v>5</v>
      </c>
      <c r="H255" t="str">
        <f>TRIM(B255)</f>
        <v>Tatiana de Rosnay</v>
      </c>
      <c r="I255" t="str">
        <f t="shared" si="9"/>
        <v>Excellent</v>
      </c>
      <c r="J255" s="1" t="str">
        <f t="shared" si="10"/>
        <v>Affordable</v>
      </c>
      <c r="K255" s="1" t="str">
        <f t="shared" si="11"/>
        <v>Low</v>
      </c>
    </row>
    <row r="256" spans="1:11" ht="13.8" x14ac:dyDescent="0.25">
      <c r="A256" t="s">
        <v>388</v>
      </c>
      <c r="B256" t="s">
        <v>389</v>
      </c>
      <c r="C256" s="2">
        <v>4.7</v>
      </c>
      <c r="D256" s="3">
        <v>11813</v>
      </c>
      <c r="E256" s="3">
        <v>10</v>
      </c>
      <c r="F256" s="1">
        <v>2010</v>
      </c>
      <c r="G256" t="s">
        <v>5</v>
      </c>
      <c r="H256" t="str">
        <f>TRIM(B256)</f>
        <v>Garth Stein</v>
      </c>
      <c r="I256" t="str">
        <f t="shared" si="9"/>
        <v>Excellent</v>
      </c>
      <c r="J256" s="1" t="str">
        <f t="shared" si="10"/>
        <v>Affordable</v>
      </c>
      <c r="K256" s="1" t="str">
        <f t="shared" si="11"/>
        <v>High</v>
      </c>
    </row>
    <row r="257" spans="1:11" ht="13.8" x14ac:dyDescent="0.25">
      <c r="A257" t="s">
        <v>388</v>
      </c>
      <c r="B257" t="s">
        <v>389</v>
      </c>
      <c r="C257" s="2">
        <v>4.7</v>
      </c>
      <c r="D257" s="3">
        <v>11813</v>
      </c>
      <c r="E257" s="3">
        <v>10</v>
      </c>
      <c r="F257" s="1">
        <v>2011</v>
      </c>
      <c r="G257" t="s">
        <v>5</v>
      </c>
      <c r="H257" t="str">
        <f>TRIM(B257)</f>
        <v>Garth Stein</v>
      </c>
      <c r="I257" t="str">
        <f t="shared" si="9"/>
        <v>Excellent</v>
      </c>
      <c r="J257" s="1" t="str">
        <f t="shared" si="10"/>
        <v>Affordable</v>
      </c>
      <c r="K257" s="1" t="str">
        <f t="shared" si="11"/>
        <v>High</v>
      </c>
    </row>
    <row r="258" spans="1:11" ht="13.8" x14ac:dyDescent="0.25">
      <c r="A258" t="s">
        <v>442</v>
      </c>
      <c r="B258" t="s">
        <v>443</v>
      </c>
      <c r="C258" s="2">
        <v>4.7</v>
      </c>
      <c r="D258" s="3">
        <v>8587</v>
      </c>
      <c r="E258" s="3">
        <v>10</v>
      </c>
      <c r="F258" s="1">
        <v>2009</v>
      </c>
      <c r="G258" t="s">
        <v>5</v>
      </c>
      <c r="H258" t="str">
        <f>TRIM(B258)</f>
        <v>Mary Ann Shaffer</v>
      </c>
      <c r="I258" t="str">
        <f t="shared" ref="I258:I321" si="12">IF(C258&gt;=4.5,"Excellent","Average")</f>
        <v>Excellent</v>
      </c>
      <c r="J258" s="1" t="str">
        <f t="shared" ref="J258:J321" si="13">IF(E258&gt;=15,"Expensive","Affordable")</f>
        <v>Affordable</v>
      </c>
      <c r="K258" s="1" t="str">
        <f t="shared" ref="K258:K321" si="14">IF(D258&gt;=10000,"High","Low")</f>
        <v>Low</v>
      </c>
    </row>
    <row r="259" spans="1:11" ht="13.8" x14ac:dyDescent="0.25">
      <c r="A259" t="s">
        <v>476</v>
      </c>
      <c r="B259" t="s">
        <v>326</v>
      </c>
      <c r="C259" s="2">
        <v>4.8</v>
      </c>
      <c r="D259" s="3">
        <v>6247</v>
      </c>
      <c r="E259" s="3">
        <v>10</v>
      </c>
      <c r="F259" s="1">
        <v>2012</v>
      </c>
      <c r="G259" t="s">
        <v>5</v>
      </c>
      <c r="H259" t="str">
        <f>TRIM(B259)</f>
        <v>Rick Riordan</v>
      </c>
      <c r="I259" t="str">
        <f t="shared" si="12"/>
        <v>Excellent</v>
      </c>
      <c r="J259" s="1" t="str">
        <f t="shared" si="13"/>
        <v>Affordable</v>
      </c>
      <c r="K259" s="1" t="str">
        <f t="shared" si="14"/>
        <v>Low</v>
      </c>
    </row>
    <row r="260" spans="1:11" ht="13.8" x14ac:dyDescent="0.25">
      <c r="A260" t="s">
        <v>513</v>
      </c>
      <c r="B260" t="s">
        <v>326</v>
      </c>
      <c r="C260" s="2">
        <v>4.8</v>
      </c>
      <c r="D260" s="3">
        <v>4290</v>
      </c>
      <c r="E260" s="3">
        <v>10</v>
      </c>
      <c r="F260" s="1">
        <v>2011</v>
      </c>
      <c r="G260" t="s">
        <v>5</v>
      </c>
      <c r="H260" t="str">
        <f>TRIM(B260)</f>
        <v>Rick Riordan</v>
      </c>
      <c r="I260" t="str">
        <f t="shared" si="12"/>
        <v>Excellent</v>
      </c>
      <c r="J260" s="1" t="str">
        <f t="shared" si="13"/>
        <v>Affordable</v>
      </c>
      <c r="K260" s="1" t="str">
        <f t="shared" si="14"/>
        <v>Low</v>
      </c>
    </row>
    <row r="261" spans="1:11" ht="13.8" x14ac:dyDescent="0.25">
      <c r="A261" t="s">
        <v>518</v>
      </c>
      <c r="B261" t="s">
        <v>326</v>
      </c>
      <c r="C261" s="2">
        <v>4.7</v>
      </c>
      <c r="D261" s="3">
        <v>1463</v>
      </c>
      <c r="E261" s="3">
        <v>10</v>
      </c>
      <c r="F261" s="1">
        <v>2011</v>
      </c>
      <c r="G261" t="s">
        <v>5</v>
      </c>
      <c r="H261" t="str">
        <f>TRIM(B261)</f>
        <v>Rick Riordan</v>
      </c>
      <c r="I261" t="str">
        <f t="shared" si="12"/>
        <v>Excellent</v>
      </c>
      <c r="J261" s="1" t="str">
        <f t="shared" si="13"/>
        <v>Affordable</v>
      </c>
      <c r="K261" s="1" t="str">
        <f t="shared" si="14"/>
        <v>Low</v>
      </c>
    </row>
    <row r="262" spans="1:11" ht="13.8" x14ac:dyDescent="0.25">
      <c r="A262" t="s">
        <v>522</v>
      </c>
      <c r="B262" t="s">
        <v>523</v>
      </c>
      <c r="C262" s="2">
        <v>4.7</v>
      </c>
      <c r="D262" s="3">
        <v>11550</v>
      </c>
      <c r="E262" s="3">
        <v>10</v>
      </c>
      <c r="F262" s="1">
        <v>2019</v>
      </c>
      <c r="G262" t="s">
        <v>2</v>
      </c>
      <c r="H262" t="str">
        <f>TRIM(B262)</f>
        <v>Dave Ramsey</v>
      </c>
      <c r="I262" t="str">
        <f t="shared" si="12"/>
        <v>Excellent</v>
      </c>
      <c r="J262" s="1" t="str">
        <f t="shared" si="13"/>
        <v>Affordable</v>
      </c>
      <c r="K262" s="1" t="str">
        <f t="shared" si="14"/>
        <v>High</v>
      </c>
    </row>
    <row r="263" spans="1:11" ht="13.8" x14ac:dyDescent="0.25">
      <c r="A263" t="s">
        <v>526</v>
      </c>
      <c r="B263" t="s">
        <v>527</v>
      </c>
      <c r="C263" s="2">
        <v>4.7</v>
      </c>
      <c r="D263" s="3">
        <v>9030</v>
      </c>
      <c r="E263" s="3">
        <v>10</v>
      </c>
      <c r="F263" s="1">
        <v>2019</v>
      </c>
      <c r="G263" t="s">
        <v>2</v>
      </c>
      <c r="H263" t="str">
        <f>TRIM(B263)</f>
        <v>Dinah Bucholz</v>
      </c>
      <c r="I263" t="str">
        <f t="shared" si="12"/>
        <v>Excellent</v>
      </c>
      <c r="J263" s="1" t="str">
        <f t="shared" si="13"/>
        <v>Affordable</v>
      </c>
      <c r="K263" s="1" t="str">
        <f t="shared" si="14"/>
        <v>Low</v>
      </c>
    </row>
    <row r="264" spans="1:11" ht="13.8" x14ac:dyDescent="0.25">
      <c r="A264" t="s">
        <v>532</v>
      </c>
      <c r="B264" t="s">
        <v>533</v>
      </c>
      <c r="C264" s="2">
        <v>4.9000000000000004</v>
      </c>
      <c r="D264" s="3">
        <v>8842</v>
      </c>
      <c r="E264" s="3">
        <v>10</v>
      </c>
      <c r="F264" s="1">
        <v>2016</v>
      </c>
      <c r="G264" t="s">
        <v>5</v>
      </c>
      <c r="H264" t="str">
        <f>TRIM(B264)</f>
        <v>Emily Winfield Martin</v>
      </c>
      <c r="I264" t="str">
        <f t="shared" si="12"/>
        <v>Excellent</v>
      </c>
      <c r="J264" s="1" t="str">
        <f t="shared" si="13"/>
        <v>Affordable</v>
      </c>
      <c r="K264" s="1" t="str">
        <f t="shared" si="14"/>
        <v>Low</v>
      </c>
    </row>
    <row r="265" spans="1:11" ht="13.8" x14ac:dyDescent="0.25">
      <c r="A265" t="s">
        <v>532</v>
      </c>
      <c r="B265" t="s">
        <v>533</v>
      </c>
      <c r="C265" s="2">
        <v>4.9000000000000004</v>
      </c>
      <c r="D265" s="3">
        <v>8842</v>
      </c>
      <c r="E265" s="3">
        <v>10</v>
      </c>
      <c r="F265" s="1">
        <v>2017</v>
      </c>
      <c r="G265" t="s">
        <v>5</v>
      </c>
      <c r="H265" t="str">
        <f>TRIM(B265)</f>
        <v>Emily Winfield Martin</v>
      </c>
      <c r="I265" t="str">
        <f t="shared" si="12"/>
        <v>Excellent</v>
      </c>
      <c r="J265" s="1" t="str">
        <f t="shared" si="13"/>
        <v>Affordable</v>
      </c>
      <c r="K265" s="1" t="str">
        <f t="shared" si="14"/>
        <v>Low</v>
      </c>
    </row>
    <row r="266" spans="1:11" ht="13.8" x14ac:dyDescent="0.25">
      <c r="A266" t="s">
        <v>532</v>
      </c>
      <c r="B266" t="s">
        <v>533</v>
      </c>
      <c r="C266" s="2">
        <v>4.9000000000000004</v>
      </c>
      <c r="D266" s="3">
        <v>8842</v>
      </c>
      <c r="E266" s="3">
        <v>10</v>
      </c>
      <c r="F266" s="1">
        <v>2018</v>
      </c>
      <c r="G266" t="s">
        <v>5</v>
      </c>
      <c r="H266" t="str">
        <f>TRIM(B266)</f>
        <v>Emily Winfield Martin</v>
      </c>
      <c r="I266" t="str">
        <f t="shared" si="12"/>
        <v>Excellent</v>
      </c>
      <c r="J266" s="1" t="str">
        <f t="shared" si="13"/>
        <v>Affordable</v>
      </c>
      <c r="K266" s="1" t="str">
        <f t="shared" si="14"/>
        <v>Low</v>
      </c>
    </row>
    <row r="267" spans="1:11" ht="13.8" x14ac:dyDescent="0.25">
      <c r="A267" t="s">
        <v>532</v>
      </c>
      <c r="B267" t="s">
        <v>533</v>
      </c>
      <c r="C267" s="2">
        <v>4.9000000000000004</v>
      </c>
      <c r="D267" s="3">
        <v>8842</v>
      </c>
      <c r="E267" s="3">
        <v>10</v>
      </c>
      <c r="F267" s="1">
        <v>2019</v>
      </c>
      <c r="G267" t="s">
        <v>5</v>
      </c>
      <c r="H267" t="str">
        <f>TRIM(B267)</f>
        <v>Emily Winfield Martin</v>
      </c>
      <c r="I267" t="str">
        <f t="shared" si="12"/>
        <v>Excellent</v>
      </c>
      <c r="J267" s="1" t="str">
        <f t="shared" si="13"/>
        <v>Affordable</v>
      </c>
      <c r="K267" s="1" t="str">
        <f t="shared" si="14"/>
        <v>Low</v>
      </c>
    </row>
    <row r="268" spans="1:11" ht="13.8" x14ac:dyDescent="0.25">
      <c r="A268" t="s">
        <v>12</v>
      </c>
      <c r="B268" t="s">
        <v>13</v>
      </c>
      <c r="C268" s="2">
        <v>4.4000000000000004</v>
      </c>
      <c r="D268" s="3">
        <v>12643</v>
      </c>
      <c r="E268" s="3">
        <v>11</v>
      </c>
      <c r="F268" s="1">
        <v>2011</v>
      </c>
      <c r="G268" t="s">
        <v>5</v>
      </c>
      <c r="H268" t="str">
        <f>TRIM(B268)</f>
        <v>George R. R. Martin</v>
      </c>
      <c r="I268" t="str">
        <f t="shared" si="12"/>
        <v>Average</v>
      </c>
      <c r="J268" s="1" t="str">
        <f t="shared" si="13"/>
        <v>Affordable</v>
      </c>
      <c r="K268" s="1" t="str">
        <f t="shared" si="14"/>
        <v>High</v>
      </c>
    </row>
    <row r="269" spans="1:11" ht="13.8" x14ac:dyDescent="0.25">
      <c r="A269" t="s">
        <v>54</v>
      </c>
      <c r="B269" t="s">
        <v>55</v>
      </c>
      <c r="C269" s="2">
        <v>4.5999999999999996</v>
      </c>
      <c r="D269" s="3">
        <v>1909</v>
      </c>
      <c r="E269" s="3">
        <v>11</v>
      </c>
      <c r="F269" s="1">
        <v>2015</v>
      </c>
      <c r="G269" t="s">
        <v>2</v>
      </c>
      <c r="H269" t="str">
        <f>TRIM(B269)</f>
        <v>Angie Grace</v>
      </c>
      <c r="I269" t="str">
        <f t="shared" si="12"/>
        <v>Excellent</v>
      </c>
      <c r="J269" s="1" t="str">
        <f t="shared" si="13"/>
        <v>Affordable</v>
      </c>
      <c r="K269" s="1" t="str">
        <f t="shared" si="14"/>
        <v>Low</v>
      </c>
    </row>
    <row r="270" spans="1:11" ht="13.8" x14ac:dyDescent="0.25">
      <c r="A270" t="s">
        <v>59</v>
      </c>
      <c r="B270" t="s">
        <v>60</v>
      </c>
      <c r="C270" s="2">
        <v>4.8</v>
      </c>
      <c r="D270" s="3">
        <v>61133</v>
      </c>
      <c r="E270" s="3">
        <v>11</v>
      </c>
      <c r="F270" s="1">
        <v>2018</v>
      </c>
      <c r="G270" t="s">
        <v>2</v>
      </c>
      <c r="H270" t="str">
        <f>TRIM(B270)</f>
        <v>Michelle Obama</v>
      </c>
      <c r="I270" t="str">
        <f t="shared" si="12"/>
        <v>Excellent</v>
      </c>
      <c r="J270" s="1" t="str">
        <f t="shared" si="13"/>
        <v>Affordable</v>
      </c>
      <c r="K270" s="1" t="str">
        <f t="shared" si="14"/>
        <v>High</v>
      </c>
    </row>
    <row r="271" spans="1:11" ht="13.8" x14ac:dyDescent="0.25">
      <c r="A271" t="s">
        <v>59</v>
      </c>
      <c r="B271" t="s">
        <v>60</v>
      </c>
      <c r="C271" s="2">
        <v>4.8</v>
      </c>
      <c r="D271" s="3">
        <v>61133</v>
      </c>
      <c r="E271" s="3">
        <v>11</v>
      </c>
      <c r="F271" s="1">
        <v>2019</v>
      </c>
      <c r="G271" t="s">
        <v>2</v>
      </c>
      <c r="H271" t="str">
        <f>TRIM(B271)</f>
        <v>Michelle Obama</v>
      </c>
      <c r="I271" t="str">
        <f t="shared" si="12"/>
        <v>Excellent</v>
      </c>
      <c r="J271" s="1" t="str">
        <f t="shared" si="13"/>
        <v>Affordable</v>
      </c>
      <c r="K271" s="1" t="str">
        <f t="shared" si="14"/>
        <v>High</v>
      </c>
    </row>
    <row r="272" spans="1:11" ht="13.8" x14ac:dyDescent="0.25">
      <c r="A272" t="s">
        <v>80</v>
      </c>
      <c r="B272" t="s">
        <v>81</v>
      </c>
      <c r="C272" s="2">
        <v>4.7</v>
      </c>
      <c r="D272" s="3">
        <v>22614</v>
      </c>
      <c r="E272" s="3">
        <v>11</v>
      </c>
      <c r="F272" s="1">
        <v>2010</v>
      </c>
      <c r="G272" t="s">
        <v>5</v>
      </c>
      <c r="H272" t="str">
        <f>TRIM(B272)</f>
        <v>Suzanne Collins</v>
      </c>
      <c r="I272" t="str">
        <f t="shared" si="12"/>
        <v>Excellent</v>
      </c>
      <c r="J272" s="1" t="str">
        <f t="shared" si="13"/>
        <v>Affordable</v>
      </c>
      <c r="K272" s="1" t="str">
        <f t="shared" si="14"/>
        <v>High</v>
      </c>
    </row>
    <row r="273" spans="1:11" ht="13.8" x14ac:dyDescent="0.25">
      <c r="A273" t="s">
        <v>80</v>
      </c>
      <c r="B273" t="s">
        <v>81</v>
      </c>
      <c r="C273" s="2">
        <v>4.7</v>
      </c>
      <c r="D273" s="3">
        <v>22614</v>
      </c>
      <c r="E273" s="3">
        <v>11</v>
      </c>
      <c r="F273" s="1">
        <v>2011</v>
      </c>
      <c r="G273" t="s">
        <v>5</v>
      </c>
      <c r="H273" t="str">
        <f>TRIM(B273)</f>
        <v>Suzanne Collins</v>
      </c>
      <c r="I273" t="str">
        <f t="shared" si="12"/>
        <v>Excellent</v>
      </c>
      <c r="J273" s="1" t="str">
        <f t="shared" si="13"/>
        <v>Affordable</v>
      </c>
      <c r="K273" s="1" t="str">
        <f t="shared" si="14"/>
        <v>High</v>
      </c>
    </row>
    <row r="274" spans="1:11" ht="13.8" x14ac:dyDescent="0.25">
      <c r="A274" t="s">
        <v>80</v>
      </c>
      <c r="B274" t="s">
        <v>81</v>
      </c>
      <c r="C274" s="2">
        <v>4.7</v>
      </c>
      <c r="D274" s="3">
        <v>22614</v>
      </c>
      <c r="E274" s="3">
        <v>11</v>
      </c>
      <c r="F274" s="1">
        <v>2012</v>
      </c>
      <c r="G274" t="s">
        <v>5</v>
      </c>
      <c r="H274" t="str">
        <f>TRIM(B274)</f>
        <v>Suzanne Collins</v>
      </c>
      <c r="I274" t="str">
        <f t="shared" si="12"/>
        <v>Excellent</v>
      </c>
      <c r="J274" s="1" t="str">
        <f t="shared" si="13"/>
        <v>Affordable</v>
      </c>
      <c r="K274" s="1" t="str">
        <f t="shared" si="14"/>
        <v>High</v>
      </c>
    </row>
    <row r="275" spans="1:11" ht="13.8" x14ac:dyDescent="0.25">
      <c r="A275" t="s">
        <v>91</v>
      </c>
      <c r="B275" t="s">
        <v>92</v>
      </c>
      <c r="C275" s="2">
        <v>4.5999999999999996</v>
      </c>
      <c r="D275" s="3">
        <v>4866</v>
      </c>
      <c r="E275" s="3">
        <v>11</v>
      </c>
      <c r="F275" s="1">
        <v>2010</v>
      </c>
      <c r="G275" t="s">
        <v>5</v>
      </c>
      <c r="H275" t="str">
        <f>TRIM(B275)</f>
        <v>Abraham Verghese</v>
      </c>
      <c r="I275" t="str">
        <f t="shared" si="12"/>
        <v>Excellent</v>
      </c>
      <c r="J275" s="1" t="str">
        <f t="shared" si="13"/>
        <v>Affordable</v>
      </c>
      <c r="K275" s="1" t="str">
        <f t="shared" si="14"/>
        <v>Low</v>
      </c>
    </row>
    <row r="276" spans="1:11" ht="13.8" x14ac:dyDescent="0.25">
      <c r="A276" t="s">
        <v>91</v>
      </c>
      <c r="B276" t="s">
        <v>92</v>
      </c>
      <c r="C276" s="2">
        <v>4.5999999999999996</v>
      </c>
      <c r="D276" s="3">
        <v>4866</v>
      </c>
      <c r="E276" s="3">
        <v>11</v>
      </c>
      <c r="F276" s="1">
        <v>2011</v>
      </c>
      <c r="G276" t="s">
        <v>5</v>
      </c>
      <c r="H276" t="str">
        <f>TRIM(B276)</f>
        <v>Abraham Verghese</v>
      </c>
      <c r="I276" t="str">
        <f t="shared" si="12"/>
        <v>Excellent</v>
      </c>
      <c r="J276" s="1" t="str">
        <f t="shared" si="13"/>
        <v>Affordable</v>
      </c>
      <c r="K276" s="1" t="str">
        <f t="shared" si="14"/>
        <v>Low</v>
      </c>
    </row>
    <row r="277" spans="1:11" ht="13.8" x14ac:dyDescent="0.25">
      <c r="A277" t="s">
        <v>151</v>
      </c>
      <c r="B277" t="s">
        <v>150</v>
      </c>
      <c r="C277" s="2">
        <v>4.5</v>
      </c>
      <c r="D277" s="3">
        <v>20262</v>
      </c>
      <c r="E277" s="3">
        <v>11</v>
      </c>
      <c r="F277" s="1">
        <v>2012</v>
      </c>
      <c r="G277" t="s">
        <v>5</v>
      </c>
      <c r="H277" t="str">
        <f>TRIM(B277)</f>
        <v>E L James</v>
      </c>
      <c r="I277" t="str">
        <f t="shared" si="12"/>
        <v>Excellent</v>
      </c>
      <c r="J277" s="1" t="str">
        <f t="shared" si="13"/>
        <v>Affordable</v>
      </c>
      <c r="K277" s="1" t="str">
        <f t="shared" si="14"/>
        <v>High</v>
      </c>
    </row>
    <row r="278" spans="1:11" ht="13.8" x14ac:dyDescent="0.25">
      <c r="A278" t="s">
        <v>175</v>
      </c>
      <c r="B278" t="s">
        <v>47</v>
      </c>
      <c r="C278" s="2">
        <v>4.5999999999999996</v>
      </c>
      <c r="D278" s="3">
        <v>1365</v>
      </c>
      <c r="E278" s="3">
        <v>11</v>
      </c>
      <c r="F278" s="1">
        <v>2009</v>
      </c>
      <c r="G278" t="s">
        <v>2</v>
      </c>
      <c r="H278" t="str">
        <f>TRIM(B278)</f>
        <v>Glenn Beck</v>
      </c>
      <c r="I278" t="str">
        <f t="shared" si="12"/>
        <v>Excellent</v>
      </c>
      <c r="J278" s="1" t="str">
        <f t="shared" si="13"/>
        <v>Affordable</v>
      </c>
      <c r="K278" s="1" t="str">
        <f t="shared" si="14"/>
        <v>Low</v>
      </c>
    </row>
    <row r="279" spans="1:11" ht="13.8" x14ac:dyDescent="0.25">
      <c r="A279" t="s">
        <v>199</v>
      </c>
      <c r="B279" t="s">
        <v>200</v>
      </c>
      <c r="C279" s="2">
        <v>4.8</v>
      </c>
      <c r="D279" s="3">
        <v>4148</v>
      </c>
      <c r="E279" s="3">
        <v>11</v>
      </c>
      <c r="F279" s="1">
        <v>2013</v>
      </c>
      <c r="G279" t="s">
        <v>2</v>
      </c>
      <c r="H279" t="str">
        <f>TRIM(B279)</f>
        <v>Phil Robertson</v>
      </c>
      <c r="I279" t="str">
        <f t="shared" si="12"/>
        <v>Excellent</v>
      </c>
      <c r="J279" s="1" t="str">
        <f t="shared" si="13"/>
        <v>Affordable</v>
      </c>
      <c r="K279" s="1" t="str">
        <f t="shared" si="14"/>
        <v>Low</v>
      </c>
    </row>
    <row r="280" spans="1:11" ht="13.8" x14ac:dyDescent="0.25">
      <c r="A280" t="s">
        <v>218</v>
      </c>
      <c r="B280" t="s">
        <v>219</v>
      </c>
      <c r="C280" s="2">
        <v>4.7</v>
      </c>
      <c r="D280" s="3">
        <v>25001</v>
      </c>
      <c r="E280" s="3">
        <v>11</v>
      </c>
      <c r="F280" s="1">
        <v>2014</v>
      </c>
      <c r="G280" t="s">
        <v>2</v>
      </c>
      <c r="H280" t="str">
        <f>TRIM(B280)</f>
        <v>Dale Carnegie</v>
      </c>
      <c r="I280" t="str">
        <f t="shared" si="12"/>
        <v>Excellent</v>
      </c>
      <c r="J280" s="1" t="str">
        <f t="shared" si="13"/>
        <v>Affordable</v>
      </c>
      <c r="K280" s="1" t="str">
        <f t="shared" si="14"/>
        <v>High</v>
      </c>
    </row>
    <row r="281" spans="1:11" ht="13.8" x14ac:dyDescent="0.25">
      <c r="A281" t="s">
        <v>218</v>
      </c>
      <c r="B281" t="s">
        <v>219</v>
      </c>
      <c r="C281" s="2">
        <v>4.7</v>
      </c>
      <c r="D281" s="3">
        <v>25001</v>
      </c>
      <c r="E281" s="3">
        <v>11</v>
      </c>
      <c r="F281" s="1">
        <v>2015</v>
      </c>
      <c r="G281" t="s">
        <v>2</v>
      </c>
      <c r="H281" t="str">
        <f>TRIM(B281)</f>
        <v>Dale Carnegie</v>
      </c>
      <c r="I281" t="str">
        <f t="shared" si="12"/>
        <v>Excellent</v>
      </c>
      <c r="J281" s="1" t="str">
        <f t="shared" si="13"/>
        <v>Affordable</v>
      </c>
      <c r="K281" s="1" t="str">
        <f t="shared" si="14"/>
        <v>High</v>
      </c>
    </row>
    <row r="282" spans="1:11" ht="13.8" x14ac:dyDescent="0.25">
      <c r="A282" t="s">
        <v>218</v>
      </c>
      <c r="B282" t="s">
        <v>219</v>
      </c>
      <c r="C282" s="2">
        <v>4.7</v>
      </c>
      <c r="D282" s="3">
        <v>25001</v>
      </c>
      <c r="E282" s="3">
        <v>11</v>
      </c>
      <c r="F282" s="1">
        <v>2016</v>
      </c>
      <c r="G282" t="s">
        <v>2</v>
      </c>
      <c r="H282" t="str">
        <f>TRIM(B282)</f>
        <v>Dale Carnegie</v>
      </c>
      <c r="I282" t="str">
        <f t="shared" si="12"/>
        <v>Excellent</v>
      </c>
      <c r="J282" s="1" t="str">
        <f t="shared" si="13"/>
        <v>Affordable</v>
      </c>
      <c r="K282" s="1" t="str">
        <f t="shared" si="14"/>
        <v>High</v>
      </c>
    </row>
    <row r="283" spans="1:11" ht="13.8" x14ac:dyDescent="0.25">
      <c r="A283" t="s">
        <v>218</v>
      </c>
      <c r="B283" t="s">
        <v>219</v>
      </c>
      <c r="C283" s="2">
        <v>4.7</v>
      </c>
      <c r="D283" s="3">
        <v>25001</v>
      </c>
      <c r="E283" s="3">
        <v>11</v>
      </c>
      <c r="F283" s="1">
        <v>2017</v>
      </c>
      <c r="G283" t="s">
        <v>2</v>
      </c>
      <c r="H283" t="str">
        <f>TRIM(B283)</f>
        <v>Dale Carnegie</v>
      </c>
      <c r="I283" t="str">
        <f t="shared" si="12"/>
        <v>Excellent</v>
      </c>
      <c r="J283" s="1" t="str">
        <f t="shared" si="13"/>
        <v>Affordable</v>
      </c>
      <c r="K283" s="1" t="str">
        <f t="shared" si="14"/>
        <v>High</v>
      </c>
    </row>
    <row r="284" spans="1:11" ht="13.8" x14ac:dyDescent="0.25">
      <c r="A284" t="s">
        <v>218</v>
      </c>
      <c r="B284" t="s">
        <v>219</v>
      </c>
      <c r="C284" s="2">
        <v>4.7</v>
      </c>
      <c r="D284" s="3">
        <v>25001</v>
      </c>
      <c r="E284" s="3">
        <v>11</v>
      </c>
      <c r="F284" s="1">
        <v>2018</v>
      </c>
      <c r="G284" t="s">
        <v>2</v>
      </c>
      <c r="H284" t="str">
        <f>TRIM(B284)</f>
        <v>Dale Carnegie</v>
      </c>
      <c r="I284" t="str">
        <f t="shared" si="12"/>
        <v>Excellent</v>
      </c>
      <c r="J284" s="1" t="str">
        <f t="shared" si="13"/>
        <v>Affordable</v>
      </c>
      <c r="K284" s="1" t="str">
        <f t="shared" si="14"/>
        <v>High</v>
      </c>
    </row>
    <row r="285" spans="1:11" ht="13.8" x14ac:dyDescent="0.25">
      <c r="A285" t="s">
        <v>289</v>
      </c>
      <c r="B285" t="s">
        <v>290</v>
      </c>
      <c r="C285" s="2">
        <v>4.7</v>
      </c>
      <c r="D285" s="3">
        <v>10199</v>
      </c>
      <c r="E285" s="3">
        <v>11</v>
      </c>
      <c r="F285" s="1">
        <v>2017</v>
      </c>
      <c r="G285" t="s">
        <v>2</v>
      </c>
      <c r="H285" t="str">
        <f>TRIM(B285)</f>
        <v>Admiral William H. McRaven</v>
      </c>
      <c r="I285" t="str">
        <f t="shared" si="12"/>
        <v>Excellent</v>
      </c>
      <c r="J285" s="1" t="str">
        <f t="shared" si="13"/>
        <v>Affordable</v>
      </c>
      <c r="K285" s="1" t="str">
        <f t="shared" si="14"/>
        <v>High</v>
      </c>
    </row>
    <row r="286" spans="1:11" ht="13.8" x14ac:dyDescent="0.25">
      <c r="A286" t="s">
        <v>302</v>
      </c>
      <c r="B286" t="s">
        <v>303</v>
      </c>
      <c r="C286" s="2">
        <v>4.8</v>
      </c>
      <c r="D286" s="3">
        <v>7866</v>
      </c>
      <c r="E286" s="3">
        <v>11</v>
      </c>
      <c r="F286" s="1">
        <v>2019</v>
      </c>
      <c r="G286" t="s">
        <v>2</v>
      </c>
      <c r="H286" t="str">
        <f>TRIM(B286)</f>
        <v>Amy Shields</v>
      </c>
      <c r="I286" t="str">
        <f t="shared" si="12"/>
        <v>Excellent</v>
      </c>
      <c r="J286" s="1" t="str">
        <f t="shared" si="13"/>
        <v>Affordable</v>
      </c>
      <c r="K286" s="1" t="str">
        <f t="shared" si="14"/>
        <v>Low</v>
      </c>
    </row>
    <row r="287" spans="1:11" ht="13.8" x14ac:dyDescent="0.25">
      <c r="A287" t="s">
        <v>320</v>
      </c>
      <c r="B287" t="s">
        <v>321</v>
      </c>
      <c r="C287" s="2">
        <v>4.5999999999999996</v>
      </c>
      <c r="D287" s="3">
        <v>21930</v>
      </c>
      <c r="E287" s="3">
        <v>11</v>
      </c>
      <c r="F287" s="1">
        <v>2014</v>
      </c>
      <c r="G287" t="s">
        <v>5</v>
      </c>
      <c r="H287" t="str">
        <f>TRIM(B287)</f>
        <v>Christina Baker Kline</v>
      </c>
      <c r="I287" t="str">
        <f t="shared" si="12"/>
        <v>Excellent</v>
      </c>
      <c r="J287" s="1" t="str">
        <f t="shared" si="13"/>
        <v>Affordable</v>
      </c>
      <c r="K287" s="1" t="str">
        <f t="shared" si="14"/>
        <v>High</v>
      </c>
    </row>
    <row r="288" spans="1:11" ht="13.8" x14ac:dyDescent="0.25">
      <c r="A288" t="s">
        <v>352</v>
      </c>
      <c r="B288" t="s">
        <v>353</v>
      </c>
      <c r="C288" s="2">
        <v>4.7</v>
      </c>
      <c r="D288" s="3">
        <v>1265</v>
      </c>
      <c r="E288" s="3">
        <v>11</v>
      </c>
      <c r="F288" s="1">
        <v>2010</v>
      </c>
      <c r="G288" t="s">
        <v>2</v>
      </c>
      <c r="H288" t="str">
        <f>TRIM(B288)</f>
        <v>Justin Halpern</v>
      </c>
      <c r="I288" t="str">
        <f t="shared" si="12"/>
        <v>Excellent</v>
      </c>
      <c r="J288" s="1" t="str">
        <f t="shared" si="13"/>
        <v>Affordable</v>
      </c>
      <c r="K288" s="1" t="str">
        <f t="shared" si="14"/>
        <v>Low</v>
      </c>
    </row>
    <row r="289" spans="1:11" ht="13.8" x14ac:dyDescent="0.25">
      <c r="A289" t="s">
        <v>392</v>
      </c>
      <c r="B289" t="s">
        <v>326</v>
      </c>
      <c r="C289" s="2">
        <v>4.8</v>
      </c>
      <c r="D289" s="3">
        <v>6600</v>
      </c>
      <c r="E289" s="3">
        <v>11</v>
      </c>
      <c r="F289" s="1">
        <v>2014</v>
      </c>
      <c r="G289" t="s">
        <v>5</v>
      </c>
      <c r="H289" t="str">
        <f>TRIM(B289)</f>
        <v>Rick Riordan</v>
      </c>
      <c r="I289" t="str">
        <f t="shared" si="12"/>
        <v>Excellent</v>
      </c>
      <c r="J289" s="1" t="str">
        <f t="shared" si="13"/>
        <v>Affordable</v>
      </c>
      <c r="K289" s="1" t="str">
        <f t="shared" si="14"/>
        <v>Low</v>
      </c>
    </row>
    <row r="290" spans="1:11" ht="13.8" x14ac:dyDescent="0.25">
      <c r="A290" t="s">
        <v>413</v>
      </c>
      <c r="B290" t="s">
        <v>414</v>
      </c>
      <c r="C290" s="2">
        <v>4.4000000000000004</v>
      </c>
      <c r="D290" s="3">
        <v>440</v>
      </c>
      <c r="E290" s="3">
        <v>11</v>
      </c>
      <c r="F290" s="1">
        <v>2010</v>
      </c>
      <c r="G290" t="s">
        <v>2</v>
      </c>
      <c r="H290" t="str">
        <f>TRIM(B290)</f>
        <v>Jon Stewart</v>
      </c>
      <c r="I290" t="str">
        <f t="shared" si="12"/>
        <v>Average</v>
      </c>
      <c r="J290" s="1" t="str">
        <f t="shared" si="13"/>
        <v>Affordable</v>
      </c>
      <c r="K290" s="1" t="str">
        <f t="shared" si="14"/>
        <v>Low</v>
      </c>
    </row>
    <row r="291" spans="1:11" ht="13.8" x14ac:dyDescent="0.25">
      <c r="A291" t="s">
        <v>419</v>
      </c>
      <c r="B291" t="s">
        <v>420</v>
      </c>
      <c r="C291" s="2">
        <v>4</v>
      </c>
      <c r="D291" s="3">
        <v>1859</v>
      </c>
      <c r="E291" s="3">
        <v>11</v>
      </c>
      <c r="F291" s="1">
        <v>2009</v>
      </c>
      <c r="G291" t="s">
        <v>5</v>
      </c>
      <c r="H291" t="str">
        <f>TRIM(B291)</f>
        <v>Muriel Barbery</v>
      </c>
      <c r="I291" t="str">
        <f t="shared" si="12"/>
        <v>Average</v>
      </c>
      <c r="J291" s="1" t="str">
        <f t="shared" si="13"/>
        <v>Affordable</v>
      </c>
      <c r="K291" s="1" t="str">
        <f t="shared" si="14"/>
        <v>Low</v>
      </c>
    </row>
    <row r="292" spans="1:11" ht="13.8" x14ac:dyDescent="0.25">
      <c r="A292" t="s">
        <v>448</v>
      </c>
      <c r="B292" t="s">
        <v>449</v>
      </c>
      <c r="C292" s="2">
        <v>4.8</v>
      </c>
      <c r="D292" s="3">
        <v>9947</v>
      </c>
      <c r="E292" s="3">
        <v>11</v>
      </c>
      <c r="F292" s="1">
        <v>2018</v>
      </c>
      <c r="G292" t="s">
        <v>5</v>
      </c>
      <c r="H292" t="str">
        <f>TRIM(B292)</f>
        <v>Angie Thomas</v>
      </c>
      <c r="I292" t="str">
        <f t="shared" si="12"/>
        <v>Excellent</v>
      </c>
      <c r="J292" s="1" t="str">
        <f t="shared" si="13"/>
        <v>Affordable</v>
      </c>
      <c r="K292" s="1" t="str">
        <f t="shared" si="14"/>
        <v>Low</v>
      </c>
    </row>
    <row r="293" spans="1:11" ht="13.8" x14ac:dyDescent="0.25">
      <c r="A293" t="s">
        <v>467</v>
      </c>
      <c r="B293" t="s">
        <v>468</v>
      </c>
      <c r="C293" s="2">
        <v>4.5</v>
      </c>
      <c r="D293" s="3">
        <v>22641</v>
      </c>
      <c r="E293" s="3">
        <v>11</v>
      </c>
      <c r="F293" s="1">
        <v>2015</v>
      </c>
      <c r="G293" t="s">
        <v>2</v>
      </c>
      <c r="H293" t="str">
        <f>TRIM(B293)</f>
        <v>Marie KondÅ</v>
      </c>
      <c r="I293" t="str">
        <f t="shared" si="12"/>
        <v>Excellent</v>
      </c>
      <c r="J293" s="1" t="str">
        <f t="shared" si="13"/>
        <v>Affordable</v>
      </c>
      <c r="K293" s="1" t="str">
        <f t="shared" si="14"/>
        <v>High</v>
      </c>
    </row>
    <row r="294" spans="1:11" ht="13.8" x14ac:dyDescent="0.25">
      <c r="A294" t="s">
        <v>467</v>
      </c>
      <c r="B294" t="s">
        <v>468</v>
      </c>
      <c r="C294" s="2">
        <v>4.5</v>
      </c>
      <c r="D294" s="3">
        <v>22641</v>
      </c>
      <c r="E294" s="3">
        <v>11</v>
      </c>
      <c r="F294" s="1">
        <v>2016</v>
      </c>
      <c r="G294" t="s">
        <v>2</v>
      </c>
      <c r="H294" t="str">
        <f>TRIM(B294)</f>
        <v>Marie KondÅ</v>
      </c>
      <c r="I294" t="str">
        <f t="shared" si="12"/>
        <v>Excellent</v>
      </c>
      <c r="J294" s="1" t="str">
        <f t="shared" si="13"/>
        <v>Affordable</v>
      </c>
      <c r="K294" s="1" t="str">
        <f t="shared" si="14"/>
        <v>High</v>
      </c>
    </row>
    <row r="295" spans="1:11" ht="13.8" x14ac:dyDescent="0.25">
      <c r="A295" t="s">
        <v>467</v>
      </c>
      <c r="B295" t="s">
        <v>468</v>
      </c>
      <c r="C295" s="2">
        <v>4.5</v>
      </c>
      <c r="D295" s="3">
        <v>22641</v>
      </c>
      <c r="E295" s="3">
        <v>11</v>
      </c>
      <c r="F295" s="1">
        <v>2017</v>
      </c>
      <c r="G295" t="s">
        <v>2</v>
      </c>
      <c r="H295" t="str">
        <f>TRIM(B295)</f>
        <v>Marie KondÅ</v>
      </c>
      <c r="I295" t="str">
        <f t="shared" si="12"/>
        <v>Excellent</v>
      </c>
      <c r="J295" s="1" t="str">
        <f t="shared" si="13"/>
        <v>Affordable</v>
      </c>
      <c r="K295" s="1" t="str">
        <f t="shared" si="14"/>
        <v>High</v>
      </c>
    </row>
    <row r="296" spans="1:11" ht="13.8" x14ac:dyDescent="0.25">
      <c r="A296" t="s">
        <v>467</v>
      </c>
      <c r="B296" t="s">
        <v>468</v>
      </c>
      <c r="C296" s="2">
        <v>4.5</v>
      </c>
      <c r="D296" s="3">
        <v>22641</v>
      </c>
      <c r="E296" s="3">
        <v>11</v>
      </c>
      <c r="F296" s="1">
        <v>2019</v>
      </c>
      <c r="G296" t="s">
        <v>2</v>
      </c>
      <c r="H296" t="str">
        <f>TRIM(B296)</f>
        <v>Marie KondÅ</v>
      </c>
      <c r="I296" t="str">
        <f t="shared" si="12"/>
        <v>Excellent</v>
      </c>
      <c r="J296" s="1" t="str">
        <f t="shared" si="13"/>
        <v>Affordable</v>
      </c>
      <c r="K296" s="1" t="str">
        <f t="shared" si="14"/>
        <v>High</v>
      </c>
    </row>
    <row r="297" spans="1:11" ht="13.8" x14ac:dyDescent="0.25">
      <c r="A297" t="s">
        <v>484</v>
      </c>
      <c r="B297" t="s">
        <v>485</v>
      </c>
      <c r="C297" s="2">
        <v>4.8</v>
      </c>
      <c r="D297" s="3">
        <v>49288</v>
      </c>
      <c r="E297" s="3">
        <v>11</v>
      </c>
      <c r="F297" s="1">
        <v>2015</v>
      </c>
      <c r="G297" t="s">
        <v>5</v>
      </c>
      <c r="H297" t="str">
        <f>TRIM(B297)</f>
        <v>Kristin Hannah</v>
      </c>
      <c r="I297" t="str">
        <f t="shared" si="12"/>
        <v>Excellent</v>
      </c>
      <c r="J297" s="1" t="str">
        <f t="shared" si="13"/>
        <v>Affordable</v>
      </c>
      <c r="K297" s="1" t="str">
        <f t="shared" si="14"/>
        <v>High</v>
      </c>
    </row>
    <row r="298" spans="1:11" ht="13.8" x14ac:dyDescent="0.25">
      <c r="A298" t="s">
        <v>484</v>
      </c>
      <c r="B298" t="s">
        <v>485</v>
      </c>
      <c r="C298" s="2">
        <v>4.8</v>
      </c>
      <c r="D298" s="3">
        <v>49288</v>
      </c>
      <c r="E298" s="3">
        <v>11</v>
      </c>
      <c r="F298" s="1">
        <v>2016</v>
      </c>
      <c r="G298" t="s">
        <v>5</v>
      </c>
      <c r="H298" t="str">
        <f>TRIM(B298)</f>
        <v>Kristin Hannah</v>
      </c>
      <c r="I298" t="str">
        <f t="shared" si="12"/>
        <v>Excellent</v>
      </c>
      <c r="J298" s="1" t="str">
        <f t="shared" si="13"/>
        <v>Affordable</v>
      </c>
      <c r="K298" s="1" t="str">
        <f t="shared" si="14"/>
        <v>High</v>
      </c>
    </row>
    <row r="299" spans="1:11" ht="13.8" x14ac:dyDescent="0.25">
      <c r="A299" t="s">
        <v>546</v>
      </c>
      <c r="B299" t="s">
        <v>547</v>
      </c>
      <c r="C299" s="2">
        <v>4.3</v>
      </c>
      <c r="D299" s="3">
        <v>3319</v>
      </c>
      <c r="E299" s="3">
        <v>11</v>
      </c>
      <c r="F299" s="1">
        <v>2009</v>
      </c>
      <c r="G299" t="s">
        <v>2</v>
      </c>
      <c r="H299" t="str">
        <f>TRIM(B299)</f>
        <v>Greg Mortenson</v>
      </c>
      <c r="I299" t="str">
        <f t="shared" si="12"/>
        <v>Average</v>
      </c>
      <c r="J299" s="1" t="str">
        <f t="shared" si="13"/>
        <v>Affordable</v>
      </c>
      <c r="K299" s="1" t="str">
        <f t="shared" si="14"/>
        <v>Low</v>
      </c>
    </row>
    <row r="300" spans="1:11" ht="13.8" x14ac:dyDescent="0.25">
      <c r="A300" t="s">
        <v>546</v>
      </c>
      <c r="B300" t="s">
        <v>547</v>
      </c>
      <c r="C300" s="2">
        <v>4.3</v>
      </c>
      <c r="D300" s="3">
        <v>3319</v>
      </c>
      <c r="E300" s="3">
        <v>11</v>
      </c>
      <c r="F300" s="1">
        <v>2010</v>
      </c>
      <c r="G300" t="s">
        <v>2</v>
      </c>
      <c r="H300" t="str">
        <f>TRIM(B300)</f>
        <v>Greg Mortenson</v>
      </c>
      <c r="I300" t="str">
        <f t="shared" si="12"/>
        <v>Average</v>
      </c>
      <c r="J300" s="1" t="str">
        <f t="shared" si="13"/>
        <v>Affordable</v>
      </c>
      <c r="K300" s="1" t="str">
        <f t="shared" si="14"/>
        <v>Low</v>
      </c>
    </row>
    <row r="301" spans="1:11" ht="13.8" x14ac:dyDescent="0.25">
      <c r="A301" t="s">
        <v>563</v>
      </c>
      <c r="B301" t="s">
        <v>272</v>
      </c>
      <c r="C301" s="2">
        <v>4.9000000000000004</v>
      </c>
      <c r="D301" s="3">
        <v>5956</v>
      </c>
      <c r="E301" s="3">
        <v>11</v>
      </c>
      <c r="F301" s="1">
        <v>2019</v>
      </c>
      <c r="G301" t="s">
        <v>2</v>
      </c>
      <c r="H301" t="str">
        <f>TRIM(B301)</f>
        <v>Mark R. Levin</v>
      </c>
      <c r="I301" t="str">
        <f t="shared" si="12"/>
        <v>Excellent</v>
      </c>
      <c r="J301" s="1" t="str">
        <f t="shared" si="13"/>
        <v>Affordable</v>
      </c>
      <c r="K301" s="1" t="str">
        <f t="shared" si="14"/>
        <v>Low</v>
      </c>
    </row>
    <row r="302" spans="1:11" ht="13.8" x14ac:dyDescent="0.25">
      <c r="A302" t="s">
        <v>594</v>
      </c>
      <c r="B302" t="s">
        <v>595</v>
      </c>
      <c r="C302" s="2">
        <v>4.2</v>
      </c>
      <c r="D302" s="3">
        <v>1302</v>
      </c>
      <c r="E302" s="3">
        <v>11</v>
      </c>
      <c r="F302" s="1">
        <v>2010</v>
      </c>
      <c r="G302" t="s">
        <v>2</v>
      </c>
      <c r="H302" t="str">
        <f>TRIM(B302)</f>
        <v>Geneen Roth</v>
      </c>
      <c r="I302" t="str">
        <f t="shared" si="12"/>
        <v>Average</v>
      </c>
      <c r="J302" s="1" t="str">
        <f t="shared" si="13"/>
        <v>Affordable</v>
      </c>
      <c r="K302" s="1" t="str">
        <f t="shared" si="14"/>
        <v>Low</v>
      </c>
    </row>
    <row r="303" spans="1:11" ht="13.8" x14ac:dyDescent="0.25">
      <c r="A303" t="s">
        <v>10</v>
      </c>
      <c r="B303" t="s">
        <v>11</v>
      </c>
      <c r="C303" s="2">
        <v>4.8</v>
      </c>
      <c r="D303" s="3">
        <v>7665</v>
      </c>
      <c r="E303" s="3">
        <v>12</v>
      </c>
      <c r="F303" s="1">
        <v>2019</v>
      </c>
      <c r="G303" t="s">
        <v>2</v>
      </c>
      <c r="H303" t="str">
        <f>TRIM(B303)</f>
        <v>National Geographic Kids</v>
      </c>
      <c r="I303" t="str">
        <f t="shared" si="12"/>
        <v>Excellent</v>
      </c>
      <c r="J303" s="1" t="str">
        <f t="shared" si="13"/>
        <v>Affordable</v>
      </c>
      <c r="K303" s="1" t="str">
        <f t="shared" si="14"/>
        <v>Low</v>
      </c>
    </row>
    <row r="304" spans="1:11" ht="13.8" x14ac:dyDescent="0.25">
      <c r="A304" t="s">
        <v>119</v>
      </c>
      <c r="B304" t="s">
        <v>73</v>
      </c>
      <c r="C304" s="2">
        <v>4.8</v>
      </c>
      <c r="D304" s="3">
        <v>3181</v>
      </c>
      <c r="E304" s="3">
        <v>12</v>
      </c>
      <c r="F304" s="1">
        <v>2009</v>
      </c>
      <c r="G304" t="s">
        <v>5</v>
      </c>
      <c r="H304" t="str">
        <f>TRIM(B304)</f>
        <v>Jeff Kinney</v>
      </c>
      <c r="I304" t="str">
        <f t="shared" si="12"/>
        <v>Excellent</v>
      </c>
      <c r="J304" s="1" t="str">
        <f t="shared" si="13"/>
        <v>Affordable</v>
      </c>
      <c r="K304" s="1" t="str">
        <f t="shared" si="14"/>
        <v>Low</v>
      </c>
    </row>
    <row r="305" spans="1:11" ht="13.8" x14ac:dyDescent="0.25">
      <c r="A305" t="s">
        <v>172</v>
      </c>
      <c r="B305" t="s">
        <v>173</v>
      </c>
      <c r="C305" s="2">
        <v>4.5999999999999996</v>
      </c>
      <c r="D305" s="3">
        <v>7660</v>
      </c>
      <c r="E305" s="3">
        <v>12</v>
      </c>
      <c r="F305" s="1">
        <v>2019</v>
      </c>
      <c r="G305" t="s">
        <v>2</v>
      </c>
      <c r="H305" t="str">
        <f>TRIM(B305)</f>
        <v>Rachel Hollis</v>
      </c>
      <c r="I305" t="str">
        <f t="shared" si="12"/>
        <v>Excellent</v>
      </c>
      <c r="J305" s="1" t="str">
        <f t="shared" si="13"/>
        <v>Affordable</v>
      </c>
      <c r="K305" s="1" t="str">
        <f t="shared" si="14"/>
        <v>Low</v>
      </c>
    </row>
    <row r="306" spans="1:11" ht="13.8" x14ac:dyDescent="0.25">
      <c r="A306" t="s">
        <v>174</v>
      </c>
      <c r="B306" t="s">
        <v>173</v>
      </c>
      <c r="C306" s="2">
        <v>4.5999999999999996</v>
      </c>
      <c r="D306" s="3">
        <v>22288</v>
      </c>
      <c r="E306" s="3">
        <v>12</v>
      </c>
      <c r="F306" s="1">
        <v>2018</v>
      </c>
      <c r="G306" t="s">
        <v>2</v>
      </c>
      <c r="H306" t="str">
        <f>TRIM(B306)</f>
        <v>Rachel Hollis</v>
      </c>
      <c r="I306" t="str">
        <f t="shared" si="12"/>
        <v>Excellent</v>
      </c>
      <c r="J306" s="1" t="str">
        <f t="shared" si="13"/>
        <v>Affordable</v>
      </c>
      <c r="K306" s="1" t="str">
        <f t="shared" si="14"/>
        <v>High</v>
      </c>
    </row>
    <row r="307" spans="1:11" ht="13.8" x14ac:dyDescent="0.25">
      <c r="A307" t="s">
        <v>174</v>
      </c>
      <c r="B307" t="s">
        <v>173</v>
      </c>
      <c r="C307" s="2">
        <v>4.5999999999999996</v>
      </c>
      <c r="D307" s="3">
        <v>22288</v>
      </c>
      <c r="E307" s="3">
        <v>12</v>
      </c>
      <c r="F307" s="1">
        <v>2019</v>
      </c>
      <c r="G307" t="s">
        <v>2</v>
      </c>
      <c r="H307" t="str">
        <f>TRIM(B307)</f>
        <v>Rachel Hollis</v>
      </c>
      <c r="I307" t="str">
        <f t="shared" si="12"/>
        <v>Excellent</v>
      </c>
      <c r="J307" s="1" t="str">
        <f t="shared" si="13"/>
        <v>Affordable</v>
      </c>
      <c r="K307" s="1" t="str">
        <f t="shared" si="14"/>
        <v>High</v>
      </c>
    </row>
    <row r="308" spans="1:11" ht="13.8" x14ac:dyDescent="0.25">
      <c r="A308" t="s">
        <v>202</v>
      </c>
      <c r="B308" t="s">
        <v>146</v>
      </c>
      <c r="C308" s="2">
        <v>4</v>
      </c>
      <c r="D308" s="3">
        <v>23973</v>
      </c>
      <c r="E308" s="3">
        <v>12</v>
      </c>
      <c r="F308" s="1">
        <v>2016</v>
      </c>
      <c r="G308" t="s">
        <v>5</v>
      </c>
      <c r="H308" t="str">
        <f>TRIM(B308)</f>
        <v>J.K. Rowling</v>
      </c>
      <c r="I308" t="str">
        <f t="shared" si="12"/>
        <v>Average</v>
      </c>
      <c r="J308" s="1" t="str">
        <f t="shared" si="13"/>
        <v>Affordable</v>
      </c>
      <c r="K308" s="1" t="str">
        <f t="shared" si="14"/>
        <v>High</v>
      </c>
    </row>
    <row r="309" spans="1:11" ht="13.8" x14ac:dyDescent="0.25">
      <c r="A309" t="s">
        <v>243</v>
      </c>
      <c r="B309" t="s">
        <v>244</v>
      </c>
      <c r="C309" s="2">
        <v>4.8</v>
      </c>
      <c r="D309" s="3">
        <v>7062</v>
      </c>
      <c r="E309" s="3">
        <v>12</v>
      </c>
      <c r="F309" s="1">
        <v>2019</v>
      </c>
      <c r="G309" t="s">
        <v>2</v>
      </c>
      <c r="H309" t="str">
        <f>TRIM(B309)</f>
        <v>Lysa TerKeurst</v>
      </c>
      <c r="I309" t="str">
        <f t="shared" si="12"/>
        <v>Excellent</v>
      </c>
      <c r="J309" s="1" t="str">
        <f t="shared" si="13"/>
        <v>Affordable</v>
      </c>
      <c r="K309" s="1" t="str">
        <f t="shared" si="14"/>
        <v>Low</v>
      </c>
    </row>
    <row r="310" spans="1:11" ht="13.8" x14ac:dyDescent="0.25">
      <c r="A310" t="s">
        <v>248</v>
      </c>
      <c r="B310" t="s">
        <v>4</v>
      </c>
      <c r="C310" s="2">
        <v>4.5</v>
      </c>
      <c r="D310" s="3">
        <v>4748</v>
      </c>
      <c r="E310" s="3">
        <v>12</v>
      </c>
      <c r="F310" s="1">
        <v>2013</v>
      </c>
      <c r="G310" t="s">
        <v>5</v>
      </c>
      <c r="H310" t="str">
        <f>TRIM(B310)</f>
        <v>Stephen King</v>
      </c>
      <c r="I310" t="str">
        <f t="shared" si="12"/>
        <v>Excellent</v>
      </c>
      <c r="J310" s="1" t="str">
        <f t="shared" si="13"/>
        <v>Affordable</v>
      </c>
      <c r="K310" s="1" t="str">
        <f t="shared" si="14"/>
        <v>Low</v>
      </c>
    </row>
    <row r="311" spans="1:11" ht="13.8" x14ac:dyDescent="0.25">
      <c r="A311" t="s">
        <v>251</v>
      </c>
      <c r="B311" t="s">
        <v>252</v>
      </c>
      <c r="C311" s="2">
        <v>4.5</v>
      </c>
      <c r="D311" s="3">
        <v>11391</v>
      </c>
      <c r="E311" s="3">
        <v>12</v>
      </c>
      <c r="F311" s="1">
        <v>2013</v>
      </c>
      <c r="G311" t="s">
        <v>2</v>
      </c>
      <c r="H311" t="str">
        <f>TRIM(B311)</f>
        <v>Bill O'Reilly</v>
      </c>
      <c r="I311" t="str">
        <f t="shared" si="12"/>
        <v>Excellent</v>
      </c>
      <c r="J311" s="1" t="str">
        <f t="shared" si="13"/>
        <v>Affordable</v>
      </c>
      <c r="K311" s="1" t="str">
        <f t="shared" si="14"/>
        <v>High</v>
      </c>
    </row>
    <row r="312" spans="1:11" ht="13.8" x14ac:dyDescent="0.25">
      <c r="A312" t="s">
        <v>279</v>
      </c>
      <c r="B312" t="s">
        <v>280</v>
      </c>
      <c r="C312" s="2">
        <v>4.5</v>
      </c>
      <c r="D312" s="3">
        <v>25706</v>
      </c>
      <c r="E312" s="3">
        <v>12</v>
      </c>
      <c r="F312" s="1">
        <v>2018</v>
      </c>
      <c r="G312" t="s">
        <v>5</v>
      </c>
      <c r="H312" t="str">
        <f>TRIM(B312)</f>
        <v>Celeste Ng</v>
      </c>
      <c r="I312" t="str">
        <f t="shared" si="12"/>
        <v>Excellent</v>
      </c>
      <c r="J312" s="1" t="str">
        <f t="shared" si="13"/>
        <v>Affordable</v>
      </c>
      <c r="K312" s="1" t="str">
        <f t="shared" si="14"/>
        <v>High</v>
      </c>
    </row>
    <row r="313" spans="1:11" ht="13.8" x14ac:dyDescent="0.25">
      <c r="A313" t="s">
        <v>314</v>
      </c>
      <c r="B313" t="s">
        <v>315</v>
      </c>
      <c r="C313" s="2">
        <v>4.2</v>
      </c>
      <c r="D313" s="3">
        <v>4519</v>
      </c>
      <c r="E313" s="3">
        <v>12</v>
      </c>
      <c r="F313" s="1">
        <v>2009</v>
      </c>
      <c r="G313" t="s">
        <v>5</v>
      </c>
      <c r="H313" t="str">
        <f>TRIM(B313)</f>
        <v>Elizabeth Strout</v>
      </c>
      <c r="I313" t="str">
        <f t="shared" si="12"/>
        <v>Average</v>
      </c>
      <c r="J313" s="1" t="str">
        <f t="shared" si="13"/>
        <v>Affordable</v>
      </c>
      <c r="K313" s="1" t="str">
        <f t="shared" si="14"/>
        <v>Low</v>
      </c>
    </row>
    <row r="314" spans="1:11" ht="13.8" x14ac:dyDescent="0.25">
      <c r="A314" t="s">
        <v>340</v>
      </c>
      <c r="B314" t="s">
        <v>341</v>
      </c>
      <c r="C314" s="2">
        <v>4.5999999999999996</v>
      </c>
      <c r="D314" s="3">
        <v>22536</v>
      </c>
      <c r="E314" s="3">
        <v>12</v>
      </c>
      <c r="F314" s="1">
        <v>2017</v>
      </c>
      <c r="G314" t="s">
        <v>5</v>
      </c>
      <c r="H314" t="str">
        <f>TRIM(B314)</f>
        <v>Ernest Cline</v>
      </c>
      <c r="I314" t="str">
        <f t="shared" si="12"/>
        <v>Excellent</v>
      </c>
      <c r="J314" s="1" t="str">
        <f t="shared" si="13"/>
        <v>Affordable</v>
      </c>
      <c r="K314" s="1" t="str">
        <f t="shared" si="14"/>
        <v>High</v>
      </c>
    </row>
    <row r="315" spans="1:11" ht="13.8" x14ac:dyDescent="0.25">
      <c r="A315" t="s">
        <v>340</v>
      </c>
      <c r="B315" t="s">
        <v>341</v>
      </c>
      <c r="C315" s="2">
        <v>4.5999999999999996</v>
      </c>
      <c r="D315" s="3">
        <v>22536</v>
      </c>
      <c r="E315" s="3">
        <v>12</v>
      </c>
      <c r="F315" s="1">
        <v>2018</v>
      </c>
      <c r="G315" t="s">
        <v>5</v>
      </c>
      <c r="H315" t="str">
        <f>TRIM(B315)</f>
        <v>Ernest Cline</v>
      </c>
      <c r="I315" t="str">
        <f t="shared" si="12"/>
        <v>Excellent</v>
      </c>
      <c r="J315" s="1" t="str">
        <f t="shared" si="13"/>
        <v>Affordable</v>
      </c>
      <c r="K315" s="1" t="str">
        <f t="shared" si="14"/>
        <v>High</v>
      </c>
    </row>
    <row r="316" spans="1:11" ht="13.8" x14ac:dyDescent="0.25">
      <c r="A316" t="s">
        <v>342</v>
      </c>
      <c r="B316" t="s">
        <v>343</v>
      </c>
      <c r="C316" s="2">
        <v>4.9000000000000004</v>
      </c>
      <c r="D316" s="3">
        <v>7150</v>
      </c>
      <c r="E316" s="3">
        <v>12</v>
      </c>
      <c r="F316" s="1">
        <v>2013</v>
      </c>
      <c r="G316" t="s">
        <v>5</v>
      </c>
      <c r="H316" t="str">
        <f>TRIM(B316)</f>
        <v>Rush Limbaugh</v>
      </c>
      <c r="I316" t="str">
        <f t="shared" si="12"/>
        <v>Excellent</v>
      </c>
      <c r="J316" s="1" t="str">
        <f t="shared" si="13"/>
        <v>Affordable</v>
      </c>
      <c r="K316" s="1" t="str">
        <f t="shared" si="14"/>
        <v>Low</v>
      </c>
    </row>
    <row r="317" spans="1:11" ht="13.8" x14ac:dyDescent="0.25">
      <c r="A317" t="s">
        <v>344</v>
      </c>
      <c r="B317" t="s">
        <v>343</v>
      </c>
      <c r="C317" s="2">
        <v>4.9000000000000004</v>
      </c>
      <c r="D317" s="3">
        <v>3836</v>
      </c>
      <c r="E317" s="3">
        <v>12</v>
      </c>
      <c r="F317" s="1">
        <v>2014</v>
      </c>
      <c r="G317" t="s">
        <v>5</v>
      </c>
      <c r="H317" t="str">
        <f>TRIM(B317)</f>
        <v>Rush Limbaugh</v>
      </c>
      <c r="I317" t="str">
        <f t="shared" si="12"/>
        <v>Excellent</v>
      </c>
      <c r="J317" s="1" t="str">
        <f t="shared" si="13"/>
        <v>Affordable</v>
      </c>
      <c r="K317" s="1" t="str">
        <f t="shared" si="14"/>
        <v>Low</v>
      </c>
    </row>
    <row r="318" spans="1:11" ht="13.8" x14ac:dyDescent="0.25">
      <c r="A318" t="s">
        <v>380</v>
      </c>
      <c r="B318" t="s">
        <v>381</v>
      </c>
      <c r="C318" s="2">
        <v>4.8</v>
      </c>
      <c r="D318" s="3">
        <v>1680</v>
      </c>
      <c r="E318" s="3">
        <v>12</v>
      </c>
      <c r="F318" s="1">
        <v>2009</v>
      </c>
      <c r="G318" t="s">
        <v>2</v>
      </c>
      <c r="H318" t="str">
        <f>TRIM(B318)</f>
        <v>W. Cleon Skousen</v>
      </c>
      <c r="I318" t="str">
        <f t="shared" si="12"/>
        <v>Excellent</v>
      </c>
      <c r="J318" s="1" t="str">
        <f t="shared" si="13"/>
        <v>Affordable</v>
      </c>
      <c r="K318" s="1" t="str">
        <f t="shared" si="14"/>
        <v>Low</v>
      </c>
    </row>
    <row r="319" spans="1:11" ht="13.8" x14ac:dyDescent="0.25">
      <c r="A319" t="s">
        <v>395</v>
      </c>
      <c r="B319" t="s">
        <v>396</v>
      </c>
      <c r="C319" s="2">
        <v>4.8</v>
      </c>
      <c r="D319" s="3">
        <v>12361</v>
      </c>
      <c r="E319" s="3">
        <v>12</v>
      </c>
      <c r="F319" s="1">
        <v>2019</v>
      </c>
      <c r="G319" t="s">
        <v>2</v>
      </c>
      <c r="H319" t="str">
        <f>TRIM(B319)</f>
        <v>Bessel van der Kolk M.D.</v>
      </c>
      <c r="I319" t="str">
        <f t="shared" si="12"/>
        <v>Excellent</v>
      </c>
      <c r="J319" s="1" t="str">
        <f t="shared" si="13"/>
        <v>Affordable</v>
      </c>
      <c r="K319" s="1" t="str">
        <f t="shared" si="14"/>
        <v>High</v>
      </c>
    </row>
    <row r="320" spans="1:11" ht="13.8" x14ac:dyDescent="0.25">
      <c r="A320" t="s">
        <v>403</v>
      </c>
      <c r="B320" t="s">
        <v>404</v>
      </c>
      <c r="C320" s="2">
        <v>4.8</v>
      </c>
      <c r="D320" s="3">
        <v>23358</v>
      </c>
      <c r="E320" s="3">
        <v>12</v>
      </c>
      <c r="F320" s="1">
        <v>2014</v>
      </c>
      <c r="G320" t="s">
        <v>2</v>
      </c>
      <c r="H320" t="str">
        <f>TRIM(B320)</f>
        <v>Daniel James Brown</v>
      </c>
      <c r="I320" t="str">
        <f t="shared" si="12"/>
        <v>Excellent</v>
      </c>
      <c r="J320" s="1" t="str">
        <f t="shared" si="13"/>
        <v>Affordable</v>
      </c>
      <c r="K320" s="1" t="str">
        <f t="shared" si="14"/>
        <v>High</v>
      </c>
    </row>
    <row r="321" spans="1:11" ht="13.8" x14ac:dyDescent="0.25">
      <c r="A321" t="s">
        <v>403</v>
      </c>
      <c r="B321" t="s">
        <v>404</v>
      </c>
      <c r="C321" s="2">
        <v>4.8</v>
      </c>
      <c r="D321" s="3">
        <v>23358</v>
      </c>
      <c r="E321" s="3">
        <v>12</v>
      </c>
      <c r="F321" s="1">
        <v>2015</v>
      </c>
      <c r="G321" t="s">
        <v>2</v>
      </c>
      <c r="H321" t="str">
        <f>TRIM(B321)</f>
        <v>Daniel James Brown</v>
      </c>
      <c r="I321" t="str">
        <f t="shared" si="12"/>
        <v>Excellent</v>
      </c>
      <c r="J321" s="1" t="str">
        <f t="shared" si="13"/>
        <v>Affordable</v>
      </c>
      <c r="K321" s="1" t="str">
        <f t="shared" si="14"/>
        <v>High</v>
      </c>
    </row>
    <row r="322" spans="1:11" ht="13.8" x14ac:dyDescent="0.25">
      <c r="A322" t="s">
        <v>405</v>
      </c>
      <c r="B322" t="s">
        <v>146</v>
      </c>
      <c r="C322" s="2">
        <v>3.3</v>
      </c>
      <c r="D322" s="3">
        <v>9372</v>
      </c>
      <c r="E322" s="3">
        <v>12</v>
      </c>
      <c r="F322" s="1">
        <v>2012</v>
      </c>
      <c r="G322" t="s">
        <v>5</v>
      </c>
      <c r="H322" t="str">
        <f>TRIM(B322)</f>
        <v>J.K. Rowling</v>
      </c>
      <c r="I322" t="str">
        <f t="shared" ref="I322:I385" si="15">IF(C322&gt;=4.5,"Excellent","Average")</f>
        <v>Average</v>
      </c>
      <c r="J322" s="1" t="str">
        <f t="shared" ref="J322:J385" si="16">IF(E322&gt;=15,"Expensive","Affordable")</f>
        <v>Affordable</v>
      </c>
      <c r="K322" s="1" t="str">
        <f t="shared" ref="K322:K385" si="17">IF(D322&gt;=10000,"High","Low")</f>
        <v>Low</v>
      </c>
    </row>
    <row r="323" spans="1:11" ht="13.8" x14ac:dyDescent="0.25">
      <c r="A323" t="s">
        <v>482</v>
      </c>
      <c r="B323" t="s">
        <v>483</v>
      </c>
      <c r="C323" s="2">
        <v>4.5999999999999996</v>
      </c>
      <c r="D323" s="3">
        <v>2744</v>
      </c>
      <c r="E323" s="3">
        <v>12</v>
      </c>
      <c r="F323" s="1">
        <v>2019</v>
      </c>
      <c r="G323" t="s">
        <v>2</v>
      </c>
      <c r="H323" t="str">
        <f>TRIM(B323)</f>
        <v>The Washington Post</v>
      </c>
      <c r="I323" t="str">
        <f t="shared" si="15"/>
        <v>Excellent</v>
      </c>
      <c r="J323" s="1" t="str">
        <f t="shared" si="16"/>
        <v>Affordable</v>
      </c>
      <c r="K323" s="1" t="str">
        <f t="shared" si="17"/>
        <v>Low</v>
      </c>
    </row>
    <row r="324" spans="1:11" ht="13.8" x14ac:dyDescent="0.25">
      <c r="A324" t="s">
        <v>504</v>
      </c>
      <c r="B324" t="s">
        <v>326</v>
      </c>
      <c r="C324" s="2">
        <v>4.5999999999999996</v>
      </c>
      <c r="D324" s="3">
        <v>2186</v>
      </c>
      <c r="E324" s="3">
        <v>12</v>
      </c>
      <c r="F324" s="1">
        <v>2010</v>
      </c>
      <c r="G324" t="s">
        <v>5</v>
      </c>
      <c r="H324" t="str">
        <f>TRIM(B324)</f>
        <v>Rick Riordan</v>
      </c>
      <c r="I324" t="str">
        <f t="shared" si="15"/>
        <v>Excellent</v>
      </c>
      <c r="J324" s="1" t="str">
        <f t="shared" si="16"/>
        <v>Affordable</v>
      </c>
      <c r="K324" s="1" t="str">
        <f t="shared" si="17"/>
        <v>Low</v>
      </c>
    </row>
    <row r="325" spans="1:11" ht="13.8" x14ac:dyDescent="0.25">
      <c r="A325" t="s">
        <v>507</v>
      </c>
      <c r="B325" t="s">
        <v>326</v>
      </c>
      <c r="C325" s="2">
        <v>4.8</v>
      </c>
      <c r="D325" s="3">
        <v>2091</v>
      </c>
      <c r="E325" s="3">
        <v>12</v>
      </c>
      <c r="F325" s="1">
        <v>2012</v>
      </c>
      <c r="G325" t="s">
        <v>5</v>
      </c>
      <c r="H325" t="str">
        <f>TRIM(B325)</f>
        <v>Rick Riordan</v>
      </c>
      <c r="I325" t="str">
        <f t="shared" si="15"/>
        <v>Excellent</v>
      </c>
      <c r="J325" s="1" t="str">
        <f t="shared" si="16"/>
        <v>Affordable</v>
      </c>
      <c r="K325" s="1" t="str">
        <f t="shared" si="17"/>
        <v>Low</v>
      </c>
    </row>
    <row r="326" spans="1:11" ht="13.8" x14ac:dyDescent="0.25">
      <c r="A326" t="s">
        <v>525</v>
      </c>
      <c r="B326" t="s">
        <v>73</v>
      </c>
      <c r="C326" s="2">
        <v>4.8</v>
      </c>
      <c r="D326" s="3">
        <v>3796</v>
      </c>
      <c r="E326" s="3">
        <v>12</v>
      </c>
      <c r="F326" s="1">
        <v>2010</v>
      </c>
      <c r="G326" t="s">
        <v>5</v>
      </c>
      <c r="H326" t="str">
        <f>TRIM(B326)</f>
        <v>Jeff Kinney</v>
      </c>
      <c r="I326" t="str">
        <f t="shared" si="15"/>
        <v>Excellent</v>
      </c>
      <c r="J326" s="1" t="str">
        <f t="shared" si="16"/>
        <v>Affordable</v>
      </c>
      <c r="K326" s="1" t="str">
        <f t="shared" si="17"/>
        <v>Low</v>
      </c>
    </row>
    <row r="327" spans="1:11" ht="13.8" x14ac:dyDescent="0.25">
      <c r="A327" t="s">
        <v>550</v>
      </c>
      <c r="B327" t="s">
        <v>551</v>
      </c>
      <c r="C327" s="2">
        <v>4.3</v>
      </c>
      <c r="D327" s="3">
        <v>5977</v>
      </c>
      <c r="E327" s="3">
        <v>12</v>
      </c>
      <c r="F327" s="1">
        <v>2011</v>
      </c>
      <c r="G327" t="s">
        <v>2</v>
      </c>
      <c r="H327" t="str">
        <f>TRIM(B327)</f>
        <v>Tina Fey</v>
      </c>
      <c r="I327" t="str">
        <f t="shared" si="15"/>
        <v>Average</v>
      </c>
      <c r="J327" s="1" t="str">
        <f t="shared" si="16"/>
        <v>Affordable</v>
      </c>
      <c r="K327" s="1" t="str">
        <f t="shared" si="17"/>
        <v>Low</v>
      </c>
    </row>
    <row r="328" spans="1:11" ht="13.8" x14ac:dyDescent="0.25">
      <c r="A328" t="s">
        <v>569</v>
      </c>
      <c r="B328" t="s">
        <v>570</v>
      </c>
      <c r="C328" s="2">
        <v>4.5</v>
      </c>
      <c r="D328" s="3">
        <v>8958</v>
      </c>
      <c r="E328" s="3">
        <v>12</v>
      </c>
      <c r="F328" s="1">
        <v>2011</v>
      </c>
      <c r="G328" t="s">
        <v>5</v>
      </c>
      <c r="H328" t="str">
        <f>TRIM(B328)</f>
        <v>Sara Gruen</v>
      </c>
      <c r="I328" t="str">
        <f t="shared" si="15"/>
        <v>Excellent</v>
      </c>
      <c r="J328" s="1" t="str">
        <f t="shared" si="16"/>
        <v>Affordable</v>
      </c>
      <c r="K328" s="1" t="str">
        <f t="shared" si="17"/>
        <v>Low</v>
      </c>
    </row>
    <row r="329" spans="1:11" ht="13.8" x14ac:dyDescent="0.25">
      <c r="A329" t="s">
        <v>588</v>
      </c>
      <c r="B329" t="s">
        <v>589</v>
      </c>
      <c r="C329" s="2">
        <v>4.5999999999999996</v>
      </c>
      <c r="D329" s="3">
        <v>6669</v>
      </c>
      <c r="E329" s="3">
        <v>12</v>
      </c>
      <c r="F329" s="1">
        <v>2018</v>
      </c>
      <c r="G329" t="s">
        <v>2</v>
      </c>
      <c r="H329" t="str">
        <f>TRIM(B329)</f>
        <v>The Staff of The Late Show withÂ…</v>
      </c>
      <c r="I329" t="str">
        <f t="shared" si="15"/>
        <v>Excellent</v>
      </c>
      <c r="J329" s="1" t="str">
        <f t="shared" si="16"/>
        <v>Affordable</v>
      </c>
      <c r="K329" s="1" t="str">
        <f t="shared" si="17"/>
        <v>Low</v>
      </c>
    </row>
    <row r="330" spans="1:11" ht="13.8" x14ac:dyDescent="0.25">
      <c r="A330" t="s">
        <v>36</v>
      </c>
      <c r="B330" t="s">
        <v>37</v>
      </c>
      <c r="C330" s="2">
        <v>4.8</v>
      </c>
      <c r="D330" s="3">
        <v>9198</v>
      </c>
      <c r="E330" s="3">
        <v>13</v>
      </c>
      <c r="F330" s="1">
        <v>2016</v>
      </c>
      <c r="G330" t="s">
        <v>2</v>
      </c>
      <c r="H330" t="str">
        <f>TRIM(B330)</f>
        <v>Ron Chernow</v>
      </c>
      <c r="I330" t="str">
        <f t="shared" si="15"/>
        <v>Excellent</v>
      </c>
      <c r="J330" s="1" t="str">
        <f t="shared" si="16"/>
        <v>Affordable</v>
      </c>
      <c r="K330" s="1" t="str">
        <f t="shared" si="17"/>
        <v>Low</v>
      </c>
    </row>
    <row r="331" spans="1:11" ht="13.8" x14ac:dyDescent="0.25">
      <c r="A331" t="s">
        <v>40</v>
      </c>
      <c r="B331" t="s">
        <v>41</v>
      </c>
      <c r="C331" s="2">
        <v>3.9</v>
      </c>
      <c r="D331" s="3">
        <v>6310</v>
      </c>
      <c r="E331" s="3">
        <v>13</v>
      </c>
      <c r="F331" s="1">
        <v>2013</v>
      </c>
      <c r="G331" t="s">
        <v>5</v>
      </c>
      <c r="H331" t="str">
        <f>TRIM(B331)</f>
        <v>Veronica Roth</v>
      </c>
      <c r="I331" t="str">
        <f t="shared" si="15"/>
        <v>Average</v>
      </c>
      <c r="J331" s="1" t="str">
        <f t="shared" si="16"/>
        <v>Affordable</v>
      </c>
      <c r="K331" s="1" t="str">
        <f t="shared" si="17"/>
        <v>Low</v>
      </c>
    </row>
    <row r="332" spans="1:11" ht="13.8" x14ac:dyDescent="0.25">
      <c r="A332" t="s">
        <v>44</v>
      </c>
      <c r="B332" t="s">
        <v>45</v>
      </c>
      <c r="C332" s="2">
        <v>4.3</v>
      </c>
      <c r="D332" s="3">
        <v>12159</v>
      </c>
      <c r="E332" s="3">
        <v>13</v>
      </c>
      <c r="F332" s="1">
        <v>2013</v>
      </c>
      <c r="G332" t="s">
        <v>5</v>
      </c>
      <c r="H332" t="str">
        <f>TRIM(B332)</f>
        <v>Khaled Hosseini</v>
      </c>
      <c r="I332" t="str">
        <f t="shared" si="15"/>
        <v>Average</v>
      </c>
      <c r="J332" s="1" t="str">
        <f t="shared" si="16"/>
        <v>Affordable</v>
      </c>
      <c r="K332" s="1" t="str">
        <f t="shared" si="17"/>
        <v>High</v>
      </c>
    </row>
    <row r="333" spans="1:11" ht="13.8" x14ac:dyDescent="0.25">
      <c r="A333" t="s">
        <v>63</v>
      </c>
      <c r="B333" t="s">
        <v>64</v>
      </c>
      <c r="C333" s="2">
        <v>4.7</v>
      </c>
      <c r="D333" s="3">
        <v>10070</v>
      </c>
      <c r="E333" s="3">
        <v>13</v>
      </c>
      <c r="F333" s="1">
        <v>2015</v>
      </c>
      <c r="G333" t="s">
        <v>2</v>
      </c>
      <c r="H333" t="str">
        <f>TRIM(B333)</f>
        <v>Ta-Nehisi Coates</v>
      </c>
      <c r="I333" t="str">
        <f t="shared" si="15"/>
        <v>Excellent</v>
      </c>
      <c r="J333" s="1" t="str">
        <f t="shared" si="16"/>
        <v>Affordable</v>
      </c>
      <c r="K333" s="1" t="str">
        <f t="shared" si="17"/>
        <v>High</v>
      </c>
    </row>
    <row r="334" spans="1:11" ht="13.8" x14ac:dyDescent="0.25">
      <c r="A334" t="s">
        <v>63</v>
      </c>
      <c r="B334" t="s">
        <v>64</v>
      </c>
      <c r="C334" s="2">
        <v>4.7</v>
      </c>
      <c r="D334" s="3">
        <v>10070</v>
      </c>
      <c r="E334" s="3">
        <v>13</v>
      </c>
      <c r="F334" s="1">
        <v>2016</v>
      </c>
      <c r="G334" t="s">
        <v>2</v>
      </c>
      <c r="H334" t="str">
        <f>TRIM(B334)</f>
        <v>Ta-Nehisi Coates</v>
      </c>
      <c r="I334" t="str">
        <f t="shared" si="15"/>
        <v>Excellent</v>
      </c>
      <c r="J334" s="1" t="str">
        <f t="shared" si="16"/>
        <v>Affordable</v>
      </c>
      <c r="K334" s="1" t="str">
        <f t="shared" si="17"/>
        <v>High</v>
      </c>
    </row>
    <row r="335" spans="1:11" ht="13.8" x14ac:dyDescent="0.25">
      <c r="A335" t="s">
        <v>67</v>
      </c>
      <c r="B335" t="s">
        <v>68</v>
      </c>
      <c r="C335" s="2">
        <v>4.5999999999999996</v>
      </c>
      <c r="D335" s="3">
        <v>9769</v>
      </c>
      <c r="E335" s="3">
        <v>13</v>
      </c>
      <c r="F335" s="1">
        <v>2009</v>
      </c>
      <c r="G335" t="s">
        <v>5</v>
      </c>
      <c r="H335" t="str">
        <f>TRIM(B335)</f>
        <v>Stephenie Meyer</v>
      </c>
      <c r="I335" t="str">
        <f t="shared" si="15"/>
        <v>Excellent</v>
      </c>
      <c r="J335" s="1" t="str">
        <f t="shared" si="16"/>
        <v>Affordable</v>
      </c>
      <c r="K335" s="1" t="str">
        <f t="shared" si="17"/>
        <v>Low</v>
      </c>
    </row>
    <row r="336" spans="1:11" ht="13.8" x14ac:dyDescent="0.25">
      <c r="A336" t="s">
        <v>95</v>
      </c>
      <c r="B336" t="s">
        <v>96</v>
      </c>
      <c r="C336" s="2">
        <v>4.4000000000000004</v>
      </c>
      <c r="D336" s="3">
        <v>4642</v>
      </c>
      <c r="E336" s="3">
        <v>13</v>
      </c>
      <c r="F336" s="1">
        <v>2013</v>
      </c>
      <c r="G336" t="s">
        <v>2</v>
      </c>
      <c r="H336" t="str">
        <f>TRIM(B336)</f>
        <v>Malcolm Gladwell</v>
      </c>
      <c r="I336" t="str">
        <f t="shared" si="15"/>
        <v>Average</v>
      </c>
      <c r="J336" s="1" t="str">
        <f t="shared" si="16"/>
        <v>Affordable</v>
      </c>
      <c r="K336" s="1" t="str">
        <f t="shared" si="17"/>
        <v>Low</v>
      </c>
    </row>
    <row r="337" spans="1:11" ht="13.8" x14ac:dyDescent="0.25">
      <c r="A337" t="s">
        <v>118</v>
      </c>
      <c r="B337" t="s">
        <v>4</v>
      </c>
      <c r="C337" s="2">
        <v>4.7</v>
      </c>
      <c r="D337" s="3">
        <v>15845</v>
      </c>
      <c r="E337" s="3">
        <v>13</v>
      </c>
      <c r="F337" s="1">
        <v>2013</v>
      </c>
      <c r="G337" t="s">
        <v>5</v>
      </c>
      <c r="H337" t="str">
        <f>TRIM(B337)</f>
        <v>Stephen King</v>
      </c>
      <c r="I337" t="str">
        <f t="shared" si="15"/>
        <v>Excellent</v>
      </c>
      <c r="J337" s="1" t="str">
        <f t="shared" si="16"/>
        <v>Affordable</v>
      </c>
      <c r="K337" s="1" t="str">
        <f t="shared" si="17"/>
        <v>High</v>
      </c>
    </row>
    <row r="338" spans="1:11" ht="13.8" x14ac:dyDescent="0.25">
      <c r="A338" t="s">
        <v>241</v>
      </c>
      <c r="B338" t="s">
        <v>242</v>
      </c>
      <c r="C338" s="2">
        <v>4.4000000000000004</v>
      </c>
      <c r="D338" s="3">
        <v>7396</v>
      </c>
      <c r="E338" s="3">
        <v>13</v>
      </c>
      <c r="F338" s="1">
        <v>2019</v>
      </c>
      <c r="G338" t="s">
        <v>2</v>
      </c>
      <c r="H338" t="str">
        <f>TRIM(B338)</f>
        <v>Jennifer Smith</v>
      </c>
      <c r="I338" t="str">
        <f t="shared" si="15"/>
        <v>Average</v>
      </c>
      <c r="J338" s="1" t="str">
        <f t="shared" si="16"/>
        <v>Affordable</v>
      </c>
      <c r="K338" s="1" t="str">
        <f t="shared" si="17"/>
        <v>Low</v>
      </c>
    </row>
    <row r="339" spans="1:11" ht="13.8" x14ac:dyDescent="0.25">
      <c r="A339" t="s">
        <v>241</v>
      </c>
      <c r="B339" t="s">
        <v>242</v>
      </c>
      <c r="C339" s="2">
        <v>4.4000000000000004</v>
      </c>
      <c r="D339" s="3">
        <v>7396</v>
      </c>
      <c r="E339" s="3">
        <v>13</v>
      </c>
      <c r="F339" s="1">
        <v>2018</v>
      </c>
      <c r="G339" t="s">
        <v>2</v>
      </c>
      <c r="H339" t="str">
        <f>TRIM(B339)</f>
        <v>Jennifer Smith</v>
      </c>
      <c r="I339" t="str">
        <f t="shared" si="15"/>
        <v>Average</v>
      </c>
      <c r="J339" s="1" t="str">
        <f t="shared" si="16"/>
        <v>Affordable</v>
      </c>
      <c r="K339" s="1" t="str">
        <f t="shared" si="17"/>
        <v>Low</v>
      </c>
    </row>
    <row r="340" spans="1:11" ht="13.8" x14ac:dyDescent="0.25">
      <c r="A340" t="s">
        <v>262</v>
      </c>
      <c r="B340" t="s">
        <v>263</v>
      </c>
      <c r="C340" s="2">
        <v>4.9000000000000004</v>
      </c>
      <c r="D340" s="3">
        <v>11881</v>
      </c>
      <c r="E340" s="3">
        <v>13</v>
      </c>
      <c r="F340" s="1">
        <v>2018</v>
      </c>
      <c r="G340" t="s">
        <v>5</v>
      </c>
      <c r="H340" t="str">
        <f>TRIM(B340)</f>
        <v>Jill Twiss</v>
      </c>
      <c r="I340" t="str">
        <f t="shared" si="15"/>
        <v>Excellent</v>
      </c>
      <c r="J340" s="1" t="str">
        <f t="shared" si="16"/>
        <v>Affordable</v>
      </c>
      <c r="K340" s="1" t="str">
        <f t="shared" si="17"/>
        <v>High</v>
      </c>
    </row>
    <row r="341" spans="1:11" ht="13.8" x14ac:dyDescent="0.25">
      <c r="A341" t="s">
        <v>265</v>
      </c>
      <c r="B341" t="s">
        <v>266</v>
      </c>
      <c r="C341" s="2">
        <v>4.5</v>
      </c>
      <c r="D341" s="3">
        <v>6132</v>
      </c>
      <c r="E341" s="3">
        <v>13</v>
      </c>
      <c r="F341" s="1">
        <v>2013</v>
      </c>
      <c r="G341" t="s">
        <v>2</v>
      </c>
      <c r="H341" t="str">
        <f>TRIM(B341)</f>
        <v>Sheryl Sandberg</v>
      </c>
      <c r="I341" t="str">
        <f t="shared" si="15"/>
        <v>Excellent</v>
      </c>
      <c r="J341" s="1" t="str">
        <f t="shared" si="16"/>
        <v>Affordable</v>
      </c>
      <c r="K341" s="1" t="str">
        <f t="shared" si="17"/>
        <v>Low</v>
      </c>
    </row>
    <row r="342" spans="1:11" ht="13.8" x14ac:dyDescent="0.25">
      <c r="A342" t="s">
        <v>283</v>
      </c>
      <c r="B342" t="s">
        <v>284</v>
      </c>
      <c r="C342" s="2">
        <v>4.2</v>
      </c>
      <c r="D342" s="3">
        <v>1649</v>
      </c>
      <c r="E342" s="3">
        <v>13</v>
      </c>
      <c r="F342" s="1">
        <v>2011</v>
      </c>
      <c r="G342" t="s">
        <v>2</v>
      </c>
      <c r="H342" t="str">
        <f>TRIM(B342)</f>
        <v>Rob Bell</v>
      </c>
      <c r="I342" t="str">
        <f t="shared" si="15"/>
        <v>Average</v>
      </c>
      <c r="J342" s="1" t="str">
        <f t="shared" si="16"/>
        <v>Affordable</v>
      </c>
      <c r="K342" s="1" t="str">
        <f t="shared" si="17"/>
        <v>Low</v>
      </c>
    </row>
    <row r="343" spans="1:11" ht="13.8" x14ac:dyDescent="0.25">
      <c r="A343" t="s">
        <v>316</v>
      </c>
      <c r="B343" t="s">
        <v>317</v>
      </c>
      <c r="C343" s="2">
        <v>4.5999999999999996</v>
      </c>
      <c r="D343" s="3">
        <v>3163</v>
      </c>
      <c r="E343" s="3">
        <v>13</v>
      </c>
      <c r="F343" s="1">
        <v>2011</v>
      </c>
      <c r="G343" t="s">
        <v>2</v>
      </c>
      <c r="H343" t="str">
        <f>TRIM(B343)</f>
        <v>Ann Voskamp</v>
      </c>
      <c r="I343" t="str">
        <f t="shared" si="15"/>
        <v>Excellent</v>
      </c>
      <c r="J343" s="1" t="str">
        <f t="shared" si="16"/>
        <v>Affordable</v>
      </c>
      <c r="K343" s="1" t="str">
        <f t="shared" si="17"/>
        <v>Low</v>
      </c>
    </row>
    <row r="344" spans="1:11" ht="13.8" x14ac:dyDescent="0.25">
      <c r="A344" t="s">
        <v>316</v>
      </c>
      <c r="B344" t="s">
        <v>317</v>
      </c>
      <c r="C344" s="2">
        <v>4.5999999999999996</v>
      </c>
      <c r="D344" s="3">
        <v>3163</v>
      </c>
      <c r="E344" s="3">
        <v>13</v>
      </c>
      <c r="F344" s="1">
        <v>2012</v>
      </c>
      <c r="G344" t="s">
        <v>2</v>
      </c>
      <c r="H344" t="str">
        <f>TRIM(B344)</f>
        <v>Ann Voskamp</v>
      </c>
      <c r="I344" t="str">
        <f t="shared" si="15"/>
        <v>Excellent</v>
      </c>
      <c r="J344" s="1" t="str">
        <f t="shared" si="16"/>
        <v>Affordable</v>
      </c>
      <c r="K344" s="1" t="str">
        <f t="shared" si="17"/>
        <v>Low</v>
      </c>
    </row>
    <row r="345" spans="1:11" ht="13.8" x14ac:dyDescent="0.25">
      <c r="A345" t="s">
        <v>319</v>
      </c>
      <c r="B345" t="s">
        <v>238</v>
      </c>
      <c r="C345" s="2">
        <v>4.3</v>
      </c>
      <c r="D345" s="3">
        <v>18904</v>
      </c>
      <c r="E345" s="3">
        <v>13</v>
      </c>
      <c r="F345" s="1">
        <v>2017</v>
      </c>
      <c r="G345" t="s">
        <v>5</v>
      </c>
      <c r="H345" t="str">
        <f>TRIM(B345)</f>
        <v>Dan Brown</v>
      </c>
      <c r="I345" t="str">
        <f t="shared" si="15"/>
        <v>Average</v>
      </c>
      <c r="J345" s="1" t="str">
        <f t="shared" si="16"/>
        <v>Affordable</v>
      </c>
      <c r="K345" s="1" t="str">
        <f t="shared" si="17"/>
        <v>High</v>
      </c>
    </row>
    <row r="346" spans="1:11" ht="13.8" x14ac:dyDescent="0.25">
      <c r="A346" t="s">
        <v>367</v>
      </c>
      <c r="B346" t="s">
        <v>368</v>
      </c>
      <c r="C346" s="2">
        <v>4.5999999999999996</v>
      </c>
      <c r="D346" s="3">
        <v>1907</v>
      </c>
      <c r="E346" s="3">
        <v>13</v>
      </c>
      <c r="F346" s="1">
        <v>2010</v>
      </c>
      <c r="G346" t="s">
        <v>2</v>
      </c>
      <c r="H346" t="str">
        <f>TRIM(B346)</f>
        <v>Chip Heath</v>
      </c>
      <c r="I346" t="str">
        <f t="shared" si="15"/>
        <v>Excellent</v>
      </c>
      <c r="J346" s="1" t="str">
        <f t="shared" si="16"/>
        <v>Affordable</v>
      </c>
      <c r="K346" s="1" t="str">
        <f t="shared" si="17"/>
        <v>Low</v>
      </c>
    </row>
    <row r="347" spans="1:11" ht="13.8" x14ac:dyDescent="0.25">
      <c r="A347" t="s">
        <v>410</v>
      </c>
      <c r="B347" t="s">
        <v>370</v>
      </c>
      <c r="C347" s="2">
        <v>4.3</v>
      </c>
      <c r="D347" s="3">
        <v>3523</v>
      </c>
      <c r="E347" s="3">
        <v>13</v>
      </c>
      <c r="F347" s="1">
        <v>2010</v>
      </c>
      <c r="G347" t="s">
        <v>5</v>
      </c>
      <c r="H347" t="str">
        <f>TRIM(B347)</f>
        <v>John Grisham</v>
      </c>
      <c r="I347" t="str">
        <f t="shared" si="15"/>
        <v>Average</v>
      </c>
      <c r="J347" s="1" t="str">
        <f t="shared" si="16"/>
        <v>Affordable</v>
      </c>
      <c r="K347" s="1" t="str">
        <f t="shared" si="17"/>
        <v>Low</v>
      </c>
    </row>
    <row r="348" spans="1:11" ht="13.8" x14ac:dyDescent="0.25">
      <c r="A348" t="s">
        <v>421</v>
      </c>
      <c r="B348" t="s">
        <v>282</v>
      </c>
      <c r="C348" s="2">
        <v>4.7</v>
      </c>
      <c r="D348" s="3">
        <v>50482</v>
      </c>
      <c r="E348" s="3">
        <v>13</v>
      </c>
      <c r="F348" s="1">
        <v>2012</v>
      </c>
      <c r="G348" t="s">
        <v>5</v>
      </c>
      <c r="H348" t="str">
        <f>TRIM(B348)</f>
        <v>John Green</v>
      </c>
      <c r="I348" t="str">
        <f t="shared" si="15"/>
        <v>Excellent</v>
      </c>
      <c r="J348" s="1" t="str">
        <f t="shared" si="16"/>
        <v>Affordable</v>
      </c>
      <c r="K348" s="1" t="str">
        <f t="shared" si="17"/>
        <v>High</v>
      </c>
    </row>
    <row r="349" spans="1:11" ht="13.8" x14ac:dyDescent="0.25">
      <c r="A349" t="s">
        <v>421</v>
      </c>
      <c r="B349" t="s">
        <v>282</v>
      </c>
      <c r="C349" s="2">
        <v>4.7</v>
      </c>
      <c r="D349" s="3">
        <v>50482</v>
      </c>
      <c r="E349" s="3">
        <v>13</v>
      </c>
      <c r="F349" s="1">
        <v>2013</v>
      </c>
      <c r="G349" t="s">
        <v>5</v>
      </c>
      <c r="H349" t="str">
        <f>TRIM(B349)</f>
        <v>John Green</v>
      </c>
      <c r="I349" t="str">
        <f t="shared" si="15"/>
        <v>Excellent</v>
      </c>
      <c r="J349" s="1" t="str">
        <f t="shared" si="16"/>
        <v>Affordable</v>
      </c>
      <c r="K349" s="1" t="str">
        <f t="shared" si="17"/>
        <v>High</v>
      </c>
    </row>
    <row r="350" spans="1:11" ht="13.8" x14ac:dyDescent="0.25">
      <c r="A350" t="s">
        <v>421</v>
      </c>
      <c r="B350" t="s">
        <v>282</v>
      </c>
      <c r="C350" s="2">
        <v>4.7</v>
      </c>
      <c r="D350" s="3">
        <v>50482</v>
      </c>
      <c r="E350" s="3">
        <v>13</v>
      </c>
      <c r="F350" s="1">
        <v>2014</v>
      </c>
      <c r="G350" t="s">
        <v>5</v>
      </c>
      <c r="H350" t="str">
        <f>TRIM(B350)</f>
        <v>John Green</v>
      </c>
      <c r="I350" t="str">
        <f t="shared" si="15"/>
        <v>Excellent</v>
      </c>
      <c r="J350" s="1" t="str">
        <f t="shared" si="16"/>
        <v>Affordable</v>
      </c>
      <c r="K350" s="1" t="str">
        <f t="shared" si="17"/>
        <v>High</v>
      </c>
    </row>
    <row r="351" spans="1:11" ht="13.8" x14ac:dyDescent="0.25">
      <c r="A351" t="s">
        <v>446</v>
      </c>
      <c r="B351" t="s">
        <v>447</v>
      </c>
      <c r="C351" s="2">
        <v>4.5999999999999996</v>
      </c>
      <c r="D351" s="3">
        <v>11098</v>
      </c>
      <c r="E351" s="3">
        <v>13</v>
      </c>
      <c r="F351" s="1">
        <v>2012</v>
      </c>
      <c r="G351" t="s">
        <v>5</v>
      </c>
      <c r="H351" t="str">
        <f>TRIM(B351)</f>
        <v>Jonathan Cahn</v>
      </c>
      <c r="I351" t="str">
        <f t="shared" si="15"/>
        <v>Excellent</v>
      </c>
      <c r="J351" s="1" t="str">
        <f t="shared" si="16"/>
        <v>Affordable</v>
      </c>
      <c r="K351" s="1" t="str">
        <f t="shared" si="17"/>
        <v>High</v>
      </c>
    </row>
    <row r="352" spans="1:11" ht="13.8" x14ac:dyDescent="0.25">
      <c r="A352" t="s">
        <v>456</v>
      </c>
      <c r="B352" t="s">
        <v>457</v>
      </c>
      <c r="C352" s="2">
        <v>4.7</v>
      </c>
      <c r="D352" s="3">
        <v>9289</v>
      </c>
      <c r="E352" s="3">
        <v>13</v>
      </c>
      <c r="F352" s="1">
        <v>2010</v>
      </c>
      <c r="G352" t="s">
        <v>2</v>
      </c>
      <c r="H352" t="str">
        <f>TRIM(B352)</f>
        <v>Rebecca Skloot</v>
      </c>
      <c r="I352" t="str">
        <f t="shared" si="15"/>
        <v>Excellent</v>
      </c>
      <c r="J352" s="1" t="str">
        <f t="shared" si="16"/>
        <v>Affordable</v>
      </c>
      <c r="K352" s="1" t="str">
        <f t="shared" si="17"/>
        <v>Low</v>
      </c>
    </row>
    <row r="353" spans="1:11" ht="13.8" x14ac:dyDescent="0.25">
      <c r="A353" t="s">
        <v>465</v>
      </c>
      <c r="B353" t="s">
        <v>466</v>
      </c>
      <c r="C353" s="2">
        <v>4.4000000000000004</v>
      </c>
      <c r="D353" s="3">
        <v>4247</v>
      </c>
      <c r="E353" s="3">
        <v>13</v>
      </c>
      <c r="F353" s="1">
        <v>2011</v>
      </c>
      <c r="G353" t="s">
        <v>2</v>
      </c>
      <c r="H353" t="str">
        <f>TRIM(B353)</f>
        <v>Daniel Lipkowitz</v>
      </c>
      <c r="I353" t="str">
        <f t="shared" si="15"/>
        <v>Average</v>
      </c>
      <c r="J353" s="1" t="str">
        <f t="shared" si="16"/>
        <v>Affordable</v>
      </c>
      <c r="K353" s="1" t="str">
        <f t="shared" si="17"/>
        <v>Low</v>
      </c>
    </row>
    <row r="354" spans="1:11" ht="13.8" x14ac:dyDescent="0.25">
      <c r="A354" t="s">
        <v>465</v>
      </c>
      <c r="B354" t="s">
        <v>466</v>
      </c>
      <c r="C354" s="2">
        <v>4.4000000000000004</v>
      </c>
      <c r="D354" s="3">
        <v>4247</v>
      </c>
      <c r="E354" s="3">
        <v>13</v>
      </c>
      <c r="F354" s="1">
        <v>2012</v>
      </c>
      <c r="G354" t="s">
        <v>2</v>
      </c>
      <c r="H354" t="str">
        <f>TRIM(B354)</f>
        <v>Daniel Lipkowitz</v>
      </c>
      <c r="I354" t="str">
        <f t="shared" si="15"/>
        <v>Average</v>
      </c>
      <c r="J354" s="1" t="str">
        <f t="shared" si="16"/>
        <v>Affordable</v>
      </c>
      <c r="K354" s="1" t="str">
        <f t="shared" si="17"/>
        <v>Low</v>
      </c>
    </row>
    <row r="355" spans="1:11" ht="13.8" x14ac:dyDescent="0.25">
      <c r="A355" t="s">
        <v>472</v>
      </c>
      <c r="B355" t="s">
        <v>473</v>
      </c>
      <c r="C355" s="2">
        <v>4.8</v>
      </c>
      <c r="D355" s="3">
        <v>1655</v>
      </c>
      <c r="E355" s="3">
        <v>13</v>
      </c>
      <c r="F355" s="1">
        <v>2009</v>
      </c>
      <c r="G355" t="s">
        <v>2</v>
      </c>
      <c r="H355" t="str">
        <f>TRIM(B355)</f>
        <v>Stephen Kendrick</v>
      </c>
      <c r="I355" t="str">
        <f t="shared" si="15"/>
        <v>Excellent</v>
      </c>
      <c r="J355" s="1" t="str">
        <f t="shared" si="16"/>
        <v>Affordable</v>
      </c>
      <c r="K355" s="1" t="str">
        <f t="shared" si="17"/>
        <v>Low</v>
      </c>
    </row>
    <row r="356" spans="1:11" ht="13.8" x14ac:dyDescent="0.25">
      <c r="A356" t="s">
        <v>560</v>
      </c>
      <c r="B356" t="s">
        <v>561</v>
      </c>
      <c r="C356" s="2">
        <v>4.8</v>
      </c>
      <c r="D356" s="3">
        <v>29673</v>
      </c>
      <c r="E356" s="3">
        <v>13</v>
      </c>
      <c r="F356" s="1">
        <v>2014</v>
      </c>
      <c r="G356" t="s">
        <v>2</v>
      </c>
      <c r="H356" t="str">
        <f>TRIM(B356)</f>
        <v>Laura Hillenbrand</v>
      </c>
      <c r="I356" t="str">
        <f t="shared" si="15"/>
        <v>Excellent</v>
      </c>
      <c r="J356" s="1" t="str">
        <f t="shared" si="16"/>
        <v>Affordable</v>
      </c>
      <c r="K356" s="1" t="str">
        <f t="shared" si="17"/>
        <v>High</v>
      </c>
    </row>
    <row r="357" spans="1:11" ht="13.8" x14ac:dyDescent="0.25">
      <c r="A357" t="s">
        <v>576</v>
      </c>
      <c r="B357" t="s">
        <v>577</v>
      </c>
      <c r="C357" s="2">
        <v>4.8</v>
      </c>
      <c r="D357" s="3">
        <v>8170</v>
      </c>
      <c r="E357" s="3">
        <v>13</v>
      </c>
      <c r="F357" s="1">
        <v>2019</v>
      </c>
      <c r="G357" t="s">
        <v>5</v>
      </c>
      <c r="H357" t="str">
        <f>TRIM(B357)</f>
        <v>Adir Levy</v>
      </c>
      <c r="I357" t="str">
        <f t="shared" si="15"/>
        <v>Excellent</v>
      </c>
      <c r="J357" s="1" t="str">
        <f t="shared" si="16"/>
        <v>Affordable</v>
      </c>
      <c r="K357" s="1" t="str">
        <f t="shared" si="17"/>
        <v>Low</v>
      </c>
    </row>
    <row r="358" spans="1:11" ht="13.8" x14ac:dyDescent="0.25">
      <c r="A358" t="s">
        <v>586</v>
      </c>
      <c r="B358" t="s">
        <v>587</v>
      </c>
      <c r="C358" s="2">
        <v>4.8</v>
      </c>
      <c r="D358" s="3">
        <v>9967</v>
      </c>
      <c r="E358" s="3">
        <v>13</v>
      </c>
      <c r="F358" s="1">
        <v>2009</v>
      </c>
      <c r="G358" t="s">
        <v>5</v>
      </c>
      <c r="H358" t="str">
        <f>TRIM(B358)</f>
        <v>Maurice Sendak</v>
      </c>
      <c r="I358" t="str">
        <f t="shared" si="15"/>
        <v>Excellent</v>
      </c>
      <c r="J358" s="1" t="str">
        <f t="shared" si="16"/>
        <v>Affordable</v>
      </c>
      <c r="K358" s="1" t="str">
        <f t="shared" si="17"/>
        <v>Low</v>
      </c>
    </row>
    <row r="359" spans="1:11" ht="13.8" x14ac:dyDescent="0.25">
      <c r="A359" t="s">
        <v>38</v>
      </c>
      <c r="B359" t="s">
        <v>39</v>
      </c>
      <c r="C359" s="2">
        <v>4.5999999999999996</v>
      </c>
      <c r="D359" s="3">
        <v>36348</v>
      </c>
      <c r="E359" s="3">
        <v>14</v>
      </c>
      <c r="F359" s="1">
        <v>2014</v>
      </c>
      <c r="G359" t="s">
        <v>5</v>
      </c>
      <c r="H359" t="str">
        <f>TRIM(B359)</f>
        <v>Anthony Doerr</v>
      </c>
      <c r="I359" t="str">
        <f t="shared" si="15"/>
        <v>Excellent</v>
      </c>
      <c r="J359" s="1" t="str">
        <f t="shared" si="16"/>
        <v>Affordable</v>
      </c>
      <c r="K359" s="1" t="str">
        <f t="shared" si="17"/>
        <v>High</v>
      </c>
    </row>
    <row r="360" spans="1:11" ht="13.8" x14ac:dyDescent="0.25">
      <c r="A360" t="s">
        <v>38</v>
      </c>
      <c r="B360" t="s">
        <v>39</v>
      </c>
      <c r="C360" s="2">
        <v>4.5999999999999996</v>
      </c>
      <c r="D360" s="3">
        <v>36348</v>
      </c>
      <c r="E360" s="3">
        <v>14</v>
      </c>
      <c r="F360" s="1">
        <v>2015</v>
      </c>
      <c r="G360" t="s">
        <v>5</v>
      </c>
      <c r="H360" t="str">
        <f>TRIM(B360)</f>
        <v>Anthony Doerr</v>
      </c>
      <c r="I360" t="str">
        <f t="shared" si="15"/>
        <v>Excellent</v>
      </c>
      <c r="J360" s="1" t="str">
        <f t="shared" si="16"/>
        <v>Affordable</v>
      </c>
      <c r="K360" s="1" t="str">
        <f t="shared" si="17"/>
        <v>High</v>
      </c>
    </row>
    <row r="361" spans="1:11" ht="13.8" x14ac:dyDescent="0.25">
      <c r="A361" t="s">
        <v>50</v>
      </c>
      <c r="B361" t="s">
        <v>51</v>
      </c>
      <c r="C361" s="2">
        <v>4.2</v>
      </c>
      <c r="D361" s="3">
        <v>491</v>
      </c>
      <c r="E361" s="3">
        <v>14</v>
      </c>
      <c r="F361" s="1">
        <v>2010</v>
      </c>
      <c r="G361" t="s">
        <v>2</v>
      </c>
      <c r="H361" t="str">
        <f>TRIM(B361)</f>
        <v>Mark Twain</v>
      </c>
      <c r="I361" t="str">
        <f t="shared" si="15"/>
        <v>Average</v>
      </c>
      <c r="J361" s="1" t="str">
        <f t="shared" si="16"/>
        <v>Affordable</v>
      </c>
      <c r="K361" s="1" t="str">
        <f t="shared" si="17"/>
        <v>Low</v>
      </c>
    </row>
    <row r="362" spans="1:11" ht="13.8" x14ac:dyDescent="0.25">
      <c r="A362" t="s">
        <v>84</v>
      </c>
      <c r="B362" t="s">
        <v>85</v>
      </c>
      <c r="C362" s="2">
        <v>4.7</v>
      </c>
      <c r="D362" s="3">
        <v>1542</v>
      </c>
      <c r="E362" s="3">
        <v>14</v>
      </c>
      <c r="F362" s="1">
        <v>2009</v>
      </c>
      <c r="G362" t="s">
        <v>2</v>
      </c>
      <c r="H362" t="str">
        <f>TRIM(B362)</f>
        <v>Francis Chan</v>
      </c>
      <c r="I362" t="str">
        <f t="shared" si="15"/>
        <v>Excellent</v>
      </c>
      <c r="J362" s="1" t="str">
        <f t="shared" si="16"/>
        <v>Affordable</v>
      </c>
      <c r="K362" s="1" t="str">
        <f t="shared" si="17"/>
        <v>Low</v>
      </c>
    </row>
    <row r="363" spans="1:11" ht="13.8" x14ac:dyDescent="0.25">
      <c r="A363" t="s">
        <v>84</v>
      </c>
      <c r="B363" t="s">
        <v>85</v>
      </c>
      <c r="C363" s="2">
        <v>4.7</v>
      </c>
      <c r="D363" s="3">
        <v>1542</v>
      </c>
      <c r="E363" s="3">
        <v>14</v>
      </c>
      <c r="F363" s="1">
        <v>2010</v>
      </c>
      <c r="G363" t="s">
        <v>2</v>
      </c>
      <c r="H363" t="str">
        <f>TRIM(B363)</f>
        <v>Francis Chan</v>
      </c>
      <c r="I363" t="str">
        <f t="shared" si="15"/>
        <v>Excellent</v>
      </c>
      <c r="J363" s="1" t="str">
        <f t="shared" si="16"/>
        <v>Affordable</v>
      </c>
      <c r="K363" s="1" t="str">
        <f t="shared" si="17"/>
        <v>Low</v>
      </c>
    </row>
    <row r="364" spans="1:11" ht="13.8" x14ac:dyDescent="0.25">
      <c r="A364" t="s">
        <v>84</v>
      </c>
      <c r="B364" t="s">
        <v>85</v>
      </c>
      <c r="C364" s="2">
        <v>4.7</v>
      </c>
      <c r="D364" s="3">
        <v>1542</v>
      </c>
      <c r="E364" s="3">
        <v>14</v>
      </c>
      <c r="F364" s="1">
        <v>2011</v>
      </c>
      <c r="G364" t="s">
        <v>2</v>
      </c>
      <c r="H364" t="str">
        <f>TRIM(B364)</f>
        <v>Francis Chan</v>
      </c>
      <c r="I364" t="str">
        <f t="shared" si="15"/>
        <v>Excellent</v>
      </c>
      <c r="J364" s="1" t="str">
        <f t="shared" si="16"/>
        <v>Affordable</v>
      </c>
      <c r="K364" s="1" t="str">
        <f t="shared" si="17"/>
        <v>Low</v>
      </c>
    </row>
    <row r="365" spans="1:11" ht="13.8" x14ac:dyDescent="0.25">
      <c r="A365" t="s">
        <v>134</v>
      </c>
      <c r="B365" t="s">
        <v>133</v>
      </c>
      <c r="C365" s="2">
        <v>4.3</v>
      </c>
      <c r="D365" s="3">
        <v>956</v>
      </c>
      <c r="E365" s="3">
        <v>14</v>
      </c>
      <c r="F365" s="1">
        <v>2009</v>
      </c>
      <c r="G365" t="s">
        <v>2</v>
      </c>
      <c r="H365" t="str">
        <f>TRIM(B365)</f>
        <v>David Zinczenko</v>
      </c>
      <c r="I365" t="str">
        <f t="shared" si="15"/>
        <v>Average</v>
      </c>
      <c r="J365" s="1" t="str">
        <f t="shared" si="16"/>
        <v>Affordable</v>
      </c>
      <c r="K365" s="1" t="str">
        <f t="shared" si="17"/>
        <v>Low</v>
      </c>
    </row>
    <row r="366" spans="1:11" ht="13.8" x14ac:dyDescent="0.25">
      <c r="A366" t="s">
        <v>152</v>
      </c>
      <c r="B366" t="s">
        <v>150</v>
      </c>
      <c r="C366" s="2">
        <v>3.8</v>
      </c>
      <c r="D366" s="3">
        <v>47265</v>
      </c>
      <c r="E366" s="3">
        <v>14</v>
      </c>
      <c r="F366" s="1">
        <v>2012</v>
      </c>
      <c r="G366" t="s">
        <v>5</v>
      </c>
      <c r="H366" t="str">
        <f>TRIM(B366)</f>
        <v>E L James</v>
      </c>
      <c r="I366" t="str">
        <f t="shared" si="15"/>
        <v>Average</v>
      </c>
      <c r="J366" s="1" t="str">
        <f t="shared" si="16"/>
        <v>Affordable</v>
      </c>
      <c r="K366" s="1" t="str">
        <f t="shared" si="17"/>
        <v>High</v>
      </c>
    </row>
    <row r="367" spans="1:11" ht="13.8" x14ac:dyDescent="0.25">
      <c r="A367" t="s">
        <v>152</v>
      </c>
      <c r="B367" t="s">
        <v>150</v>
      </c>
      <c r="C367" s="2">
        <v>3.8</v>
      </c>
      <c r="D367" s="3">
        <v>47265</v>
      </c>
      <c r="E367" s="3">
        <v>14</v>
      </c>
      <c r="F367" s="1">
        <v>2013</v>
      </c>
      <c r="G367" t="s">
        <v>5</v>
      </c>
      <c r="H367" t="str">
        <f>TRIM(B367)</f>
        <v>E L James</v>
      </c>
      <c r="I367" t="str">
        <f t="shared" si="15"/>
        <v>Average</v>
      </c>
      <c r="J367" s="1" t="str">
        <f t="shared" si="16"/>
        <v>Affordable</v>
      </c>
      <c r="K367" s="1" t="str">
        <f t="shared" si="17"/>
        <v>High</v>
      </c>
    </row>
    <row r="368" spans="1:11" ht="13.8" x14ac:dyDescent="0.25">
      <c r="A368" t="s">
        <v>186</v>
      </c>
      <c r="B368" t="s">
        <v>187</v>
      </c>
      <c r="C368" s="2">
        <v>4.5</v>
      </c>
      <c r="D368" s="3">
        <v>3457</v>
      </c>
      <c r="E368" s="3">
        <v>14</v>
      </c>
      <c r="F368" s="1">
        <v>2009</v>
      </c>
      <c r="G368" t="s">
        <v>2</v>
      </c>
      <c r="H368" t="str">
        <f>TRIM(B368)</f>
        <v>Jim Collins</v>
      </c>
      <c r="I368" t="str">
        <f t="shared" si="15"/>
        <v>Excellent</v>
      </c>
      <c r="J368" s="1" t="str">
        <f t="shared" si="16"/>
        <v>Affordable</v>
      </c>
      <c r="K368" s="1" t="str">
        <f t="shared" si="17"/>
        <v>Low</v>
      </c>
    </row>
    <row r="369" spans="1:11" ht="13.8" x14ac:dyDescent="0.25">
      <c r="A369" t="s">
        <v>186</v>
      </c>
      <c r="B369" t="s">
        <v>187</v>
      </c>
      <c r="C369" s="2">
        <v>4.5</v>
      </c>
      <c r="D369" s="3">
        <v>3457</v>
      </c>
      <c r="E369" s="3">
        <v>14</v>
      </c>
      <c r="F369" s="1">
        <v>2010</v>
      </c>
      <c r="G369" t="s">
        <v>2</v>
      </c>
      <c r="H369" t="str">
        <f>TRIM(B369)</f>
        <v>Jim Collins</v>
      </c>
      <c r="I369" t="str">
        <f t="shared" si="15"/>
        <v>Excellent</v>
      </c>
      <c r="J369" s="1" t="str">
        <f t="shared" si="16"/>
        <v>Affordable</v>
      </c>
      <c r="K369" s="1" t="str">
        <f t="shared" si="17"/>
        <v>Low</v>
      </c>
    </row>
    <row r="370" spans="1:11" ht="13.8" x14ac:dyDescent="0.25">
      <c r="A370" t="s">
        <v>186</v>
      </c>
      <c r="B370" t="s">
        <v>187</v>
      </c>
      <c r="C370" s="2">
        <v>4.5</v>
      </c>
      <c r="D370" s="3">
        <v>3457</v>
      </c>
      <c r="E370" s="3">
        <v>14</v>
      </c>
      <c r="F370" s="1">
        <v>2011</v>
      </c>
      <c r="G370" t="s">
        <v>2</v>
      </c>
      <c r="H370" t="str">
        <f>TRIM(B370)</f>
        <v>Jim Collins</v>
      </c>
      <c r="I370" t="str">
        <f t="shared" si="15"/>
        <v>Excellent</v>
      </c>
      <c r="J370" s="1" t="str">
        <f t="shared" si="16"/>
        <v>Affordable</v>
      </c>
      <c r="K370" s="1" t="str">
        <f t="shared" si="17"/>
        <v>Low</v>
      </c>
    </row>
    <row r="371" spans="1:11" ht="13.8" x14ac:dyDescent="0.25">
      <c r="A371" t="s">
        <v>186</v>
      </c>
      <c r="B371" t="s">
        <v>187</v>
      </c>
      <c r="C371" s="2">
        <v>4.5</v>
      </c>
      <c r="D371" s="3">
        <v>3457</v>
      </c>
      <c r="E371" s="3">
        <v>14</v>
      </c>
      <c r="F371" s="1">
        <v>2012</v>
      </c>
      <c r="G371" t="s">
        <v>2</v>
      </c>
      <c r="H371" t="str">
        <f>TRIM(B371)</f>
        <v>Jim Collins</v>
      </c>
      <c r="I371" t="str">
        <f t="shared" si="15"/>
        <v>Excellent</v>
      </c>
      <c r="J371" s="1" t="str">
        <f t="shared" si="16"/>
        <v>Affordable</v>
      </c>
      <c r="K371" s="1" t="str">
        <f t="shared" si="17"/>
        <v>Low</v>
      </c>
    </row>
    <row r="372" spans="1:11" ht="13.8" x14ac:dyDescent="0.25">
      <c r="A372" t="s">
        <v>194</v>
      </c>
      <c r="B372" t="s">
        <v>150</v>
      </c>
      <c r="C372" s="2">
        <v>4.4000000000000004</v>
      </c>
      <c r="D372" s="3">
        <v>25624</v>
      </c>
      <c r="E372" s="3">
        <v>14</v>
      </c>
      <c r="F372" s="1">
        <v>2015</v>
      </c>
      <c r="G372" t="s">
        <v>5</v>
      </c>
      <c r="H372" t="str">
        <f>TRIM(B372)</f>
        <v>E L James</v>
      </c>
      <c r="I372" t="str">
        <f t="shared" si="15"/>
        <v>Average</v>
      </c>
      <c r="J372" s="1" t="str">
        <f t="shared" si="16"/>
        <v>Affordable</v>
      </c>
      <c r="K372" s="1" t="str">
        <f t="shared" si="17"/>
        <v>High</v>
      </c>
    </row>
    <row r="373" spans="1:11" ht="13.8" x14ac:dyDescent="0.25">
      <c r="A373" t="s">
        <v>214</v>
      </c>
      <c r="B373" t="s">
        <v>215</v>
      </c>
      <c r="C373" s="2">
        <v>4.4000000000000004</v>
      </c>
      <c r="D373" s="3">
        <v>15526</v>
      </c>
      <c r="E373" s="3">
        <v>14</v>
      </c>
      <c r="F373" s="1">
        <v>2016</v>
      </c>
      <c r="G373" t="s">
        <v>2</v>
      </c>
      <c r="H373" t="str">
        <f>TRIM(B373)</f>
        <v>J. D. Vance</v>
      </c>
      <c r="I373" t="str">
        <f t="shared" si="15"/>
        <v>Average</v>
      </c>
      <c r="J373" s="1" t="str">
        <f t="shared" si="16"/>
        <v>Affordable</v>
      </c>
      <c r="K373" s="1" t="str">
        <f t="shared" si="17"/>
        <v>High</v>
      </c>
    </row>
    <row r="374" spans="1:11" ht="13.8" x14ac:dyDescent="0.25">
      <c r="A374" t="s">
        <v>214</v>
      </c>
      <c r="B374" t="s">
        <v>215</v>
      </c>
      <c r="C374" s="2">
        <v>4.4000000000000004</v>
      </c>
      <c r="D374" s="3">
        <v>15526</v>
      </c>
      <c r="E374" s="3">
        <v>14</v>
      </c>
      <c r="F374" s="1">
        <v>2017</v>
      </c>
      <c r="G374" t="s">
        <v>2</v>
      </c>
      <c r="H374" t="str">
        <f>TRIM(B374)</f>
        <v>J. D. Vance</v>
      </c>
      <c r="I374" t="str">
        <f t="shared" si="15"/>
        <v>Average</v>
      </c>
      <c r="J374" s="1" t="str">
        <f t="shared" si="16"/>
        <v>Affordable</v>
      </c>
      <c r="K374" s="1" t="str">
        <f t="shared" si="17"/>
        <v>High</v>
      </c>
    </row>
    <row r="375" spans="1:11" ht="13.8" x14ac:dyDescent="0.25">
      <c r="A375" t="s">
        <v>237</v>
      </c>
      <c r="B375" t="s">
        <v>238</v>
      </c>
      <c r="C375" s="2">
        <v>4.0999999999999996</v>
      </c>
      <c r="D375" s="3">
        <v>29651</v>
      </c>
      <c r="E375" s="3">
        <v>14</v>
      </c>
      <c r="F375" s="1">
        <v>2013</v>
      </c>
      <c r="G375" t="s">
        <v>5</v>
      </c>
      <c r="H375" t="str">
        <f>TRIM(B375)</f>
        <v>Dan Brown</v>
      </c>
      <c r="I375" t="str">
        <f t="shared" si="15"/>
        <v>Average</v>
      </c>
      <c r="J375" s="1" t="str">
        <f t="shared" si="16"/>
        <v>Affordable</v>
      </c>
      <c r="K375" s="1" t="str">
        <f t="shared" si="17"/>
        <v>High</v>
      </c>
    </row>
    <row r="376" spans="1:11" ht="13.8" x14ac:dyDescent="0.25">
      <c r="A376" t="s">
        <v>307</v>
      </c>
      <c r="B376" t="s">
        <v>308</v>
      </c>
      <c r="C376" s="2">
        <v>4.5999999999999996</v>
      </c>
      <c r="D376" s="3">
        <v>8093</v>
      </c>
      <c r="E376" s="3">
        <v>14</v>
      </c>
      <c r="F376" s="1">
        <v>2012</v>
      </c>
      <c r="G376" t="s">
        <v>2</v>
      </c>
      <c r="H376" t="str">
        <f>TRIM(B376)</f>
        <v>Mark Owen</v>
      </c>
      <c r="I376" t="str">
        <f t="shared" si="15"/>
        <v>Excellent</v>
      </c>
      <c r="J376" s="1" t="str">
        <f t="shared" si="16"/>
        <v>Affordable</v>
      </c>
      <c r="K376" s="1" t="str">
        <f t="shared" si="17"/>
        <v>Low</v>
      </c>
    </row>
    <row r="377" spans="1:11" ht="13.8" x14ac:dyDescent="0.25">
      <c r="A377" t="s">
        <v>393</v>
      </c>
      <c r="B377" t="s">
        <v>394</v>
      </c>
      <c r="C377" s="2">
        <v>4.2</v>
      </c>
      <c r="D377" s="3">
        <v>1789</v>
      </c>
      <c r="E377" s="3">
        <v>14</v>
      </c>
      <c r="F377" s="1">
        <v>2012</v>
      </c>
      <c r="G377" t="s">
        <v>2</v>
      </c>
      <c r="H377" t="str">
        <f>TRIM(B377)</f>
        <v>Mark Hyman M.D.</v>
      </c>
      <c r="I377" t="str">
        <f t="shared" si="15"/>
        <v>Average</v>
      </c>
      <c r="J377" s="1" t="str">
        <f t="shared" si="16"/>
        <v>Affordable</v>
      </c>
      <c r="K377" s="1" t="str">
        <f t="shared" si="17"/>
        <v>Low</v>
      </c>
    </row>
    <row r="378" spans="1:11" ht="13.8" x14ac:dyDescent="0.25">
      <c r="A378" t="s">
        <v>430</v>
      </c>
      <c r="B378" t="s">
        <v>431</v>
      </c>
      <c r="C378" s="2">
        <v>4.7</v>
      </c>
      <c r="D378" s="3">
        <v>7747</v>
      </c>
      <c r="E378" s="3">
        <v>14</v>
      </c>
      <c r="F378" s="1">
        <v>2010</v>
      </c>
      <c r="G378" t="s">
        <v>5</v>
      </c>
      <c r="H378" t="str">
        <f>TRIM(B378)</f>
        <v>Stieg Larsson</v>
      </c>
      <c r="I378" t="str">
        <f t="shared" si="15"/>
        <v>Excellent</v>
      </c>
      <c r="J378" s="1" t="str">
        <f t="shared" si="16"/>
        <v>Affordable</v>
      </c>
      <c r="K378" s="1" t="str">
        <f t="shared" si="17"/>
        <v>Low</v>
      </c>
    </row>
    <row r="379" spans="1:11" ht="13.8" x14ac:dyDescent="0.25">
      <c r="A379" t="s">
        <v>430</v>
      </c>
      <c r="B379" t="s">
        <v>431</v>
      </c>
      <c r="C379" s="2">
        <v>4.7</v>
      </c>
      <c r="D379" s="3">
        <v>7747</v>
      </c>
      <c r="E379" s="3">
        <v>14</v>
      </c>
      <c r="F379" s="1">
        <v>2011</v>
      </c>
      <c r="G379" t="s">
        <v>5</v>
      </c>
      <c r="H379" t="str">
        <f>TRIM(B379)</f>
        <v>Stieg Larsson</v>
      </c>
      <c r="I379" t="str">
        <f t="shared" si="15"/>
        <v>Excellent</v>
      </c>
      <c r="J379" s="1" t="str">
        <f t="shared" si="16"/>
        <v>Affordable</v>
      </c>
      <c r="K379" s="1" t="str">
        <f t="shared" si="17"/>
        <v>Low</v>
      </c>
    </row>
    <row r="380" spans="1:11" ht="13.8" x14ac:dyDescent="0.25">
      <c r="A380" t="s">
        <v>441</v>
      </c>
      <c r="B380" t="s">
        <v>370</v>
      </c>
      <c r="C380" s="2">
        <v>4.5</v>
      </c>
      <c r="D380" s="3">
        <v>13609</v>
      </c>
      <c r="E380" s="3">
        <v>14</v>
      </c>
      <c r="F380" s="1">
        <v>2019</v>
      </c>
      <c r="G380" t="s">
        <v>5</v>
      </c>
      <c r="H380" t="str">
        <f>TRIM(B380)</f>
        <v>John Grisham</v>
      </c>
      <c r="I380" t="str">
        <f t="shared" si="15"/>
        <v>Excellent</v>
      </c>
      <c r="J380" s="1" t="str">
        <f t="shared" si="16"/>
        <v>Affordable</v>
      </c>
      <c r="K380" s="1" t="str">
        <f t="shared" si="17"/>
        <v>High</v>
      </c>
    </row>
    <row r="381" spans="1:11" ht="13.8" x14ac:dyDescent="0.25">
      <c r="A381" t="s">
        <v>452</v>
      </c>
      <c r="B381" t="s">
        <v>326</v>
      </c>
      <c r="C381" s="2">
        <v>4.8</v>
      </c>
      <c r="D381" s="3">
        <v>6982</v>
      </c>
      <c r="E381" s="3">
        <v>14</v>
      </c>
      <c r="F381" s="1">
        <v>2013</v>
      </c>
      <c r="G381" t="s">
        <v>5</v>
      </c>
      <c r="H381" t="str">
        <f>TRIM(B381)</f>
        <v>Rick Riordan</v>
      </c>
      <c r="I381" t="str">
        <f t="shared" si="15"/>
        <v>Excellent</v>
      </c>
      <c r="J381" s="1" t="str">
        <f t="shared" si="16"/>
        <v>Affordable</v>
      </c>
      <c r="K381" s="1" t="str">
        <f t="shared" si="17"/>
        <v>Low</v>
      </c>
    </row>
    <row r="382" spans="1:11" ht="13.8" x14ac:dyDescent="0.25">
      <c r="A382" t="s">
        <v>453</v>
      </c>
      <c r="B382" t="s">
        <v>81</v>
      </c>
      <c r="C382" s="2">
        <v>4.7</v>
      </c>
      <c r="D382" s="3">
        <v>32122</v>
      </c>
      <c r="E382" s="3">
        <v>14</v>
      </c>
      <c r="F382" s="1">
        <v>2010</v>
      </c>
      <c r="G382" t="s">
        <v>5</v>
      </c>
      <c r="H382" t="str">
        <f>TRIM(B382)</f>
        <v>Suzanne Collins</v>
      </c>
      <c r="I382" t="str">
        <f t="shared" si="15"/>
        <v>Excellent</v>
      </c>
      <c r="J382" s="1" t="str">
        <f t="shared" si="16"/>
        <v>Affordable</v>
      </c>
      <c r="K382" s="1" t="str">
        <f t="shared" si="17"/>
        <v>High</v>
      </c>
    </row>
    <row r="383" spans="1:11" ht="13.8" x14ac:dyDescent="0.25">
      <c r="A383" t="s">
        <v>470</v>
      </c>
      <c r="B383" t="s">
        <v>326</v>
      </c>
      <c r="C383" s="2">
        <v>4.8</v>
      </c>
      <c r="D383" s="3">
        <v>4506</v>
      </c>
      <c r="E383" s="3">
        <v>14</v>
      </c>
      <c r="F383" s="1">
        <v>2010</v>
      </c>
      <c r="G383" t="s">
        <v>5</v>
      </c>
      <c r="H383" t="str">
        <f>TRIM(B383)</f>
        <v>Rick Riordan</v>
      </c>
      <c r="I383" t="str">
        <f t="shared" si="15"/>
        <v>Excellent</v>
      </c>
      <c r="J383" s="1" t="str">
        <f t="shared" si="16"/>
        <v>Affordable</v>
      </c>
      <c r="K383" s="1" t="str">
        <f t="shared" si="17"/>
        <v>Low</v>
      </c>
    </row>
    <row r="384" spans="1:11" ht="13.8" x14ac:dyDescent="0.25">
      <c r="A384" t="s">
        <v>493</v>
      </c>
      <c r="B384" t="s">
        <v>492</v>
      </c>
      <c r="C384" s="2">
        <v>4.8</v>
      </c>
      <c r="D384" s="3">
        <v>3428</v>
      </c>
      <c r="E384" s="3">
        <v>14</v>
      </c>
      <c r="F384" s="1">
        <v>2015</v>
      </c>
      <c r="G384" t="s">
        <v>2</v>
      </c>
      <c r="H384" t="str">
        <f>TRIM(B384)</f>
        <v>Ree Drummond</v>
      </c>
      <c r="I384" t="str">
        <f t="shared" si="15"/>
        <v>Excellent</v>
      </c>
      <c r="J384" s="1" t="str">
        <f t="shared" si="16"/>
        <v>Affordable</v>
      </c>
      <c r="K384" s="1" t="str">
        <f t="shared" si="17"/>
        <v>Low</v>
      </c>
    </row>
    <row r="385" spans="1:11" ht="13.8" x14ac:dyDescent="0.25">
      <c r="A385" t="s">
        <v>505</v>
      </c>
      <c r="B385" t="s">
        <v>506</v>
      </c>
      <c r="C385" s="2">
        <v>4.5999999999999996</v>
      </c>
      <c r="D385" s="3">
        <v>1204</v>
      </c>
      <c r="E385" s="3">
        <v>14</v>
      </c>
      <c r="F385" s="1">
        <v>2010</v>
      </c>
      <c r="G385" t="s">
        <v>2</v>
      </c>
      <c r="H385" t="str">
        <f>TRIM(B385)</f>
        <v>F. A. Hayek</v>
      </c>
      <c r="I385" t="str">
        <f t="shared" si="15"/>
        <v>Excellent</v>
      </c>
      <c r="J385" s="1" t="str">
        <f t="shared" si="16"/>
        <v>Affordable</v>
      </c>
      <c r="K385" s="1" t="str">
        <f t="shared" si="17"/>
        <v>Low</v>
      </c>
    </row>
    <row r="386" spans="1:11" ht="13.8" x14ac:dyDescent="0.25">
      <c r="A386" t="s">
        <v>511</v>
      </c>
      <c r="B386" t="s">
        <v>512</v>
      </c>
      <c r="C386" s="2">
        <v>4.5</v>
      </c>
      <c r="D386" s="3">
        <v>27536</v>
      </c>
      <c r="E386" s="3">
        <v>14</v>
      </c>
      <c r="F386" s="1">
        <v>2019</v>
      </c>
      <c r="G386" t="s">
        <v>5</v>
      </c>
      <c r="H386" t="str">
        <f>TRIM(B386)</f>
        <v>Alex Michaelides</v>
      </c>
      <c r="I386" t="str">
        <f t="shared" ref="I386:I449" si="18">IF(C386&gt;=4.5,"Excellent","Average")</f>
        <v>Excellent</v>
      </c>
      <c r="J386" s="1" t="str">
        <f t="shared" ref="J386:J449" si="19">IF(E386&gt;=15,"Expensive","Affordable")</f>
        <v>Affordable</v>
      </c>
      <c r="K386" s="1" t="str">
        <f t="shared" ref="K386:K449" si="20">IF(D386&gt;=10000,"High","Low")</f>
        <v>High</v>
      </c>
    </row>
    <row r="387" spans="1:11" ht="13.8" x14ac:dyDescent="0.25">
      <c r="A387" t="s">
        <v>575</v>
      </c>
      <c r="B387" t="s">
        <v>312</v>
      </c>
      <c r="C387" s="2">
        <v>4.7</v>
      </c>
      <c r="D387" s="3">
        <v>1873</v>
      </c>
      <c r="E387" s="3">
        <v>14</v>
      </c>
      <c r="F387" s="1">
        <v>2015</v>
      </c>
      <c r="G387" t="s">
        <v>5</v>
      </c>
      <c r="H387" t="str">
        <f>TRIM(B387)</f>
        <v>Dr. Seuss</v>
      </c>
      <c r="I387" t="str">
        <f t="shared" si="18"/>
        <v>Excellent</v>
      </c>
      <c r="J387" s="1" t="str">
        <f t="shared" si="19"/>
        <v>Affordable</v>
      </c>
      <c r="K387" s="1" t="str">
        <f t="shared" si="20"/>
        <v>Low</v>
      </c>
    </row>
    <row r="388" spans="1:11" ht="13.8" x14ac:dyDescent="0.25">
      <c r="A388" t="s">
        <v>582</v>
      </c>
      <c r="B388" t="s">
        <v>583</v>
      </c>
      <c r="C388" s="2">
        <v>4.8</v>
      </c>
      <c r="D388" s="3">
        <v>13779</v>
      </c>
      <c r="E388" s="3">
        <v>14</v>
      </c>
      <c r="F388" s="1">
        <v>2016</v>
      </c>
      <c r="G388" t="s">
        <v>2</v>
      </c>
      <c r="H388" t="str">
        <f>TRIM(B388)</f>
        <v>Paul Kalanithi</v>
      </c>
      <c r="I388" t="str">
        <f t="shared" si="18"/>
        <v>Excellent</v>
      </c>
      <c r="J388" s="1" t="str">
        <f t="shared" si="19"/>
        <v>Affordable</v>
      </c>
      <c r="K388" s="1" t="str">
        <f t="shared" si="20"/>
        <v>High</v>
      </c>
    </row>
    <row r="389" spans="1:11" ht="13.8" x14ac:dyDescent="0.25">
      <c r="A389" t="s">
        <v>6</v>
      </c>
      <c r="B389" t="s">
        <v>7</v>
      </c>
      <c r="C389" s="2">
        <v>4.7</v>
      </c>
      <c r="D389" s="3">
        <v>18979</v>
      </c>
      <c r="E389" s="3">
        <v>15</v>
      </c>
      <c r="F389" s="1">
        <v>2018</v>
      </c>
      <c r="G389" t="s">
        <v>2</v>
      </c>
      <c r="H389" t="str">
        <f>TRIM(B389)</f>
        <v>Jordan B. Peterson</v>
      </c>
      <c r="I389" t="str">
        <f t="shared" si="18"/>
        <v>Excellent</v>
      </c>
      <c r="J389" s="1" t="str">
        <f t="shared" si="19"/>
        <v>Expensive</v>
      </c>
      <c r="K389" s="1" t="str">
        <f t="shared" si="20"/>
        <v>High</v>
      </c>
    </row>
    <row r="390" spans="1:11" ht="13.8" x14ac:dyDescent="0.25">
      <c r="A390" t="s">
        <v>15</v>
      </c>
      <c r="B390" t="s">
        <v>16</v>
      </c>
      <c r="C390" s="2">
        <v>4.7</v>
      </c>
      <c r="D390" s="3">
        <v>19699</v>
      </c>
      <c r="E390" s="3">
        <v>15</v>
      </c>
      <c r="F390" s="1">
        <v>2017</v>
      </c>
      <c r="G390" t="s">
        <v>5</v>
      </c>
      <c r="H390" t="str">
        <f>TRIM(B390)</f>
        <v>Amor Towles</v>
      </c>
      <c r="I390" t="str">
        <f t="shared" si="18"/>
        <v>Excellent</v>
      </c>
      <c r="J390" s="1" t="str">
        <f t="shared" si="19"/>
        <v>Expensive</v>
      </c>
      <c r="K390" s="1" t="str">
        <f t="shared" si="20"/>
        <v>High</v>
      </c>
    </row>
    <row r="391" spans="1:11" ht="13.8" x14ac:dyDescent="0.25">
      <c r="A391" t="s">
        <v>61</v>
      </c>
      <c r="B391" t="s">
        <v>62</v>
      </c>
      <c r="C391" s="2">
        <v>4.8</v>
      </c>
      <c r="D391" s="3">
        <v>11113</v>
      </c>
      <c r="E391" s="3">
        <v>15</v>
      </c>
      <c r="F391" s="1">
        <v>2015</v>
      </c>
      <c r="G391" t="s">
        <v>2</v>
      </c>
      <c r="H391" t="str">
        <f>TRIM(B391)</f>
        <v>Atul Gawande</v>
      </c>
      <c r="I391" t="str">
        <f t="shared" si="18"/>
        <v>Excellent</v>
      </c>
      <c r="J391" s="1" t="str">
        <f t="shared" si="19"/>
        <v>Expensive</v>
      </c>
      <c r="K391" s="1" t="str">
        <f t="shared" si="20"/>
        <v>High</v>
      </c>
    </row>
    <row r="392" spans="1:11" ht="13.8" x14ac:dyDescent="0.25">
      <c r="A392" t="s">
        <v>105</v>
      </c>
      <c r="B392" t="s">
        <v>106</v>
      </c>
      <c r="C392" s="2">
        <v>4.5999999999999996</v>
      </c>
      <c r="D392" s="3">
        <v>1651</v>
      </c>
      <c r="E392" s="3">
        <v>15</v>
      </c>
      <c r="F392" s="1">
        <v>2010</v>
      </c>
      <c r="G392" t="s">
        <v>2</v>
      </c>
      <c r="H392" t="str">
        <f>TRIM(B392)</f>
        <v>Tony Hsieh</v>
      </c>
      <c r="I392" t="str">
        <f t="shared" si="18"/>
        <v>Excellent</v>
      </c>
      <c r="J392" s="1" t="str">
        <f t="shared" si="19"/>
        <v>Expensive</v>
      </c>
      <c r="K392" s="1" t="str">
        <f t="shared" si="20"/>
        <v>Low</v>
      </c>
    </row>
    <row r="393" spans="1:11" ht="13.8" x14ac:dyDescent="0.25">
      <c r="A393" t="s">
        <v>110</v>
      </c>
      <c r="B393" t="s">
        <v>73</v>
      </c>
      <c r="C393" s="2">
        <v>4.8</v>
      </c>
      <c r="D393" s="3">
        <v>3837</v>
      </c>
      <c r="E393" s="3">
        <v>15</v>
      </c>
      <c r="F393" s="1">
        <v>2009</v>
      </c>
      <c r="G393" t="s">
        <v>5</v>
      </c>
      <c r="H393" t="str">
        <f>TRIM(B393)</f>
        <v>Jeff Kinney</v>
      </c>
      <c r="I393" t="str">
        <f t="shared" si="18"/>
        <v>Excellent</v>
      </c>
      <c r="J393" s="1" t="str">
        <f t="shared" si="19"/>
        <v>Expensive</v>
      </c>
      <c r="K393" s="1" t="str">
        <f t="shared" si="20"/>
        <v>Low</v>
      </c>
    </row>
    <row r="394" spans="1:11" ht="13.8" x14ac:dyDescent="0.25">
      <c r="A394" t="s">
        <v>114</v>
      </c>
      <c r="B394" t="s">
        <v>41</v>
      </c>
      <c r="C394" s="2">
        <v>4.5999999999999996</v>
      </c>
      <c r="D394" s="3">
        <v>27098</v>
      </c>
      <c r="E394" s="3">
        <v>15</v>
      </c>
      <c r="F394" s="1">
        <v>2013</v>
      </c>
      <c r="G394" t="s">
        <v>5</v>
      </c>
      <c r="H394" t="str">
        <f>TRIM(B394)</f>
        <v>Veronica Roth</v>
      </c>
      <c r="I394" t="str">
        <f t="shared" si="18"/>
        <v>Excellent</v>
      </c>
      <c r="J394" s="1" t="str">
        <f t="shared" si="19"/>
        <v>Expensive</v>
      </c>
      <c r="K394" s="1" t="str">
        <f t="shared" si="20"/>
        <v>High</v>
      </c>
    </row>
    <row r="395" spans="1:11" ht="13.8" x14ac:dyDescent="0.25">
      <c r="A395" t="s">
        <v>114</v>
      </c>
      <c r="B395" t="s">
        <v>41</v>
      </c>
      <c r="C395" s="2">
        <v>4.5999999999999996</v>
      </c>
      <c r="D395" s="3">
        <v>27098</v>
      </c>
      <c r="E395" s="3">
        <v>15</v>
      </c>
      <c r="F395" s="1">
        <v>2014</v>
      </c>
      <c r="G395" t="s">
        <v>5</v>
      </c>
      <c r="H395" t="str">
        <f>TRIM(B395)</f>
        <v>Veronica Roth</v>
      </c>
      <c r="I395" t="str">
        <f t="shared" si="18"/>
        <v>Excellent</v>
      </c>
      <c r="J395" s="1" t="str">
        <f t="shared" si="19"/>
        <v>Expensive</v>
      </c>
      <c r="K395" s="1" t="str">
        <f t="shared" si="20"/>
        <v>High</v>
      </c>
    </row>
    <row r="396" spans="1:11" ht="13.8" x14ac:dyDescent="0.25">
      <c r="A396" t="s">
        <v>139</v>
      </c>
      <c r="B396" t="s">
        <v>140</v>
      </c>
      <c r="C396" s="2">
        <v>4.7</v>
      </c>
      <c r="D396" s="3">
        <v>28729</v>
      </c>
      <c r="E396" s="3">
        <v>15</v>
      </c>
      <c r="F396" s="1">
        <v>2018</v>
      </c>
      <c r="G396" t="s">
        <v>2</v>
      </c>
      <c r="H396" t="str">
        <f>TRIM(B396)</f>
        <v>Tara Westover</v>
      </c>
      <c r="I396" t="str">
        <f t="shared" si="18"/>
        <v>Excellent</v>
      </c>
      <c r="J396" s="1" t="str">
        <f t="shared" si="19"/>
        <v>Expensive</v>
      </c>
      <c r="K396" s="1" t="str">
        <f t="shared" si="20"/>
        <v>High</v>
      </c>
    </row>
    <row r="397" spans="1:11" ht="13.8" x14ac:dyDescent="0.25">
      <c r="A397" t="s">
        <v>139</v>
      </c>
      <c r="B397" t="s">
        <v>140</v>
      </c>
      <c r="C397" s="2">
        <v>4.7</v>
      </c>
      <c r="D397" s="3">
        <v>28729</v>
      </c>
      <c r="E397" s="3">
        <v>15</v>
      </c>
      <c r="F397" s="1">
        <v>2019</v>
      </c>
      <c r="G397" t="s">
        <v>2</v>
      </c>
      <c r="H397" t="str">
        <f>TRIM(B397)</f>
        <v>Tara Westover</v>
      </c>
      <c r="I397" t="str">
        <f t="shared" si="18"/>
        <v>Excellent</v>
      </c>
      <c r="J397" s="1" t="str">
        <f t="shared" si="19"/>
        <v>Expensive</v>
      </c>
      <c r="K397" s="1" t="str">
        <f t="shared" si="20"/>
        <v>High</v>
      </c>
    </row>
    <row r="398" spans="1:11" ht="13.8" x14ac:dyDescent="0.25">
      <c r="A398" t="s">
        <v>145</v>
      </c>
      <c r="B398" t="s">
        <v>146</v>
      </c>
      <c r="C398" s="2">
        <v>4.7</v>
      </c>
      <c r="D398" s="3">
        <v>4370</v>
      </c>
      <c r="E398" s="3">
        <v>15</v>
      </c>
      <c r="F398" s="1">
        <v>2016</v>
      </c>
      <c r="G398" t="s">
        <v>5</v>
      </c>
      <c r="H398" t="str">
        <f>TRIM(B398)</f>
        <v>J.K. Rowling</v>
      </c>
      <c r="I398" t="str">
        <f t="shared" si="18"/>
        <v>Excellent</v>
      </c>
      <c r="J398" s="1" t="str">
        <f t="shared" si="19"/>
        <v>Expensive</v>
      </c>
      <c r="K398" s="1" t="str">
        <f t="shared" si="20"/>
        <v>Low</v>
      </c>
    </row>
    <row r="399" spans="1:11" ht="13.8" x14ac:dyDescent="0.25">
      <c r="A399" t="s">
        <v>222</v>
      </c>
      <c r="B399" t="s">
        <v>223</v>
      </c>
      <c r="C399" s="2">
        <v>4.8</v>
      </c>
      <c r="D399" s="3">
        <v>3490</v>
      </c>
      <c r="E399" s="3">
        <v>15</v>
      </c>
      <c r="F399" s="1">
        <v>2013</v>
      </c>
      <c r="G399" t="s">
        <v>2</v>
      </c>
      <c r="H399" t="str">
        <f>TRIM(B399)</f>
        <v>Brandon Stanton</v>
      </c>
      <c r="I399" t="str">
        <f t="shared" si="18"/>
        <v>Excellent</v>
      </c>
      <c r="J399" s="1" t="str">
        <f t="shared" si="19"/>
        <v>Expensive</v>
      </c>
      <c r="K399" s="1" t="str">
        <f t="shared" si="20"/>
        <v>Low</v>
      </c>
    </row>
    <row r="400" spans="1:11" ht="13.8" x14ac:dyDescent="0.25">
      <c r="A400" t="s">
        <v>222</v>
      </c>
      <c r="B400" t="s">
        <v>223</v>
      </c>
      <c r="C400" s="2">
        <v>4.8</v>
      </c>
      <c r="D400" s="3">
        <v>3490</v>
      </c>
      <c r="E400" s="3">
        <v>15</v>
      </c>
      <c r="F400" s="1">
        <v>2014</v>
      </c>
      <c r="G400" t="s">
        <v>2</v>
      </c>
      <c r="H400" t="str">
        <f>TRIM(B400)</f>
        <v>Brandon Stanton</v>
      </c>
      <c r="I400" t="str">
        <f t="shared" si="18"/>
        <v>Excellent</v>
      </c>
      <c r="J400" s="1" t="str">
        <f t="shared" si="19"/>
        <v>Expensive</v>
      </c>
      <c r="K400" s="1" t="str">
        <f t="shared" si="20"/>
        <v>Low</v>
      </c>
    </row>
    <row r="401" spans="1:11" ht="13.8" x14ac:dyDescent="0.25">
      <c r="A401" t="s">
        <v>271</v>
      </c>
      <c r="B401" t="s">
        <v>272</v>
      </c>
      <c r="C401" s="2">
        <v>4.8</v>
      </c>
      <c r="D401" s="3">
        <v>3828</v>
      </c>
      <c r="E401" s="3">
        <v>15</v>
      </c>
      <c r="F401" s="1">
        <v>2009</v>
      </c>
      <c r="G401" t="s">
        <v>2</v>
      </c>
      <c r="H401" t="str">
        <f>TRIM(B401)</f>
        <v>Mark R. Levin</v>
      </c>
      <c r="I401" t="str">
        <f t="shared" si="18"/>
        <v>Excellent</v>
      </c>
      <c r="J401" s="1" t="str">
        <f t="shared" si="19"/>
        <v>Expensive</v>
      </c>
      <c r="K401" s="1" t="str">
        <f t="shared" si="20"/>
        <v>Low</v>
      </c>
    </row>
    <row r="402" spans="1:11" ht="13.8" x14ac:dyDescent="0.25">
      <c r="A402" t="s">
        <v>417</v>
      </c>
      <c r="B402" t="s">
        <v>418</v>
      </c>
      <c r="C402" s="2">
        <v>4.0999999999999996</v>
      </c>
      <c r="D402" s="3">
        <v>2023</v>
      </c>
      <c r="E402" s="3">
        <v>15</v>
      </c>
      <c r="F402" s="1">
        <v>2011</v>
      </c>
      <c r="G402" t="s">
        <v>2</v>
      </c>
      <c r="H402" t="str">
        <f>TRIM(B402)</f>
        <v>Pierre Dukan</v>
      </c>
      <c r="I402" t="str">
        <f t="shared" si="18"/>
        <v>Average</v>
      </c>
      <c r="J402" s="1" t="str">
        <f t="shared" si="19"/>
        <v>Expensive</v>
      </c>
      <c r="K402" s="1" t="str">
        <f t="shared" si="20"/>
        <v>Low</v>
      </c>
    </row>
    <row r="403" spans="1:11" ht="13.8" x14ac:dyDescent="0.25">
      <c r="A403" t="s">
        <v>514</v>
      </c>
      <c r="B403" t="s">
        <v>515</v>
      </c>
      <c r="C403" s="2">
        <v>4.5999999999999996</v>
      </c>
      <c r="D403" s="3">
        <v>26490</v>
      </c>
      <c r="E403" s="3">
        <v>15</v>
      </c>
      <c r="F403" s="1">
        <v>2017</v>
      </c>
      <c r="G403" t="s">
        <v>2</v>
      </c>
      <c r="H403" t="str">
        <f>TRIM(B403)</f>
        <v>Mark Manson</v>
      </c>
      <c r="I403" t="str">
        <f t="shared" si="18"/>
        <v>Excellent</v>
      </c>
      <c r="J403" s="1" t="str">
        <f t="shared" si="19"/>
        <v>Expensive</v>
      </c>
      <c r="K403" s="1" t="str">
        <f t="shared" si="20"/>
        <v>High</v>
      </c>
    </row>
    <row r="404" spans="1:11" ht="13.8" x14ac:dyDescent="0.25">
      <c r="A404" t="s">
        <v>514</v>
      </c>
      <c r="B404" t="s">
        <v>515</v>
      </c>
      <c r="C404" s="2">
        <v>4.5999999999999996</v>
      </c>
      <c r="D404" s="3">
        <v>26490</v>
      </c>
      <c r="E404" s="3">
        <v>15</v>
      </c>
      <c r="F404" s="1">
        <v>2018</v>
      </c>
      <c r="G404" t="s">
        <v>2</v>
      </c>
      <c r="H404" t="str">
        <f>TRIM(B404)</f>
        <v>Mark Manson</v>
      </c>
      <c r="I404" t="str">
        <f t="shared" si="18"/>
        <v>Excellent</v>
      </c>
      <c r="J404" s="1" t="str">
        <f t="shared" si="19"/>
        <v>Expensive</v>
      </c>
      <c r="K404" s="1" t="str">
        <f t="shared" si="20"/>
        <v>High</v>
      </c>
    </row>
    <row r="405" spans="1:11" ht="13.8" x14ac:dyDescent="0.25">
      <c r="A405" t="s">
        <v>514</v>
      </c>
      <c r="B405" t="s">
        <v>515</v>
      </c>
      <c r="C405" s="2">
        <v>4.5999999999999996</v>
      </c>
      <c r="D405" s="3">
        <v>26490</v>
      </c>
      <c r="E405" s="3">
        <v>15</v>
      </c>
      <c r="F405" s="1">
        <v>2019</v>
      </c>
      <c r="G405" t="s">
        <v>2</v>
      </c>
      <c r="H405" t="str">
        <f>TRIM(B405)</f>
        <v>Mark Manson</v>
      </c>
      <c r="I405" t="str">
        <f t="shared" si="18"/>
        <v>Excellent</v>
      </c>
      <c r="J405" s="1" t="str">
        <f t="shared" si="19"/>
        <v>Expensive</v>
      </c>
      <c r="K405" s="1" t="str">
        <f t="shared" si="20"/>
        <v>High</v>
      </c>
    </row>
    <row r="406" spans="1:11" ht="13.8" x14ac:dyDescent="0.25">
      <c r="A406" t="s">
        <v>538</v>
      </c>
      <c r="B406" t="s">
        <v>539</v>
      </c>
      <c r="C406" s="2">
        <v>4.7</v>
      </c>
      <c r="D406" s="3">
        <v>7034</v>
      </c>
      <c r="E406" s="3">
        <v>15</v>
      </c>
      <c r="F406" s="1">
        <v>2013</v>
      </c>
      <c r="G406" t="s">
        <v>2</v>
      </c>
      <c r="H406" t="str">
        <f>TRIM(B406)</f>
        <v>Charles Krauthammer</v>
      </c>
      <c r="I406" t="str">
        <f t="shared" si="18"/>
        <v>Excellent</v>
      </c>
      <c r="J406" s="1" t="str">
        <f t="shared" si="19"/>
        <v>Expensive</v>
      </c>
      <c r="K406" s="1" t="str">
        <f t="shared" si="20"/>
        <v>Low</v>
      </c>
    </row>
    <row r="407" spans="1:11" ht="13.8" x14ac:dyDescent="0.25">
      <c r="A407" t="s">
        <v>556</v>
      </c>
      <c r="B407" t="s">
        <v>557</v>
      </c>
      <c r="C407" s="2">
        <v>4.5</v>
      </c>
      <c r="D407" s="3">
        <v>438</v>
      </c>
      <c r="E407" s="3">
        <v>15</v>
      </c>
      <c r="F407" s="1">
        <v>2009</v>
      </c>
      <c r="G407" t="s">
        <v>2</v>
      </c>
      <c r="H407" t="str">
        <f>TRIM(B407)</f>
        <v>Edward M. Kennedy</v>
      </c>
      <c r="I407" t="str">
        <f t="shared" si="18"/>
        <v>Excellent</v>
      </c>
      <c r="J407" s="1" t="str">
        <f t="shared" si="19"/>
        <v>Expensive</v>
      </c>
      <c r="K407" s="1" t="str">
        <f t="shared" si="20"/>
        <v>Low</v>
      </c>
    </row>
    <row r="408" spans="1:11" ht="13.8" x14ac:dyDescent="0.25">
      <c r="A408" t="s">
        <v>584</v>
      </c>
      <c r="B408" t="s">
        <v>585</v>
      </c>
      <c r="C408" s="2">
        <v>4.8</v>
      </c>
      <c r="D408" s="3">
        <v>87841</v>
      </c>
      <c r="E408" s="3">
        <v>15</v>
      </c>
      <c r="F408" s="1">
        <v>2019</v>
      </c>
      <c r="G408" t="s">
        <v>5</v>
      </c>
      <c r="H408" t="str">
        <f>TRIM(B408)</f>
        <v>Delia Owens</v>
      </c>
      <c r="I408" t="str">
        <f t="shared" si="18"/>
        <v>Excellent</v>
      </c>
      <c r="J408" s="1" t="str">
        <f t="shared" si="19"/>
        <v>Expensive</v>
      </c>
      <c r="K408" s="1" t="str">
        <f t="shared" si="20"/>
        <v>High</v>
      </c>
    </row>
    <row r="409" spans="1:11" ht="13.8" x14ac:dyDescent="0.25">
      <c r="A409" t="s">
        <v>592</v>
      </c>
      <c r="B409" t="s">
        <v>593</v>
      </c>
      <c r="C409" s="2">
        <v>4.5</v>
      </c>
      <c r="D409" s="3">
        <v>10760</v>
      </c>
      <c r="E409" s="3">
        <v>15</v>
      </c>
      <c r="F409" s="1">
        <v>2012</v>
      </c>
      <c r="G409" t="s">
        <v>5</v>
      </c>
      <c r="H409" t="str">
        <f>TRIM(B409)</f>
        <v>Ken Follett</v>
      </c>
      <c r="I409" t="str">
        <f t="shared" si="18"/>
        <v>Excellent</v>
      </c>
      <c r="J409" s="1" t="str">
        <f t="shared" si="19"/>
        <v>Expensive</v>
      </c>
      <c r="K409" s="1" t="str">
        <f t="shared" si="20"/>
        <v>High</v>
      </c>
    </row>
    <row r="410" spans="1:11" ht="13.8" x14ac:dyDescent="0.25">
      <c r="A410" t="s">
        <v>82</v>
      </c>
      <c r="B410" t="s">
        <v>83</v>
      </c>
      <c r="C410" s="2">
        <v>4.7</v>
      </c>
      <c r="D410" s="3">
        <v>4761</v>
      </c>
      <c r="E410" s="3">
        <v>16</v>
      </c>
      <c r="F410" s="1">
        <v>2016</v>
      </c>
      <c r="G410" t="s">
        <v>2</v>
      </c>
      <c r="H410" t="str">
        <f>TRIM(B410)</f>
        <v>Chrissy Teigen</v>
      </c>
      <c r="I410" t="str">
        <f t="shared" si="18"/>
        <v>Excellent</v>
      </c>
      <c r="J410" s="1" t="str">
        <f t="shared" si="19"/>
        <v>Expensive</v>
      </c>
      <c r="K410" s="1" t="str">
        <f t="shared" si="20"/>
        <v>Low</v>
      </c>
    </row>
    <row r="411" spans="1:11" ht="13.8" x14ac:dyDescent="0.25">
      <c r="A411" t="s">
        <v>130</v>
      </c>
      <c r="B411" t="s">
        <v>131</v>
      </c>
      <c r="C411" s="2">
        <v>4.5</v>
      </c>
      <c r="D411" s="3">
        <v>2525</v>
      </c>
      <c r="E411" s="3">
        <v>16</v>
      </c>
      <c r="F411" s="1">
        <v>2010</v>
      </c>
      <c r="G411" t="s">
        <v>2</v>
      </c>
      <c r="H411" t="str">
        <f>TRIM(B411)</f>
        <v>Daniel H. Pink</v>
      </c>
      <c r="I411" t="str">
        <f t="shared" si="18"/>
        <v>Excellent</v>
      </c>
      <c r="J411" s="1" t="str">
        <f t="shared" si="19"/>
        <v>Expensive</v>
      </c>
      <c r="K411" s="1" t="str">
        <f t="shared" si="20"/>
        <v>Low</v>
      </c>
    </row>
    <row r="412" spans="1:11" ht="13.8" x14ac:dyDescent="0.25">
      <c r="A412" t="s">
        <v>168</v>
      </c>
      <c r="B412" t="s">
        <v>169</v>
      </c>
      <c r="C412" s="2">
        <v>4.5999999999999996</v>
      </c>
      <c r="D412" s="3">
        <v>4799</v>
      </c>
      <c r="E412" s="3">
        <v>16</v>
      </c>
      <c r="F412" s="1">
        <v>2013</v>
      </c>
      <c r="G412" t="s">
        <v>2</v>
      </c>
      <c r="H412" t="str">
        <f>TRIM(B412)</f>
        <v>Brian Kilmeade</v>
      </c>
      <c r="I412" t="str">
        <f t="shared" si="18"/>
        <v>Excellent</v>
      </c>
      <c r="J412" s="1" t="str">
        <f t="shared" si="19"/>
        <v>Expensive</v>
      </c>
      <c r="K412" s="1" t="str">
        <f t="shared" si="20"/>
        <v>Low</v>
      </c>
    </row>
    <row r="413" spans="1:11" ht="13.8" x14ac:dyDescent="0.25">
      <c r="A413" t="s">
        <v>220</v>
      </c>
      <c r="B413" t="s">
        <v>221</v>
      </c>
      <c r="C413" s="2">
        <v>4.3</v>
      </c>
      <c r="D413" s="3">
        <v>5272</v>
      </c>
      <c r="E413" s="3">
        <v>16</v>
      </c>
      <c r="F413" s="1">
        <v>2019</v>
      </c>
      <c r="G413" t="s">
        <v>2</v>
      </c>
      <c r="H413" t="str">
        <f>TRIM(B413)</f>
        <v>Howard Stern</v>
      </c>
      <c r="I413" t="str">
        <f t="shared" si="18"/>
        <v>Average</v>
      </c>
      <c r="J413" s="1" t="str">
        <f t="shared" si="19"/>
        <v>Expensive</v>
      </c>
      <c r="K413" s="1" t="str">
        <f t="shared" si="20"/>
        <v>Low</v>
      </c>
    </row>
    <row r="414" spans="1:11" ht="13.8" x14ac:dyDescent="0.25">
      <c r="A414" t="s">
        <v>287</v>
      </c>
      <c r="B414" t="s">
        <v>217</v>
      </c>
      <c r="C414" s="2">
        <v>4.8</v>
      </c>
      <c r="D414" s="3">
        <v>9867</v>
      </c>
      <c r="E414" s="3">
        <v>16</v>
      </c>
      <c r="F414" s="1">
        <v>2018</v>
      </c>
      <c r="G414" t="s">
        <v>2</v>
      </c>
      <c r="H414" t="str">
        <f>TRIM(B414)</f>
        <v>Joanna Gaines</v>
      </c>
      <c r="I414" t="str">
        <f t="shared" si="18"/>
        <v>Excellent</v>
      </c>
      <c r="J414" s="1" t="str">
        <f t="shared" si="19"/>
        <v>Expensive</v>
      </c>
      <c r="K414" s="1" t="str">
        <f t="shared" si="20"/>
        <v>Low</v>
      </c>
    </row>
    <row r="415" spans="1:11" ht="13.8" x14ac:dyDescent="0.25">
      <c r="A415" t="s">
        <v>300</v>
      </c>
      <c r="B415" t="s">
        <v>301</v>
      </c>
      <c r="C415" s="2">
        <v>4.8</v>
      </c>
      <c r="D415" s="3">
        <v>5347</v>
      </c>
      <c r="E415" s="3">
        <v>16</v>
      </c>
      <c r="F415" s="1">
        <v>2019</v>
      </c>
      <c r="G415" t="s">
        <v>2</v>
      </c>
      <c r="H415" t="str">
        <f>TRIM(B415)</f>
        <v>Crispin Boyer</v>
      </c>
      <c r="I415" t="str">
        <f t="shared" si="18"/>
        <v>Excellent</v>
      </c>
      <c r="J415" s="1" t="str">
        <f t="shared" si="19"/>
        <v>Expensive</v>
      </c>
      <c r="K415" s="1" t="str">
        <f t="shared" si="20"/>
        <v>Low</v>
      </c>
    </row>
    <row r="416" spans="1:11" ht="13.8" x14ac:dyDescent="0.25">
      <c r="A416" t="s">
        <v>354</v>
      </c>
      <c r="B416" t="s">
        <v>355</v>
      </c>
      <c r="C416" s="2">
        <v>4.8</v>
      </c>
      <c r="D416" s="3">
        <v>3923</v>
      </c>
      <c r="E416" s="3">
        <v>16</v>
      </c>
      <c r="F416" s="1">
        <v>2018</v>
      </c>
      <c r="G416" t="s">
        <v>2</v>
      </c>
      <c r="H416" t="str">
        <f>TRIM(B416)</f>
        <v>Tucker Carlson</v>
      </c>
      <c r="I416" t="str">
        <f t="shared" si="18"/>
        <v>Excellent</v>
      </c>
      <c r="J416" s="1" t="str">
        <f t="shared" si="19"/>
        <v>Expensive</v>
      </c>
      <c r="K416" s="1" t="str">
        <f t="shared" si="20"/>
        <v>Low</v>
      </c>
    </row>
    <row r="417" spans="1:11" ht="13.8" x14ac:dyDescent="0.25">
      <c r="A417" t="s">
        <v>382</v>
      </c>
      <c r="B417" t="s">
        <v>383</v>
      </c>
      <c r="C417" s="2">
        <v>4.7</v>
      </c>
      <c r="D417" s="3">
        <v>4725</v>
      </c>
      <c r="E417" s="3">
        <v>16</v>
      </c>
      <c r="F417" s="1">
        <v>2015</v>
      </c>
      <c r="G417" t="s">
        <v>2</v>
      </c>
      <c r="H417" t="str">
        <f>TRIM(B417)</f>
        <v>Stephen R. Covey</v>
      </c>
      <c r="I417" t="str">
        <f t="shared" si="18"/>
        <v>Excellent</v>
      </c>
      <c r="J417" s="1" t="str">
        <f t="shared" si="19"/>
        <v>Expensive</v>
      </c>
      <c r="K417" s="1" t="str">
        <f t="shared" si="20"/>
        <v>Low</v>
      </c>
    </row>
    <row r="418" spans="1:11" ht="13.8" x14ac:dyDescent="0.25">
      <c r="A418" t="s">
        <v>382</v>
      </c>
      <c r="B418" t="s">
        <v>383</v>
      </c>
      <c r="C418" s="2">
        <v>4.7</v>
      </c>
      <c r="D418" s="3">
        <v>4725</v>
      </c>
      <c r="E418" s="3">
        <v>16</v>
      </c>
      <c r="F418" s="1">
        <v>2016</v>
      </c>
      <c r="G418" t="s">
        <v>2</v>
      </c>
      <c r="H418" t="str">
        <f>TRIM(B418)</f>
        <v>Stephen R. Covey</v>
      </c>
      <c r="I418" t="str">
        <f t="shared" si="18"/>
        <v>Excellent</v>
      </c>
      <c r="J418" s="1" t="str">
        <f t="shared" si="19"/>
        <v>Expensive</v>
      </c>
      <c r="K418" s="1" t="str">
        <f t="shared" si="20"/>
        <v>Low</v>
      </c>
    </row>
    <row r="419" spans="1:11" ht="13.8" x14ac:dyDescent="0.25">
      <c r="A419" t="s">
        <v>382</v>
      </c>
      <c r="B419" t="s">
        <v>383</v>
      </c>
      <c r="C419" s="2">
        <v>4.7</v>
      </c>
      <c r="D419" s="3">
        <v>4725</v>
      </c>
      <c r="E419" s="3">
        <v>16</v>
      </c>
      <c r="F419" s="1">
        <v>2017</v>
      </c>
      <c r="G419" t="s">
        <v>2</v>
      </c>
      <c r="H419" t="str">
        <f>TRIM(B419)</f>
        <v>Stephen R. Covey</v>
      </c>
      <c r="I419" t="str">
        <f t="shared" si="18"/>
        <v>Excellent</v>
      </c>
      <c r="J419" s="1" t="str">
        <f t="shared" si="19"/>
        <v>Expensive</v>
      </c>
      <c r="K419" s="1" t="str">
        <f t="shared" si="20"/>
        <v>Low</v>
      </c>
    </row>
    <row r="420" spans="1:11" ht="13.8" x14ac:dyDescent="0.25">
      <c r="A420" t="s">
        <v>433</v>
      </c>
      <c r="B420" t="s">
        <v>431</v>
      </c>
      <c r="C420" s="2">
        <v>4.7</v>
      </c>
      <c r="D420" s="3">
        <v>7251</v>
      </c>
      <c r="E420" s="3">
        <v>16</v>
      </c>
      <c r="F420" s="1">
        <v>2009</v>
      </c>
      <c r="G420" t="s">
        <v>5</v>
      </c>
      <c r="H420" t="str">
        <f>TRIM(B420)</f>
        <v>Stieg Larsson</v>
      </c>
      <c r="I420" t="str">
        <f t="shared" si="18"/>
        <v>Excellent</v>
      </c>
      <c r="J420" s="1" t="str">
        <f t="shared" si="19"/>
        <v>Expensive</v>
      </c>
      <c r="K420" s="1" t="str">
        <f t="shared" si="20"/>
        <v>Low</v>
      </c>
    </row>
    <row r="421" spans="1:11" ht="13.8" x14ac:dyDescent="0.25">
      <c r="A421" t="s">
        <v>489</v>
      </c>
      <c r="B421" t="s">
        <v>490</v>
      </c>
      <c r="C421" s="2">
        <v>4.3</v>
      </c>
      <c r="D421" s="3">
        <v>3759</v>
      </c>
      <c r="E421" s="3">
        <v>16</v>
      </c>
      <c r="F421" s="1">
        <v>2011</v>
      </c>
      <c r="G421" t="s">
        <v>5</v>
      </c>
      <c r="H421" t="str">
        <f>TRIM(B421)</f>
        <v>Paula McLain</v>
      </c>
      <c r="I421" t="str">
        <f t="shared" si="18"/>
        <v>Average</v>
      </c>
      <c r="J421" s="1" t="str">
        <f t="shared" si="19"/>
        <v>Expensive</v>
      </c>
      <c r="K421" s="1" t="str">
        <f t="shared" si="20"/>
        <v>Low</v>
      </c>
    </row>
    <row r="422" spans="1:11" ht="13.8" x14ac:dyDescent="0.25">
      <c r="A422" t="s">
        <v>530</v>
      </c>
      <c r="B422" t="s">
        <v>531</v>
      </c>
      <c r="C422" s="2">
        <v>4.5999999999999996</v>
      </c>
      <c r="D422" s="3">
        <v>7508</v>
      </c>
      <c r="E422" s="3">
        <v>16</v>
      </c>
      <c r="F422" s="1">
        <v>2015</v>
      </c>
      <c r="G422" t="s">
        <v>2</v>
      </c>
      <c r="H422" t="str">
        <f>TRIM(B422)</f>
        <v>Melissa Hartwig Urban</v>
      </c>
      <c r="I422" t="str">
        <f t="shared" si="18"/>
        <v>Excellent</v>
      </c>
      <c r="J422" s="1" t="str">
        <f t="shared" si="19"/>
        <v>Expensive</v>
      </c>
      <c r="K422" s="1" t="str">
        <f t="shared" si="20"/>
        <v>Low</v>
      </c>
    </row>
    <row r="423" spans="1:11" ht="13.8" x14ac:dyDescent="0.25">
      <c r="A423" t="s">
        <v>530</v>
      </c>
      <c r="B423" t="s">
        <v>531</v>
      </c>
      <c r="C423" s="2">
        <v>4.5999999999999996</v>
      </c>
      <c r="D423" s="3">
        <v>7508</v>
      </c>
      <c r="E423" s="3">
        <v>16</v>
      </c>
      <c r="F423" s="1">
        <v>2016</v>
      </c>
      <c r="G423" t="s">
        <v>2</v>
      </c>
      <c r="H423" t="str">
        <f>TRIM(B423)</f>
        <v>Melissa Hartwig Urban</v>
      </c>
      <c r="I423" t="str">
        <f t="shared" si="18"/>
        <v>Excellent</v>
      </c>
      <c r="J423" s="1" t="str">
        <f t="shared" si="19"/>
        <v>Expensive</v>
      </c>
      <c r="K423" s="1" t="str">
        <f t="shared" si="20"/>
        <v>Low</v>
      </c>
    </row>
    <row r="424" spans="1:11" ht="13.8" x14ac:dyDescent="0.25">
      <c r="A424" t="s">
        <v>530</v>
      </c>
      <c r="B424" t="s">
        <v>531</v>
      </c>
      <c r="C424" s="2">
        <v>4.5999999999999996</v>
      </c>
      <c r="D424" s="3">
        <v>7508</v>
      </c>
      <c r="E424" s="3">
        <v>16</v>
      </c>
      <c r="F424" s="1">
        <v>2017</v>
      </c>
      <c r="G424" t="s">
        <v>2</v>
      </c>
      <c r="H424" t="str">
        <f>TRIM(B424)</f>
        <v>Melissa Hartwig Urban</v>
      </c>
      <c r="I424" t="str">
        <f t="shared" si="18"/>
        <v>Excellent</v>
      </c>
      <c r="J424" s="1" t="str">
        <f t="shared" si="19"/>
        <v>Expensive</v>
      </c>
      <c r="K424" s="1" t="str">
        <f t="shared" si="20"/>
        <v>Low</v>
      </c>
    </row>
    <row r="425" spans="1:11" ht="13.8" x14ac:dyDescent="0.25">
      <c r="A425" t="s">
        <v>536</v>
      </c>
      <c r="B425" t="s">
        <v>537</v>
      </c>
      <c r="C425" s="2">
        <v>4.7</v>
      </c>
      <c r="D425" s="3">
        <v>6169</v>
      </c>
      <c r="E425" s="3">
        <v>16</v>
      </c>
      <c r="F425" s="1">
        <v>2015</v>
      </c>
      <c r="G425" t="s">
        <v>2</v>
      </c>
      <c r="H425" t="str">
        <f>TRIM(B425)</f>
        <v>David McCullough</v>
      </c>
      <c r="I425" t="str">
        <f t="shared" si="18"/>
        <v>Excellent</v>
      </c>
      <c r="J425" s="1" t="str">
        <f t="shared" si="19"/>
        <v>Expensive</v>
      </c>
      <c r="K425" s="1" t="str">
        <f t="shared" si="20"/>
        <v>Low</v>
      </c>
    </row>
    <row r="426" spans="1:11" ht="13.8" x14ac:dyDescent="0.25">
      <c r="A426" t="s">
        <v>560</v>
      </c>
      <c r="B426" t="s">
        <v>561</v>
      </c>
      <c r="C426" s="2">
        <v>4.8</v>
      </c>
      <c r="D426" s="3">
        <v>29673</v>
      </c>
      <c r="E426" s="3">
        <v>16</v>
      </c>
      <c r="F426" s="1">
        <v>2010</v>
      </c>
      <c r="G426" t="s">
        <v>2</v>
      </c>
      <c r="H426" t="str">
        <f>TRIM(B426)</f>
        <v>Laura Hillenbrand</v>
      </c>
      <c r="I426" t="str">
        <f t="shared" si="18"/>
        <v>Excellent</v>
      </c>
      <c r="J426" s="1" t="str">
        <f t="shared" si="19"/>
        <v>Expensive</v>
      </c>
      <c r="K426" s="1" t="str">
        <f t="shared" si="20"/>
        <v>High</v>
      </c>
    </row>
    <row r="427" spans="1:11" ht="13.8" x14ac:dyDescent="0.25">
      <c r="A427" t="s">
        <v>560</v>
      </c>
      <c r="B427" t="s">
        <v>561</v>
      </c>
      <c r="C427" s="2">
        <v>4.8</v>
      </c>
      <c r="D427" s="3">
        <v>29673</v>
      </c>
      <c r="E427" s="3">
        <v>16</v>
      </c>
      <c r="F427" s="1">
        <v>2011</v>
      </c>
      <c r="G427" t="s">
        <v>2</v>
      </c>
      <c r="H427" t="str">
        <f>TRIM(B427)</f>
        <v>Laura Hillenbrand</v>
      </c>
      <c r="I427" t="str">
        <f t="shared" si="18"/>
        <v>Excellent</v>
      </c>
      <c r="J427" s="1" t="str">
        <f t="shared" si="19"/>
        <v>Expensive</v>
      </c>
      <c r="K427" s="1" t="str">
        <f t="shared" si="20"/>
        <v>High</v>
      </c>
    </row>
    <row r="428" spans="1:11" ht="13.8" x14ac:dyDescent="0.25">
      <c r="A428" t="s">
        <v>560</v>
      </c>
      <c r="B428" t="s">
        <v>561</v>
      </c>
      <c r="C428" s="2">
        <v>4.8</v>
      </c>
      <c r="D428" s="3">
        <v>29673</v>
      </c>
      <c r="E428" s="3">
        <v>16</v>
      </c>
      <c r="F428" s="1">
        <v>2012</v>
      </c>
      <c r="G428" t="s">
        <v>2</v>
      </c>
      <c r="H428" t="str">
        <f>TRIM(B428)</f>
        <v>Laura Hillenbrand</v>
      </c>
      <c r="I428" t="str">
        <f t="shared" si="18"/>
        <v>Excellent</v>
      </c>
      <c r="J428" s="1" t="str">
        <f t="shared" si="19"/>
        <v>Expensive</v>
      </c>
      <c r="K428" s="1" t="str">
        <f t="shared" si="20"/>
        <v>High</v>
      </c>
    </row>
    <row r="429" spans="1:11" ht="13.8" x14ac:dyDescent="0.25">
      <c r="A429" t="s">
        <v>560</v>
      </c>
      <c r="B429" t="s">
        <v>561</v>
      </c>
      <c r="C429" s="2">
        <v>4.8</v>
      </c>
      <c r="D429" s="3">
        <v>29673</v>
      </c>
      <c r="E429" s="3">
        <v>16</v>
      </c>
      <c r="F429" s="1">
        <v>2014</v>
      </c>
      <c r="G429" t="s">
        <v>2</v>
      </c>
      <c r="H429" t="str">
        <f>TRIM(B429)</f>
        <v>Laura Hillenbrand</v>
      </c>
      <c r="I429" t="str">
        <f t="shared" si="18"/>
        <v>Excellent</v>
      </c>
      <c r="J429" s="1" t="str">
        <f t="shared" si="19"/>
        <v>Expensive</v>
      </c>
      <c r="K429" s="1" t="str">
        <f t="shared" si="20"/>
        <v>High</v>
      </c>
    </row>
    <row r="430" spans="1:11" ht="13.8" x14ac:dyDescent="0.25">
      <c r="A430" t="s">
        <v>27</v>
      </c>
      <c r="B430" t="s">
        <v>28</v>
      </c>
      <c r="C430" s="2">
        <v>4.5999999999999996</v>
      </c>
      <c r="D430" s="3">
        <v>5013</v>
      </c>
      <c r="E430" s="3">
        <v>17</v>
      </c>
      <c r="F430" s="1">
        <v>2009</v>
      </c>
      <c r="G430" t="s">
        <v>2</v>
      </c>
      <c r="H430" t="str">
        <f>TRIM(B430)</f>
        <v>Steve Harvey</v>
      </c>
      <c r="I430" t="str">
        <f t="shared" si="18"/>
        <v>Excellent</v>
      </c>
      <c r="J430" s="1" t="str">
        <f t="shared" si="19"/>
        <v>Expensive</v>
      </c>
      <c r="K430" s="1" t="str">
        <f t="shared" si="20"/>
        <v>Low</v>
      </c>
    </row>
    <row r="431" spans="1:11" ht="13.8" x14ac:dyDescent="0.25">
      <c r="A431" t="s">
        <v>103</v>
      </c>
      <c r="B431" t="s">
        <v>104</v>
      </c>
      <c r="C431" s="2">
        <v>4.5999999999999996</v>
      </c>
      <c r="D431" s="3">
        <v>2137</v>
      </c>
      <c r="E431" s="3">
        <v>17</v>
      </c>
      <c r="F431" s="1">
        <v>2010</v>
      </c>
      <c r="G431" t="s">
        <v>2</v>
      </c>
      <c r="H431" t="str">
        <f>TRIM(B431)</f>
        <v>George W. Bush</v>
      </c>
      <c r="I431" t="str">
        <f t="shared" si="18"/>
        <v>Excellent</v>
      </c>
      <c r="J431" s="1" t="str">
        <f t="shared" si="19"/>
        <v>Expensive</v>
      </c>
      <c r="K431" s="1" t="str">
        <f t="shared" si="20"/>
        <v>Low</v>
      </c>
    </row>
    <row r="432" spans="1:11" ht="13.8" x14ac:dyDescent="0.25">
      <c r="A432" t="s">
        <v>224</v>
      </c>
      <c r="B432" t="s">
        <v>223</v>
      </c>
      <c r="C432" s="2">
        <v>4.9000000000000004</v>
      </c>
      <c r="D432" s="3">
        <v>2812</v>
      </c>
      <c r="E432" s="3">
        <v>17</v>
      </c>
      <c r="F432" s="1">
        <v>2015</v>
      </c>
      <c r="G432" t="s">
        <v>2</v>
      </c>
      <c r="H432" t="str">
        <f>TRIM(B432)</f>
        <v>Brandon Stanton</v>
      </c>
      <c r="I432" t="str">
        <f t="shared" si="18"/>
        <v>Excellent</v>
      </c>
      <c r="J432" s="1" t="str">
        <f t="shared" si="19"/>
        <v>Expensive</v>
      </c>
      <c r="K432" s="1" t="str">
        <f t="shared" si="20"/>
        <v>Low</v>
      </c>
    </row>
    <row r="433" spans="1:11" ht="13.8" x14ac:dyDescent="0.25">
      <c r="A433" t="s">
        <v>225</v>
      </c>
      <c r="B433" t="s">
        <v>226</v>
      </c>
      <c r="C433" s="2">
        <v>4.7</v>
      </c>
      <c r="D433" s="3">
        <v>4896</v>
      </c>
      <c r="E433" s="3">
        <v>17</v>
      </c>
      <c r="F433" s="1">
        <v>2013</v>
      </c>
      <c r="G433" t="s">
        <v>2</v>
      </c>
      <c r="H433" t="str">
        <f>TRIM(B433)</f>
        <v>Allie Brosh</v>
      </c>
      <c r="I433" t="str">
        <f t="shared" si="18"/>
        <v>Excellent</v>
      </c>
      <c r="J433" s="1" t="str">
        <f t="shared" si="19"/>
        <v>Expensive</v>
      </c>
      <c r="K433" s="1" t="str">
        <f t="shared" si="20"/>
        <v>Low</v>
      </c>
    </row>
    <row r="434" spans="1:11" ht="13.8" x14ac:dyDescent="0.25">
      <c r="A434" t="s">
        <v>249</v>
      </c>
      <c r="B434" t="s">
        <v>250</v>
      </c>
      <c r="C434" s="2">
        <v>4.5999999999999996</v>
      </c>
      <c r="D434" s="3">
        <v>8393</v>
      </c>
      <c r="E434" s="3">
        <v>17</v>
      </c>
      <c r="F434" s="1">
        <v>2017</v>
      </c>
      <c r="G434" t="s">
        <v>2</v>
      </c>
      <c r="H434" t="str">
        <f>TRIM(B434)</f>
        <v>David Grann</v>
      </c>
      <c r="I434" t="str">
        <f t="shared" si="18"/>
        <v>Excellent</v>
      </c>
      <c r="J434" s="1" t="str">
        <f t="shared" si="19"/>
        <v>Expensive</v>
      </c>
      <c r="K434" s="1" t="str">
        <f t="shared" si="20"/>
        <v>Low</v>
      </c>
    </row>
    <row r="435" spans="1:11" ht="13.8" x14ac:dyDescent="0.25">
      <c r="A435" t="s">
        <v>359</v>
      </c>
      <c r="B435" t="s">
        <v>117</v>
      </c>
      <c r="C435" s="2">
        <v>4.5999999999999996</v>
      </c>
      <c r="D435" s="3">
        <v>220</v>
      </c>
      <c r="E435" s="3">
        <v>17</v>
      </c>
      <c r="F435" s="1">
        <v>2013</v>
      </c>
      <c r="G435" t="s">
        <v>2</v>
      </c>
      <c r="H435" t="str">
        <f>TRIM(B435)</f>
        <v>Zhi Gang Sha</v>
      </c>
      <c r="I435" t="str">
        <f t="shared" si="18"/>
        <v>Excellent</v>
      </c>
      <c r="J435" s="1" t="str">
        <f t="shared" si="19"/>
        <v>Expensive</v>
      </c>
      <c r="K435" s="1" t="str">
        <f t="shared" si="20"/>
        <v>Low</v>
      </c>
    </row>
    <row r="436" spans="1:11" ht="13.8" x14ac:dyDescent="0.25">
      <c r="A436" t="s">
        <v>363</v>
      </c>
      <c r="B436" t="s">
        <v>364</v>
      </c>
      <c r="C436" s="2">
        <v>4</v>
      </c>
      <c r="D436" s="3">
        <v>5069</v>
      </c>
      <c r="E436" s="3">
        <v>17</v>
      </c>
      <c r="F436" s="1">
        <v>2009</v>
      </c>
      <c r="G436" t="s">
        <v>2</v>
      </c>
      <c r="H436" t="str">
        <f>TRIM(B436)</f>
        <v>Gallup</v>
      </c>
      <c r="I436" t="str">
        <f t="shared" si="18"/>
        <v>Average</v>
      </c>
      <c r="J436" s="1" t="str">
        <f t="shared" si="19"/>
        <v>Expensive</v>
      </c>
      <c r="K436" s="1" t="str">
        <f t="shared" si="20"/>
        <v>Low</v>
      </c>
    </row>
    <row r="437" spans="1:11" ht="13.8" x14ac:dyDescent="0.25">
      <c r="A437" t="s">
        <v>363</v>
      </c>
      <c r="B437" t="s">
        <v>364</v>
      </c>
      <c r="C437" s="2">
        <v>4</v>
      </c>
      <c r="D437" s="3">
        <v>5069</v>
      </c>
      <c r="E437" s="3">
        <v>17</v>
      </c>
      <c r="F437" s="1">
        <v>2010</v>
      </c>
      <c r="G437" t="s">
        <v>2</v>
      </c>
      <c r="H437" t="str">
        <f>TRIM(B437)</f>
        <v>Gallup</v>
      </c>
      <c r="I437" t="str">
        <f t="shared" si="18"/>
        <v>Average</v>
      </c>
      <c r="J437" s="1" t="str">
        <f t="shared" si="19"/>
        <v>Expensive</v>
      </c>
      <c r="K437" s="1" t="str">
        <f t="shared" si="20"/>
        <v>Low</v>
      </c>
    </row>
    <row r="438" spans="1:11" ht="13.8" x14ac:dyDescent="0.25">
      <c r="A438" t="s">
        <v>363</v>
      </c>
      <c r="B438" t="s">
        <v>364</v>
      </c>
      <c r="C438" s="2">
        <v>4</v>
      </c>
      <c r="D438" s="3">
        <v>5069</v>
      </c>
      <c r="E438" s="3">
        <v>17</v>
      </c>
      <c r="F438" s="1">
        <v>2011</v>
      </c>
      <c r="G438" t="s">
        <v>2</v>
      </c>
      <c r="H438" t="str">
        <f>TRIM(B438)</f>
        <v>Gallup</v>
      </c>
      <c r="I438" t="str">
        <f t="shared" si="18"/>
        <v>Average</v>
      </c>
      <c r="J438" s="1" t="str">
        <f t="shared" si="19"/>
        <v>Expensive</v>
      </c>
      <c r="K438" s="1" t="str">
        <f t="shared" si="20"/>
        <v>Low</v>
      </c>
    </row>
    <row r="439" spans="1:11" ht="13.8" x14ac:dyDescent="0.25">
      <c r="A439" t="s">
        <v>363</v>
      </c>
      <c r="B439" t="s">
        <v>364</v>
      </c>
      <c r="C439" s="2">
        <v>4</v>
      </c>
      <c r="D439" s="3">
        <v>5069</v>
      </c>
      <c r="E439" s="3">
        <v>17</v>
      </c>
      <c r="F439" s="1">
        <v>2012</v>
      </c>
      <c r="G439" t="s">
        <v>2</v>
      </c>
      <c r="H439" t="str">
        <f>TRIM(B439)</f>
        <v>Gallup</v>
      </c>
      <c r="I439" t="str">
        <f t="shared" si="18"/>
        <v>Average</v>
      </c>
      <c r="J439" s="1" t="str">
        <f t="shared" si="19"/>
        <v>Expensive</v>
      </c>
      <c r="K439" s="1" t="str">
        <f t="shared" si="20"/>
        <v>Low</v>
      </c>
    </row>
    <row r="440" spans="1:11" ht="13.8" x14ac:dyDescent="0.25">
      <c r="A440" t="s">
        <v>363</v>
      </c>
      <c r="B440" t="s">
        <v>364</v>
      </c>
      <c r="C440" s="2">
        <v>4</v>
      </c>
      <c r="D440" s="3">
        <v>5069</v>
      </c>
      <c r="E440" s="3">
        <v>17</v>
      </c>
      <c r="F440" s="1">
        <v>2013</v>
      </c>
      <c r="G440" t="s">
        <v>2</v>
      </c>
      <c r="H440" t="str">
        <f>TRIM(B440)</f>
        <v>Gallup</v>
      </c>
      <c r="I440" t="str">
        <f t="shared" si="18"/>
        <v>Average</v>
      </c>
      <c r="J440" s="1" t="str">
        <f t="shared" si="19"/>
        <v>Expensive</v>
      </c>
      <c r="K440" s="1" t="str">
        <f t="shared" si="20"/>
        <v>Low</v>
      </c>
    </row>
    <row r="441" spans="1:11" ht="13.8" x14ac:dyDescent="0.25">
      <c r="A441" t="s">
        <v>363</v>
      </c>
      <c r="B441" t="s">
        <v>364</v>
      </c>
      <c r="C441" s="2">
        <v>4</v>
      </c>
      <c r="D441" s="3">
        <v>5069</v>
      </c>
      <c r="E441" s="3">
        <v>17</v>
      </c>
      <c r="F441" s="1">
        <v>2014</v>
      </c>
      <c r="G441" t="s">
        <v>2</v>
      </c>
      <c r="H441" t="str">
        <f>TRIM(B441)</f>
        <v>Gallup</v>
      </c>
      <c r="I441" t="str">
        <f t="shared" si="18"/>
        <v>Average</v>
      </c>
      <c r="J441" s="1" t="str">
        <f t="shared" si="19"/>
        <v>Expensive</v>
      </c>
      <c r="K441" s="1" t="str">
        <f t="shared" si="20"/>
        <v>Low</v>
      </c>
    </row>
    <row r="442" spans="1:11" ht="13.8" x14ac:dyDescent="0.25">
      <c r="A442" t="s">
        <v>363</v>
      </c>
      <c r="B442" t="s">
        <v>364</v>
      </c>
      <c r="C442" s="2">
        <v>4</v>
      </c>
      <c r="D442" s="3">
        <v>5069</v>
      </c>
      <c r="E442" s="3">
        <v>17</v>
      </c>
      <c r="F442" s="1">
        <v>2015</v>
      </c>
      <c r="G442" t="s">
        <v>2</v>
      </c>
      <c r="H442" t="str">
        <f>TRIM(B442)</f>
        <v>Gallup</v>
      </c>
      <c r="I442" t="str">
        <f t="shared" si="18"/>
        <v>Average</v>
      </c>
      <c r="J442" s="1" t="str">
        <f t="shared" si="19"/>
        <v>Expensive</v>
      </c>
      <c r="K442" s="1" t="str">
        <f t="shared" si="20"/>
        <v>Low</v>
      </c>
    </row>
    <row r="443" spans="1:11" ht="13.8" x14ac:dyDescent="0.25">
      <c r="A443" t="s">
        <v>363</v>
      </c>
      <c r="B443" t="s">
        <v>364</v>
      </c>
      <c r="C443" s="2">
        <v>4</v>
      </c>
      <c r="D443" s="3">
        <v>5069</v>
      </c>
      <c r="E443" s="3">
        <v>17</v>
      </c>
      <c r="F443" s="1">
        <v>2016</v>
      </c>
      <c r="G443" t="s">
        <v>2</v>
      </c>
      <c r="H443" t="str">
        <f>TRIM(B443)</f>
        <v>Gallup</v>
      </c>
      <c r="I443" t="str">
        <f t="shared" si="18"/>
        <v>Average</v>
      </c>
      <c r="J443" s="1" t="str">
        <f t="shared" si="19"/>
        <v>Expensive</v>
      </c>
      <c r="K443" s="1" t="str">
        <f t="shared" si="20"/>
        <v>Low</v>
      </c>
    </row>
    <row r="444" spans="1:11" ht="13.8" x14ac:dyDescent="0.25">
      <c r="A444" t="s">
        <v>363</v>
      </c>
      <c r="B444" t="s">
        <v>364</v>
      </c>
      <c r="C444" s="2">
        <v>4</v>
      </c>
      <c r="D444" s="3">
        <v>5069</v>
      </c>
      <c r="E444" s="3">
        <v>17</v>
      </c>
      <c r="F444" s="1">
        <v>2017</v>
      </c>
      <c r="G444" t="s">
        <v>2</v>
      </c>
      <c r="H444" t="str">
        <f>TRIM(B444)</f>
        <v>Gallup</v>
      </c>
      <c r="I444" t="str">
        <f t="shared" si="18"/>
        <v>Average</v>
      </c>
      <c r="J444" s="1" t="str">
        <f t="shared" si="19"/>
        <v>Expensive</v>
      </c>
      <c r="K444" s="1" t="str">
        <f t="shared" si="20"/>
        <v>Low</v>
      </c>
    </row>
    <row r="445" spans="1:11" ht="13.8" x14ac:dyDescent="0.25">
      <c r="A445" t="s">
        <v>390</v>
      </c>
      <c r="B445" t="s">
        <v>391</v>
      </c>
      <c r="C445" s="2">
        <v>4.7</v>
      </c>
      <c r="D445" s="3">
        <v>3536</v>
      </c>
      <c r="E445" s="3">
        <v>17</v>
      </c>
      <c r="F445" s="1">
        <v>2010</v>
      </c>
      <c r="G445" t="s">
        <v>2</v>
      </c>
      <c r="H445" t="str">
        <f>TRIM(B445)</f>
        <v>Michael Lewis</v>
      </c>
      <c r="I445" t="str">
        <f t="shared" si="18"/>
        <v>Excellent</v>
      </c>
      <c r="J445" s="1" t="str">
        <f t="shared" si="19"/>
        <v>Expensive</v>
      </c>
      <c r="K445" s="1" t="str">
        <f t="shared" si="20"/>
        <v>Low</v>
      </c>
    </row>
    <row r="446" spans="1:11" ht="13.8" x14ac:dyDescent="0.25">
      <c r="A446" t="s">
        <v>491</v>
      </c>
      <c r="B446" t="s">
        <v>492</v>
      </c>
      <c r="C446" s="2">
        <v>4.8</v>
      </c>
      <c r="D446" s="3">
        <v>2663</v>
      </c>
      <c r="E446" s="3">
        <v>17</v>
      </c>
      <c r="F446" s="1">
        <v>2013</v>
      </c>
      <c r="G446" t="s">
        <v>2</v>
      </c>
      <c r="H446" t="str">
        <f>TRIM(B446)</f>
        <v>Ree Drummond</v>
      </c>
      <c r="I446" t="str">
        <f t="shared" si="18"/>
        <v>Excellent</v>
      </c>
      <c r="J446" s="1" t="str">
        <f t="shared" si="19"/>
        <v>Expensive</v>
      </c>
      <c r="K446" s="1" t="str">
        <f t="shared" si="20"/>
        <v>Low</v>
      </c>
    </row>
    <row r="447" spans="1:11" ht="13.8" x14ac:dyDescent="0.25">
      <c r="A447" t="s">
        <v>497</v>
      </c>
      <c r="B447" t="s">
        <v>496</v>
      </c>
      <c r="C447" s="2">
        <v>4.4000000000000004</v>
      </c>
      <c r="D447" s="3">
        <v>7058</v>
      </c>
      <c r="E447" s="3">
        <v>17</v>
      </c>
      <c r="F447" s="1">
        <v>2018</v>
      </c>
      <c r="G447" t="s">
        <v>2</v>
      </c>
      <c r="H447" t="str">
        <f>TRIM(B447)</f>
        <v>Dr. Steven R Gundry MD</v>
      </c>
      <c r="I447" t="str">
        <f t="shared" si="18"/>
        <v>Average</v>
      </c>
      <c r="J447" s="1" t="str">
        <f t="shared" si="19"/>
        <v>Expensive</v>
      </c>
      <c r="K447" s="1" t="str">
        <f t="shared" si="20"/>
        <v>Low</v>
      </c>
    </row>
    <row r="448" spans="1:11" ht="13.8" x14ac:dyDescent="0.25">
      <c r="A448" t="s">
        <v>573</v>
      </c>
      <c r="B448" t="s">
        <v>574</v>
      </c>
      <c r="C448" s="2">
        <v>4.7</v>
      </c>
      <c r="D448" s="3">
        <v>9292</v>
      </c>
      <c r="E448" s="3">
        <v>17</v>
      </c>
      <c r="F448" s="1">
        <v>2014</v>
      </c>
      <c r="G448" t="s">
        <v>2</v>
      </c>
      <c r="H448" t="str">
        <f>TRIM(B448)</f>
        <v>Randall Munroe</v>
      </c>
      <c r="I448" t="str">
        <f t="shared" si="18"/>
        <v>Excellent</v>
      </c>
      <c r="J448" s="1" t="str">
        <f t="shared" si="19"/>
        <v>Expensive</v>
      </c>
      <c r="K448" s="1" t="str">
        <f t="shared" si="20"/>
        <v>Low</v>
      </c>
    </row>
    <row r="449" spans="1:11" ht="13.8" x14ac:dyDescent="0.25">
      <c r="A449" t="s">
        <v>65</v>
      </c>
      <c r="B449" t="s">
        <v>66</v>
      </c>
      <c r="C449" s="2">
        <v>4.7</v>
      </c>
      <c r="D449" s="3">
        <v>3729</v>
      </c>
      <c r="E449" s="3">
        <v>18</v>
      </c>
      <c r="F449" s="1">
        <v>2016</v>
      </c>
      <c r="G449" t="s">
        <v>2</v>
      </c>
      <c r="H449" t="str">
        <f>TRIM(B449)</f>
        <v>Bruce Springsteen</v>
      </c>
      <c r="I449" t="str">
        <f t="shared" si="18"/>
        <v>Excellent</v>
      </c>
      <c r="J449" s="1" t="str">
        <f t="shared" si="19"/>
        <v>Expensive</v>
      </c>
      <c r="K449" s="1" t="str">
        <f t="shared" si="20"/>
        <v>Low</v>
      </c>
    </row>
    <row r="450" spans="1:11" ht="13.8" x14ac:dyDescent="0.25">
      <c r="A450" t="s">
        <v>76</v>
      </c>
      <c r="B450" t="s">
        <v>77</v>
      </c>
      <c r="C450" s="2">
        <v>4.8</v>
      </c>
      <c r="D450" s="3">
        <v>16244</v>
      </c>
      <c r="E450" s="3">
        <v>18</v>
      </c>
      <c r="F450" s="1">
        <v>2019</v>
      </c>
      <c r="G450" t="s">
        <v>2</v>
      </c>
      <c r="H450" t="str">
        <f>TRIM(B450)</f>
        <v>David Goggins</v>
      </c>
      <c r="I450" t="str">
        <f t="shared" ref="I450:I513" si="21">IF(C450&gt;=4.5,"Excellent","Average")</f>
        <v>Excellent</v>
      </c>
      <c r="J450" s="1" t="str">
        <f t="shared" ref="J450:J513" si="22">IF(E450&gt;=15,"Expensive","Affordable")</f>
        <v>Expensive</v>
      </c>
      <c r="K450" s="1" t="str">
        <f t="shared" ref="K450:K513" si="23">IF(D450&gt;=10000,"High","Low")</f>
        <v>High</v>
      </c>
    </row>
    <row r="451" spans="1:11" ht="13.8" x14ac:dyDescent="0.25">
      <c r="A451" t="s">
        <v>138</v>
      </c>
      <c r="B451" t="s">
        <v>68</v>
      </c>
      <c r="C451" s="2">
        <v>4.7</v>
      </c>
      <c r="D451" s="3">
        <v>5505</v>
      </c>
      <c r="E451" s="3">
        <v>18</v>
      </c>
      <c r="F451" s="1">
        <v>2009</v>
      </c>
      <c r="G451" t="s">
        <v>5</v>
      </c>
      <c r="H451" t="str">
        <f>TRIM(B451)</f>
        <v>Stephenie Meyer</v>
      </c>
      <c r="I451" t="str">
        <f t="shared" si="21"/>
        <v>Excellent</v>
      </c>
      <c r="J451" s="1" t="str">
        <f t="shared" si="22"/>
        <v>Expensive</v>
      </c>
      <c r="K451" s="1" t="str">
        <f t="shared" si="23"/>
        <v>Low</v>
      </c>
    </row>
    <row r="452" spans="1:11" ht="13.8" x14ac:dyDescent="0.25">
      <c r="A452" t="s">
        <v>203</v>
      </c>
      <c r="B452" t="s">
        <v>204</v>
      </c>
      <c r="C452" s="2">
        <v>4.9000000000000004</v>
      </c>
      <c r="D452" s="3">
        <v>7758</v>
      </c>
      <c r="E452" s="3">
        <v>18</v>
      </c>
      <c r="F452" s="1">
        <v>2019</v>
      </c>
      <c r="G452" t="s">
        <v>5</v>
      </c>
      <c r="H452" t="str">
        <f>TRIM(B452)</f>
        <v>J. K. Rowling</v>
      </c>
      <c r="I452" t="str">
        <f t="shared" si="21"/>
        <v>Excellent</v>
      </c>
      <c r="J452" s="1" t="str">
        <f t="shared" si="22"/>
        <v>Expensive</v>
      </c>
      <c r="K452" s="1" t="str">
        <f t="shared" si="23"/>
        <v>Low</v>
      </c>
    </row>
    <row r="453" spans="1:11" ht="13.8" x14ac:dyDescent="0.25">
      <c r="A453" t="s">
        <v>273</v>
      </c>
      <c r="B453" t="s">
        <v>274</v>
      </c>
      <c r="C453" s="2">
        <v>4.5</v>
      </c>
      <c r="D453" s="3">
        <v>2752</v>
      </c>
      <c r="E453" s="3">
        <v>18</v>
      </c>
      <c r="F453" s="1">
        <v>2010</v>
      </c>
      <c r="G453" t="s">
        <v>2</v>
      </c>
      <c r="H453" t="str">
        <f>TRIM(B453)</f>
        <v>Keith Richards</v>
      </c>
      <c r="I453" t="str">
        <f t="shared" si="21"/>
        <v>Excellent</v>
      </c>
      <c r="J453" s="1" t="str">
        <f t="shared" si="22"/>
        <v>Expensive</v>
      </c>
      <c r="K453" s="1" t="str">
        <f t="shared" si="23"/>
        <v>Low</v>
      </c>
    </row>
    <row r="454" spans="1:11" ht="13.8" x14ac:dyDescent="0.25">
      <c r="A454" t="s">
        <v>365</v>
      </c>
      <c r="B454" t="s">
        <v>366</v>
      </c>
      <c r="C454" s="2">
        <v>4.5</v>
      </c>
      <c r="D454" s="3">
        <v>1583</v>
      </c>
      <c r="E454" s="3">
        <v>18</v>
      </c>
      <c r="F454" s="1">
        <v>2009</v>
      </c>
      <c r="G454" t="s">
        <v>2</v>
      </c>
      <c r="H454" t="str">
        <f>TRIM(B454)</f>
        <v>Steven D. Levitt</v>
      </c>
      <c r="I454" t="str">
        <f t="shared" si="21"/>
        <v>Excellent</v>
      </c>
      <c r="J454" s="1" t="str">
        <f t="shared" si="22"/>
        <v>Expensive</v>
      </c>
      <c r="K454" s="1" t="str">
        <f t="shared" si="23"/>
        <v>Low</v>
      </c>
    </row>
    <row r="455" spans="1:11" ht="13.8" x14ac:dyDescent="0.25">
      <c r="A455" t="s">
        <v>369</v>
      </c>
      <c r="B455" t="s">
        <v>370</v>
      </c>
      <c r="C455" s="2">
        <v>4.5</v>
      </c>
      <c r="D455" s="3">
        <v>23114</v>
      </c>
      <c r="E455" s="3">
        <v>18</v>
      </c>
      <c r="F455" s="1">
        <v>2013</v>
      </c>
      <c r="G455" t="s">
        <v>5</v>
      </c>
      <c r="H455" t="str">
        <f>TRIM(B455)</f>
        <v>John Grisham</v>
      </c>
      <c r="I455" t="str">
        <f t="shared" si="21"/>
        <v>Excellent</v>
      </c>
      <c r="J455" s="1" t="str">
        <f t="shared" si="22"/>
        <v>Expensive</v>
      </c>
      <c r="K455" s="1" t="str">
        <f t="shared" si="23"/>
        <v>High</v>
      </c>
    </row>
    <row r="456" spans="1:11" ht="13.8" x14ac:dyDescent="0.25">
      <c r="A456" t="s">
        <v>428</v>
      </c>
      <c r="B456" t="s">
        <v>429</v>
      </c>
      <c r="C456" s="2">
        <v>4.0999999999999996</v>
      </c>
      <c r="D456" s="3">
        <v>79446</v>
      </c>
      <c r="E456" s="3">
        <v>18</v>
      </c>
      <c r="F456" s="1">
        <v>2015</v>
      </c>
      <c r="G456" t="s">
        <v>5</v>
      </c>
      <c r="H456" t="str">
        <f>TRIM(B456)</f>
        <v>Paula Hawkins</v>
      </c>
      <c r="I456" t="str">
        <f t="shared" si="21"/>
        <v>Average</v>
      </c>
      <c r="J456" s="1" t="str">
        <f t="shared" si="22"/>
        <v>Expensive</v>
      </c>
      <c r="K456" s="1" t="str">
        <f t="shared" si="23"/>
        <v>High</v>
      </c>
    </row>
    <row r="457" spans="1:11" ht="13.8" x14ac:dyDescent="0.25">
      <c r="A457" t="s">
        <v>469</v>
      </c>
      <c r="B457" t="s">
        <v>370</v>
      </c>
      <c r="C457" s="2">
        <v>4.4000000000000004</v>
      </c>
      <c r="D457" s="3">
        <v>6222</v>
      </c>
      <c r="E457" s="3">
        <v>18</v>
      </c>
      <c r="F457" s="1">
        <v>2011</v>
      </c>
      <c r="G457" t="s">
        <v>5</v>
      </c>
      <c r="H457" t="str">
        <f>TRIM(B457)</f>
        <v>John Grisham</v>
      </c>
      <c r="I457" t="str">
        <f t="shared" si="21"/>
        <v>Average</v>
      </c>
      <c r="J457" s="1" t="str">
        <f t="shared" si="22"/>
        <v>Expensive</v>
      </c>
      <c r="K457" s="1" t="str">
        <f t="shared" si="23"/>
        <v>Low</v>
      </c>
    </row>
    <row r="458" spans="1:11" ht="13.8" x14ac:dyDescent="0.25">
      <c r="A458" t="s">
        <v>495</v>
      </c>
      <c r="B458" t="s">
        <v>496</v>
      </c>
      <c r="C458" s="2">
        <v>4.5</v>
      </c>
      <c r="D458" s="3">
        <v>3601</v>
      </c>
      <c r="E458" s="3">
        <v>18</v>
      </c>
      <c r="F458" s="1">
        <v>2018</v>
      </c>
      <c r="G458" t="s">
        <v>2</v>
      </c>
      <c r="H458" t="str">
        <f>TRIM(B458)</f>
        <v>Dr. Steven R Gundry MD</v>
      </c>
      <c r="I458" t="str">
        <f t="shared" si="21"/>
        <v>Excellent</v>
      </c>
      <c r="J458" s="1" t="str">
        <f t="shared" si="22"/>
        <v>Expensive</v>
      </c>
      <c r="K458" s="1" t="str">
        <f t="shared" si="23"/>
        <v>Low</v>
      </c>
    </row>
    <row r="459" spans="1:11" ht="13.8" x14ac:dyDescent="0.25">
      <c r="A459" t="s">
        <v>502</v>
      </c>
      <c r="B459" t="s">
        <v>230</v>
      </c>
      <c r="C459" s="2">
        <v>4.3</v>
      </c>
      <c r="D459" s="3">
        <v>10191</v>
      </c>
      <c r="E459" s="3">
        <v>18</v>
      </c>
      <c r="F459" s="1">
        <v>2018</v>
      </c>
      <c r="G459" t="s">
        <v>5</v>
      </c>
      <c r="H459" t="str">
        <f>TRIM(B459)</f>
        <v>James Patterson</v>
      </c>
      <c r="I459" t="str">
        <f t="shared" si="21"/>
        <v>Average</v>
      </c>
      <c r="J459" s="1" t="str">
        <f t="shared" si="22"/>
        <v>Expensive</v>
      </c>
      <c r="K459" s="1" t="str">
        <f t="shared" si="23"/>
        <v>High</v>
      </c>
    </row>
    <row r="460" spans="1:11" ht="13.8" x14ac:dyDescent="0.25">
      <c r="A460" t="s">
        <v>503</v>
      </c>
      <c r="B460" t="s">
        <v>370</v>
      </c>
      <c r="C460" s="2">
        <v>4.3</v>
      </c>
      <c r="D460" s="3">
        <v>14493</v>
      </c>
      <c r="E460" s="3">
        <v>18</v>
      </c>
      <c r="F460" s="1">
        <v>2012</v>
      </c>
      <c r="G460" t="s">
        <v>5</v>
      </c>
      <c r="H460" t="str">
        <f>TRIM(B460)</f>
        <v>John Grisham</v>
      </c>
      <c r="I460" t="str">
        <f t="shared" si="21"/>
        <v>Average</v>
      </c>
      <c r="J460" s="1" t="str">
        <f t="shared" si="22"/>
        <v>Expensive</v>
      </c>
      <c r="K460" s="1" t="str">
        <f t="shared" si="23"/>
        <v>High</v>
      </c>
    </row>
    <row r="461" spans="1:11" ht="13.8" x14ac:dyDescent="0.25">
      <c r="A461" t="s">
        <v>571</v>
      </c>
      <c r="B461" t="s">
        <v>572</v>
      </c>
      <c r="C461" s="2">
        <v>4.5999999999999996</v>
      </c>
      <c r="D461" s="3">
        <v>5492</v>
      </c>
      <c r="E461" s="3">
        <v>18</v>
      </c>
      <c r="F461" s="1">
        <v>2017</v>
      </c>
      <c r="G461" t="s">
        <v>2</v>
      </c>
      <c r="H461" t="str">
        <f>TRIM(B461)</f>
        <v>Hillary Rodham Clinton</v>
      </c>
      <c r="I461" t="str">
        <f t="shared" si="21"/>
        <v>Excellent</v>
      </c>
      <c r="J461" s="1" t="str">
        <f t="shared" si="22"/>
        <v>Expensive</v>
      </c>
      <c r="K461" s="1" t="str">
        <f t="shared" si="23"/>
        <v>Low</v>
      </c>
    </row>
    <row r="462" spans="1:11" ht="13.8" x14ac:dyDescent="0.25">
      <c r="A462" t="s">
        <v>590</v>
      </c>
      <c r="B462" t="s">
        <v>591</v>
      </c>
      <c r="C462" s="2">
        <v>4.4000000000000004</v>
      </c>
      <c r="D462" s="3">
        <v>17044</v>
      </c>
      <c r="E462" s="3">
        <v>18</v>
      </c>
      <c r="F462" s="1">
        <v>2012</v>
      </c>
      <c r="G462" t="s">
        <v>2</v>
      </c>
      <c r="H462" t="str">
        <f>TRIM(B462)</f>
        <v>Cheryl Strayed</v>
      </c>
      <c r="I462" t="str">
        <f t="shared" si="21"/>
        <v>Average</v>
      </c>
      <c r="J462" s="1" t="str">
        <f t="shared" si="22"/>
        <v>Expensive</v>
      </c>
      <c r="K462" s="1" t="str">
        <f t="shared" si="23"/>
        <v>High</v>
      </c>
    </row>
    <row r="463" spans="1:11" ht="13.8" x14ac:dyDescent="0.25">
      <c r="A463" t="s">
        <v>176</v>
      </c>
      <c r="B463" t="s">
        <v>177</v>
      </c>
      <c r="C463" s="2">
        <v>3.6</v>
      </c>
      <c r="D463" s="3">
        <v>14982</v>
      </c>
      <c r="E463" s="3">
        <v>19</v>
      </c>
      <c r="F463" s="1">
        <v>2015</v>
      </c>
      <c r="G463" t="s">
        <v>5</v>
      </c>
      <c r="H463" t="str">
        <f>TRIM(B463)</f>
        <v>Harper Lee</v>
      </c>
      <c r="I463" t="str">
        <f t="shared" si="21"/>
        <v>Average</v>
      </c>
      <c r="J463" s="1" t="str">
        <f t="shared" si="22"/>
        <v>Expensive</v>
      </c>
      <c r="K463" s="1" t="str">
        <f t="shared" si="23"/>
        <v>High</v>
      </c>
    </row>
    <row r="464" spans="1:11" ht="13.8" x14ac:dyDescent="0.25">
      <c r="A464" t="s">
        <v>471</v>
      </c>
      <c r="B464" t="s">
        <v>238</v>
      </c>
      <c r="C464" s="2">
        <v>4.2</v>
      </c>
      <c r="D464" s="3">
        <v>8747</v>
      </c>
      <c r="E464" s="3">
        <v>19</v>
      </c>
      <c r="F464" s="1">
        <v>2009</v>
      </c>
      <c r="G464" t="s">
        <v>5</v>
      </c>
      <c r="H464" t="str">
        <f>TRIM(B464)</f>
        <v>Dan Brown</v>
      </c>
      <c r="I464" t="str">
        <f t="shared" si="21"/>
        <v>Average</v>
      </c>
      <c r="J464" s="1" t="str">
        <f t="shared" si="22"/>
        <v>Expensive</v>
      </c>
      <c r="K464" s="1" t="str">
        <f t="shared" si="23"/>
        <v>Low</v>
      </c>
    </row>
    <row r="465" spans="1:11" ht="13.8" x14ac:dyDescent="0.25">
      <c r="A465" t="s">
        <v>540</v>
      </c>
      <c r="B465" t="s">
        <v>541</v>
      </c>
      <c r="C465" s="2">
        <v>4.5999999999999996</v>
      </c>
      <c r="D465" s="3">
        <v>11034</v>
      </c>
      <c r="E465" s="3">
        <v>19</v>
      </c>
      <c r="F465" s="1">
        <v>2011</v>
      </c>
      <c r="G465" t="s">
        <v>2</v>
      </c>
      <c r="H465" t="str">
        <f>TRIM(B465)</f>
        <v>Daniel Kahneman</v>
      </c>
      <c r="I465" t="str">
        <f t="shared" si="21"/>
        <v>Excellent</v>
      </c>
      <c r="J465" s="1" t="str">
        <f t="shared" si="22"/>
        <v>Expensive</v>
      </c>
      <c r="K465" s="1" t="str">
        <f t="shared" si="23"/>
        <v>High</v>
      </c>
    </row>
    <row r="466" spans="1:11" ht="13.8" x14ac:dyDescent="0.25">
      <c r="A466" t="s">
        <v>540</v>
      </c>
      <c r="B466" t="s">
        <v>541</v>
      </c>
      <c r="C466" s="2">
        <v>4.5999999999999996</v>
      </c>
      <c r="D466" s="3">
        <v>11034</v>
      </c>
      <c r="E466" s="3">
        <v>19</v>
      </c>
      <c r="F466" s="1">
        <v>2012</v>
      </c>
      <c r="G466" t="s">
        <v>2</v>
      </c>
      <c r="H466" t="str">
        <f>TRIM(B466)</f>
        <v>Daniel Kahneman</v>
      </c>
      <c r="I466" t="str">
        <f t="shared" si="21"/>
        <v>Excellent</v>
      </c>
      <c r="J466" s="1" t="str">
        <f t="shared" si="22"/>
        <v>Expensive</v>
      </c>
      <c r="K466" s="1" t="str">
        <f t="shared" si="23"/>
        <v>High</v>
      </c>
    </row>
    <row r="467" spans="1:11" ht="13.8" x14ac:dyDescent="0.25">
      <c r="A467" t="s">
        <v>127</v>
      </c>
      <c r="B467" t="s">
        <v>73</v>
      </c>
      <c r="C467" s="2">
        <v>4.8</v>
      </c>
      <c r="D467" s="3">
        <v>5118</v>
      </c>
      <c r="E467" s="3">
        <v>20</v>
      </c>
      <c r="F467" s="1">
        <v>2016</v>
      </c>
      <c r="G467" t="s">
        <v>5</v>
      </c>
      <c r="H467" t="str">
        <f>TRIM(B467)</f>
        <v>Jeff Kinney</v>
      </c>
      <c r="I467" t="str">
        <f t="shared" si="21"/>
        <v>Excellent</v>
      </c>
      <c r="J467" s="1" t="str">
        <f t="shared" si="22"/>
        <v>Expensive</v>
      </c>
      <c r="K467" s="1" t="str">
        <f t="shared" si="23"/>
        <v>Low</v>
      </c>
    </row>
    <row r="468" spans="1:11" ht="13.8" x14ac:dyDescent="0.25">
      <c r="A468" t="s">
        <v>166</v>
      </c>
      <c r="B468" t="s">
        <v>167</v>
      </c>
      <c r="C468" s="2">
        <v>4.5</v>
      </c>
      <c r="D468" s="3">
        <v>408</v>
      </c>
      <c r="E468" s="3">
        <v>20</v>
      </c>
      <c r="F468" s="1">
        <v>2010</v>
      </c>
      <c r="G468" t="s">
        <v>2</v>
      </c>
      <c r="H468" t="str">
        <f>TRIM(B468)</f>
        <v>Peter A. Lillback</v>
      </c>
      <c r="I468" t="str">
        <f t="shared" si="21"/>
        <v>Excellent</v>
      </c>
      <c r="J468" s="1" t="str">
        <f t="shared" si="22"/>
        <v>Expensive</v>
      </c>
      <c r="K468" s="1" t="str">
        <f t="shared" si="23"/>
        <v>Low</v>
      </c>
    </row>
    <row r="469" spans="1:11" ht="13.8" x14ac:dyDescent="0.25">
      <c r="A469" t="s">
        <v>239</v>
      </c>
      <c r="B469" t="s">
        <v>240</v>
      </c>
      <c r="C469" s="2">
        <v>4.5999999999999996</v>
      </c>
      <c r="D469" s="3">
        <v>5299</v>
      </c>
      <c r="E469" s="3">
        <v>20</v>
      </c>
      <c r="F469" s="1">
        <v>2011</v>
      </c>
      <c r="G469" t="s">
        <v>5</v>
      </c>
      <c r="H469" t="str">
        <f>TRIM(B469)</f>
        <v>Christopher Paolini</v>
      </c>
      <c r="I469" t="str">
        <f t="shared" si="21"/>
        <v>Excellent</v>
      </c>
      <c r="J469" s="1" t="str">
        <f t="shared" si="22"/>
        <v>Expensive</v>
      </c>
      <c r="K469" s="1" t="str">
        <f t="shared" si="23"/>
        <v>Low</v>
      </c>
    </row>
    <row r="470" spans="1:11" ht="13.8" x14ac:dyDescent="0.25">
      <c r="A470" t="s">
        <v>288</v>
      </c>
      <c r="B470" t="s">
        <v>57</v>
      </c>
      <c r="C470" s="2">
        <v>4.5</v>
      </c>
      <c r="D470" s="3">
        <v>1386</v>
      </c>
      <c r="E470" s="3">
        <v>20</v>
      </c>
      <c r="F470" s="1">
        <v>2014</v>
      </c>
      <c r="G470" t="s">
        <v>2</v>
      </c>
      <c r="H470" t="str">
        <f>TRIM(B470)</f>
        <v>Ina Garten</v>
      </c>
      <c r="I470" t="str">
        <f t="shared" si="21"/>
        <v>Excellent</v>
      </c>
      <c r="J470" s="1" t="str">
        <f t="shared" si="22"/>
        <v>Expensive</v>
      </c>
      <c r="K470" s="1" t="str">
        <f t="shared" si="23"/>
        <v>Low</v>
      </c>
    </row>
    <row r="471" spans="1:11" ht="13.8" x14ac:dyDescent="0.25">
      <c r="A471" t="s">
        <v>322</v>
      </c>
      <c r="B471" t="s">
        <v>96</v>
      </c>
      <c r="C471" s="2">
        <v>4.5999999999999996</v>
      </c>
      <c r="D471" s="3">
        <v>10426</v>
      </c>
      <c r="E471" s="3">
        <v>20</v>
      </c>
      <c r="F471" s="1">
        <v>2009</v>
      </c>
      <c r="G471" t="s">
        <v>2</v>
      </c>
      <c r="H471" t="str">
        <f>TRIM(B471)</f>
        <v>Malcolm Gladwell</v>
      </c>
      <c r="I471" t="str">
        <f t="shared" si="21"/>
        <v>Excellent</v>
      </c>
      <c r="J471" s="1" t="str">
        <f t="shared" si="22"/>
        <v>Expensive</v>
      </c>
      <c r="K471" s="1" t="str">
        <f t="shared" si="23"/>
        <v>High</v>
      </c>
    </row>
    <row r="472" spans="1:11" ht="13.8" x14ac:dyDescent="0.25">
      <c r="A472" t="s">
        <v>322</v>
      </c>
      <c r="B472" t="s">
        <v>96</v>
      </c>
      <c r="C472" s="2">
        <v>4.5999999999999996</v>
      </c>
      <c r="D472" s="3">
        <v>10426</v>
      </c>
      <c r="E472" s="3">
        <v>20</v>
      </c>
      <c r="F472" s="1">
        <v>2010</v>
      </c>
      <c r="G472" t="s">
        <v>2</v>
      </c>
      <c r="H472" t="str">
        <f>TRIM(B472)</f>
        <v>Malcolm Gladwell</v>
      </c>
      <c r="I472" t="str">
        <f t="shared" si="21"/>
        <v>Excellent</v>
      </c>
      <c r="J472" s="1" t="str">
        <f t="shared" si="22"/>
        <v>Expensive</v>
      </c>
      <c r="K472" s="1" t="str">
        <f t="shared" si="23"/>
        <v>High</v>
      </c>
    </row>
    <row r="473" spans="1:11" ht="13.8" x14ac:dyDescent="0.25">
      <c r="A473" t="s">
        <v>336</v>
      </c>
      <c r="B473" t="s">
        <v>337</v>
      </c>
      <c r="C473" s="2">
        <v>4.5999999999999996</v>
      </c>
      <c r="D473" s="3">
        <v>10009</v>
      </c>
      <c r="E473" s="3">
        <v>20</v>
      </c>
      <c r="F473" s="1">
        <v>2012</v>
      </c>
      <c r="G473" t="s">
        <v>2</v>
      </c>
      <c r="H473" t="str">
        <f>TRIM(B473)</f>
        <v>Susan Cain</v>
      </c>
      <c r="I473" t="str">
        <f t="shared" si="21"/>
        <v>Excellent</v>
      </c>
      <c r="J473" s="1" t="str">
        <f t="shared" si="22"/>
        <v>Expensive</v>
      </c>
      <c r="K473" s="1" t="str">
        <f t="shared" si="23"/>
        <v>High</v>
      </c>
    </row>
    <row r="474" spans="1:11" ht="13.8" x14ac:dyDescent="0.25">
      <c r="A474" t="s">
        <v>345</v>
      </c>
      <c r="B474" t="s">
        <v>346</v>
      </c>
      <c r="C474" s="2">
        <v>4.8</v>
      </c>
      <c r="D474" s="3">
        <v>7802</v>
      </c>
      <c r="E474" s="3">
        <v>20</v>
      </c>
      <c r="F474" s="1">
        <v>2018</v>
      </c>
      <c r="G474" t="s">
        <v>2</v>
      </c>
      <c r="H474" t="str">
        <f>TRIM(B474)</f>
        <v>Samin Nosrat</v>
      </c>
      <c r="I474" t="str">
        <f t="shared" si="21"/>
        <v>Excellent</v>
      </c>
      <c r="J474" s="1" t="str">
        <f t="shared" si="22"/>
        <v>Expensive</v>
      </c>
      <c r="K474" s="1" t="str">
        <f t="shared" si="23"/>
        <v>Low</v>
      </c>
    </row>
    <row r="475" spans="1:11" ht="13.8" x14ac:dyDescent="0.25">
      <c r="A475" t="s">
        <v>345</v>
      </c>
      <c r="B475" t="s">
        <v>346</v>
      </c>
      <c r="C475" s="2">
        <v>4.8</v>
      </c>
      <c r="D475" s="3">
        <v>7802</v>
      </c>
      <c r="E475" s="3">
        <v>20</v>
      </c>
      <c r="F475" s="1">
        <v>2019</v>
      </c>
      <c r="G475" t="s">
        <v>2</v>
      </c>
      <c r="H475" t="str">
        <f>TRIM(B475)</f>
        <v>Samin Nosrat</v>
      </c>
      <c r="I475" t="str">
        <f t="shared" si="21"/>
        <v>Excellent</v>
      </c>
      <c r="J475" s="1" t="str">
        <f t="shared" si="22"/>
        <v>Expensive</v>
      </c>
      <c r="K475" s="1" t="str">
        <f t="shared" si="23"/>
        <v>Low</v>
      </c>
    </row>
    <row r="476" spans="1:11" ht="13.8" x14ac:dyDescent="0.25">
      <c r="A476" t="s">
        <v>360</v>
      </c>
      <c r="B476" t="s">
        <v>268</v>
      </c>
      <c r="C476" s="2">
        <v>4.5999999999999996</v>
      </c>
      <c r="D476" s="3">
        <v>7827</v>
      </c>
      <c r="E476" s="3">
        <v>20</v>
      </c>
      <c r="F476" s="1">
        <v>2011</v>
      </c>
      <c r="G476" t="s">
        <v>2</v>
      </c>
      <c r="H476" t="str">
        <f>TRIM(B476)</f>
        <v>Walter Isaacson</v>
      </c>
      <c r="I476" t="str">
        <f t="shared" si="21"/>
        <v>Excellent</v>
      </c>
      <c r="J476" s="1" t="str">
        <f t="shared" si="22"/>
        <v>Expensive</v>
      </c>
      <c r="K476" s="1" t="str">
        <f t="shared" si="23"/>
        <v>Low</v>
      </c>
    </row>
    <row r="477" spans="1:11" ht="13.8" x14ac:dyDescent="0.25">
      <c r="A477" t="s">
        <v>360</v>
      </c>
      <c r="B477" t="s">
        <v>268</v>
      </c>
      <c r="C477" s="2">
        <v>4.5999999999999996</v>
      </c>
      <c r="D477" s="3">
        <v>7827</v>
      </c>
      <c r="E477" s="3">
        <v>20</v>
      </c>
      <c r="F477" s="1">
        <v>2012</v>
      </c>
      <c r="G477" t="s">
        <v>2</v>
      </c>
      <c r="H477" t="str">
        <f>TRIM(B477)</f>
        <v>Walter Isaacson</v>
      </c>
      <c r="I477" t="str">
        <f t="shared" si="21"/>
        <v>Excellent</v>
      </c>
      <c r="J477" s="1" t="str">
        <f t="shared" si="22"/>
        <v>Expensive</v>
      </c>
      <c r="K477" s="1" t="str">
        <f t="shared" si="23"/>
        <v>Low</v>
      </c>
    </row>
    <row r="478" spans="1:11" ht="13.8" x14ac:dyDescent="0.25">
      <c r="A478" t="s">
        <v>371</v>
      </c>
      <c r="B478" t="s">
        <v>372</v>
      </c>
      <c r="C478" s="2">
        <v>4.4000000000000004</v>
      </c>
      <c r="D478" s="3">
        <v>637</v>
      </c>
      <c r="E478" s="3">
        <v>20</v>
      </c>
      <c r="F478" s="1">
        <v>2010</v>
      </c>
      <c r="G478" t="s">
        <v>2</v>
      </c>
      <c r="H478" t="str">
        <f>TRIM(B478)</f>
        <v>Doug Lemov</v>
      </c>
      <c r="I478" t="str">
        <f t="shared" si="21"/>
        <v>Average</v>
      </c>
      <c r="J478" s="1" t="str">
        <f t="shared" si="22"/>
        <v>Expensive</v>
      </c>
      <c r="K478" s="1" t="str">
        <f t="shared" si="23"/>
        <v>Low</v>
      </c>
    </row>
    <row r="479" spans="1:11" ht="13.8" x14ac:dyDescent="0.25">
      <c r="A479" t="s">
        <v>371</v>
      </c>
      <c r="B479" t="s">
        <v>372</v>
      </c>
      <c r="C479" s="2">
        <v>4.4000000000000004</v>
      </c>
      <c r="D479" s="3">
        <v>637</v>
      </c>
      <c r="E479" s="3">
        <v>20</v>
      </c>
      <c r="F479" s="1">
        <v>2011</v>
      </c>
      <c r="G479" t="s">
        <v>2</v>
      </c>
      <c r="H479" t="str">
        <f>TRIM(B479)</f>
        <v>Doug Lemov</v>
      </c>
      <c r="I479" t="str">
        <f t="shared" si="21"/>
        <v>Average</v>
      </c>
      <c r="J479" s="1" t="str">
        <f t="shared" si="22"/>
        <v>Expensive</v>
      </c>
      <c r="K479" s="1" t="str">
        <f t="shared" si="23"/>
        <v>Low</v>
      </c>
    </row>
    <row r="480" spans="1:11" ht="13.8" x14ac:dyDescent="0.25">
      <c r="A480" t="s">
        <v>437</v>
      </c>
      <c r="B480" t="s">
        <v>438</v>
      </c>
      <c r="C480" s="2">
        <v>3.9</v>
      </c>
      <c r="D480" s="3">
        <v>33844</v>
      </c>
      <c r="E480" s="3">
        <v>20</v>
      </c>
      <c r="F480" s="1">
        <v>2013</v>
      </c>
      <c r="G480" t="s">
        <v>5</v>
      </c>
      <c r="H480" t="str">
        <f>TRIM(B480)</f>
        <v>Donna Tartt</v>
      </c>
      <c r="I480" t="str">
        <f t="shared" si="21"/>
        <v>Average</v>
      </c>
      <c r="J480" s="1" t="str">
        <f t="shared" si="22"/>
        <v>Expensive</v>
      </c>
      <c r="K480" s="1" t="str">
        <f t="shared" si="23"/>
        <v>High</v>
      </c>
    </row>
    <row r="481" spans="1:11" ht="13.8" x14ac:dyDescent="0.25">
      <c r="A481" t="s">
        <v>437</v>
      </c>
      <c r="B481" t="s">
        <v>438</v>
      </c>
      <c r="C481" s="2">
        <v>3.9</v>
      </c>
      <c r="D481" s="3">
        <v>33844</v>
      </c>
      <c r="E481" s="3">
        <v>20</v>
      </c>
      <c r="F481" s="1">
        <v>2014</v>
      </c>
      <c r="G481" t="s">
        <v>5</v>
      </c>
      <c r="H481" t="str">
        <f>TRIM(B481)</f>
        <v>Donna Tartt</v>
      </c>
      <c r="I481" t="str">
        <f t="shared" si="21"/>
        <v>Average</v>
      </c>
      <c r="J481" s="1" t="str">
        <f t="shared" si="22"/>
        <v>Expensive</v>
      </c>
      <c r="K481" s="1" t="str">
        <f t="shared" si="23"/>
        <v>High</v>
      </c>
    </row>
    <row r="482" spans="1:11" ht="13.8" x14ac:dyDescent="0.25">
      <c r="A482" t="s">
        <v>463</v>
      </c>
      <c r="B482" t="s">
        <v>464</v>
      </c>
      <c r="C482" s="2">
        <v>4.9000000000000004</v>
      </c>
      <c r="D482" s="3">
        <v>5396</v>
      </c>
      <c r="E482" s="3">
        <v>20</v>
      </c>
      <c r="F482" s="1">
        <v>2013</v>
      </c>
      <c r="G482" t="s">
        <v>5</v>
      </c>
      <c r="H482" t="str">
        <f>TRIM(B482)</f>
        <v>Patrick Thorpe</v>
      </c>
      <c r="I482" t="str">
        <f t="shared" si="21"/>
        <v>Excellent</v>
      </c>
      <c r="J482" s="1" t="str">
        <f t="shared" si="22"/>
        <v>Expensive</v>
      </c>
      <c r="K482" s="1" t="str">
        <f t="shared" si="23"/>
        <v>Low</v>
      </c>
    </row>
    <row r="483" spans="1:11" ht="13.8" x14ac:dyDescent="0.25">
      <c r="A483" t="s">
        <v>562</v>
      </c>
      <c r="B483" t="s">
        <v>4</v>
      </c>
      <c r="C483" s="2">
        <v>4.3</v>
      </c>
      <c r="D483" s="3">
        <v>6740</v>
      </c>
      <c r="E483" s="3">
        <v>20</v>
      </c>
      <c r="F483" s="1">
        <v>2009</v>
      </c>
      <c r="G483" t="s">
        <v>5</v>
      </c>
      <c r="H483" t="str">
        <f>TRIM(B483)</f>
        <v>Stephen King</v>
      </c>
      <c r="I483" t="str">
        <f t="shared" si="21"/>
        <v>Average</v>
      </c>
      <c r="J483" s="1" t="str">
        <f t="shared" si="22"/>
        <v>Expensive</v>
      </c>
      <c r="K483" s="1" t="str">
        <f t="shared" si="23"/>
        <v>Low</v>
      </c>
    </row>
    <row r="484" spans="1:11" ht="13.8" x14ac:dyDescent="0.25">
      <c r="A484" t="s">
        <v>58</v>
      </c>
      <c r="B484" t="s">
        <v>57</v>
      </c>
      <c r="C484" s="2">
        <v>4.7</v>
      </c>
      <c r="D484" s="3">
        <v>615</v>
      </c>
      <c r="E484" s="3">
        <v>21</v>
      </c>
      <c r="F484" s="1">
        <v>2010</v>
      </c>
      <c r="G484" t="s">
        <v>2</v>
      </c>
      <c r="H484" t="str">
        <f>TRIM(B484)</f>
        <v>Ina Garten</v>
      </c>
      <c r="I484" t="str">
        <f t="shared" si="21"/>
        <v>Excellent</v>
      </c>
      <c r="J484" s="1" t="str">
        <f t="shared" si="22"/>
        <v>Expensive</v>
      </c>
      <c r="K484" s="1" t="str">
        <f t="shared" si="23"/>
        <v>Low</v>
      </c>
    </row>
    <row r="485" spans="1:11" ht="13.8" x14ac:dyDescent="0.25">
      <c r="A485" t="s">
        <v>235</v>
      </c>
      <c r="B485" t="s">
        <v>236</v>
      </c>
      <c r="C485" s="2">
        <v>4.4000000000000004</v>
      </c>
      <c r="D485" s="3">
        <v>4571</v>
      </c>
      <c r="E485" s="3">
        <v>21</v>
      </c>
      <c r="F485" s="1">
        <v>2011</v>
      </c>
      <c r="G485" t="s">
        <v>2</v>
      </c>
      <c r="H485" t="str">
        <f>TRIM(B485)</f>
        <v>Eric Larson</v>
      </c>
      <c r="I485" t="str">
        <f t="shared" si="21"/>
        <v>Average</v>
      </c>
      <c r="J485" s="1" t="str">
        <f t="shared" si="22"/>
        <v>Expensive</v>
      </c>
      <c r="K485" s="1" t="str">
        <f t="shared" si="23"/>
        <v>Low</v>
      </c>
    </row>
    <row r="486" spans="1:11" ht="13.8" x14ac:dyDescent="0.25">
      <c r="A486" t="s">
        <v>267</v>
      </c>
      <c r="B486" t="s">
        <v>268</v>
      </c>
      <c r="C486" s="2">
        <v>4.5</v>
      </c>
      <c r="D486" s="3">
        <v>3014</v>
      </c>
      <c r="E486" s="3">
        <v>21</v>
      </c>
      <c r="F486" s="1">
        <v>2017</v>
      </c>
      <c r="G486" t="s">
        <v>2</v>
      </c>
      <c r="H486" t="str">
        <f>TRIM(B486)</f>
        <v>Walter Isaacson</v>
      </c>
      <c r="I486" t="str">
        <f t="shared" si="21"/>
        <v>Excellent</v>
      </c>
      <c r="J486" s="1" t="str">
        <f t="shared" si="22"/>
        <v>Expensive</v>
      </c>
      <c r="K486" s="1" t="str">
        <f t="shared" si="23"/>
        <v>Low</v>
      </c>
    </row>
    <row r="487" spans="1:11" ht="13.8" x14ac:dyDescent="0.25">
      <c r="A487" t="s">
        <v>375</v>
      </c>
      <c r="B487" t="s">
        <v>376</v>
      </c>
      <c r="C487" s="2">
        <v>4.3</v>
      </c>
      <c r="D487" s="3">
        <v>4587</v>
      </c>
      <c r="E487" s="3">
        <v>21</v>
      </c>
      <c r="F487" s="1">
        <v>2011</v>
      </c>
      <c r="G487" t="s">
        <v>2</v>
      </c>
      <c r="H487" t="str">
        <f>TRIM(B487)</f>
        <v>Timothy Ferriss</v>
      </c>
      <c r="I487" t="str">
        <f t="shared" si="21"/>
        <v>Average</v>
      </c>
      <c r="J487" s="1" t="str">
        <f t="shared" si="22"/>
        <v>Expensive</v>
      </c>
      <c r="K487" s="1" t="str">
        <f t="shared" si="23"/>
        <v>Low</v>
      </c>
    </row>
    <row r="488" spans="1:11" ht="13.8" x14ac:dyDescent="0.25">
      <c r="A488" t="s">
        <v>406</v>
      </c>
      <c r="B488" t="s">
        <v>407</v>
      </c>
      <c r="C488" s="2">
        <v>4.7</v>
      </c>
      <c r="D488" s="3">
        <v>4633</v>
      </c>
      <c r="E488" s="3">
        <v>21</v>
      </c>
      <c r="F488" s="1">
        <v>2011</v>
      </c>
      <c r="G488" t="s">
        <v>2</v>
      </c>
      <c r="H488" t="str">
        <f>TRIM(B488)</f>
        <v>Thomas Campbell</v>
      </c>
      <c r="I488" t="str">
        <f t="shared" si="21"/>
        <v>Excellent</v>
      </c>
      <c r="J488" s="1" t="str">
        <f t="shared" si="22"/>
        <v>Expensive</v>
      </c>
      <c r="K488" s="1" t="str">
        <f t="shared" si="23"/>
        <v>Low</v>
      </c>
    </row>
    <row r="489" spans="1:11" ht="13.8" x14ac:dyDescent="0.25">
      <c r="A489" t="s">
        <v>494</v>
      </c>
      <c r="B489" t="s">
        <v>492</v>
      </c>
      <c r="C489" s="2">
        <v>4.8</v>
      </c>
      <c r="D489" s="3">
        <v>2876</v>
      </c>
      <c r="E489" s="3">
        <v>21</v>
      </c>
      <c r="F489" s="1">
        <v>2012</v>
      </c>
      <c r="G489" t="s">
        <v>2</v>
      </c>
      <c r="H489" t="str">
        <f>TRIM(B489)</f>
        <v>Ree Drummond</v>
      </c>
      <c r="I489" t="str">
        <f t="shared" si="21"/>
        <v>Excellent</v>
      </c>
      <c r="J489" s="1" t="str">
        <f t="shared" si="22"/>
        <v>Expensive</v>
      </c>
      <c r="K489" s="1" t="str">
        <f t="shared" si="23"/>
        <v>Low</v>
      </c>
    </row>
    <row r="490" spans="1:11" ht="13.8" x14ac:dyDescent="0.25">
      <c r="A490" t="s">
        <v>500</v>
      </c>
      <c r="B490" t="s">
        <v>501</v>
      </c>
      <c r="C490" s="2">
        <v>4.5999999999999996</v>
      </c>
      <c r="D490" s="3">
        <v>10795</v>
      </c>
      <c r="E490" s="3">
        <v>21</v>
      </c>
      <c r="F490" s="1">
        <v>2012</v>
      </c>
      <c r="G490" t="s">
        <v>2</v>
      </c>
      <c r="H490" t="str">
        <f>TRIM(B490)</f>
        <v>Charles Duhigg</v>
      </c>
      <c r="I490" t="str">
        <f t="shared" si="21"/>
        <v>Excellent</v>
      </c>
      <c r="J490" s="1" t="str">
        <f t="shared" si="22"/>
        <v>Expensive</v>
      </c>
      <c r="K490" s="1" t="str">
        <f t="shared" si="23"/>
        <v>High</v>
      </c>
    </row>
    <row r="491" spans="1:11" ht="13.8" x14ac:dyDescent="0.25">
      <c r="A491" t="s">
        <v>553</v>
      </c>
      <c r="B491" t="s">
        <v>376</v>
      </c>
      <c r="C491" s="2">
        <v>4.5999999999999996</v>
      </c>
      <c r="D491" s="3">
        <v>4360</v>
      </c>
      <c r="E491" s="3">
        <v>21</v>
      </c>
      <c r="F491" s="1">
        <v>2017</v>
      </c>
      <c r="G491" t="s">
        <v>2</v>
      </c>
      <c r="H491" t="str">
        <f>TRIM(B491)</f>
        <v>Timothy Ferriss</v>
      </c>
      <c r="I491" t="str">
        <f t="shared" si="21"/>
        <v>Excellent</v>
      </c>
      <c r="J491" s="1" t="str">
        <f t="shared" si="22"/>
        <v>Expensive</v>
      </c>
      <c r="K491" s="1" t="str">
        <f t="shared" si="23"/>
        <v>Low</v>
      </c>
    </row>
    <row r="492" spans="1:11" ht="13.8" x14ac:dyDescent="0.25">
      <c r="A492" t="s">
        <v>554</v>
      </c>
      <c r="B492" t="s">
        <v>555</v>
      </c>
      <c r="C492" s="2">
        <v>4.8</v>
      </c>
      <c r="D492" s="3">
        <v>2282</v>
      </c>
      <c r="E492" s="3">
        <v>21</v>
      </c>
      <c r="F492" s="1">
        <v>2010</v>
      </c>
      <c r="G492" t="s">
        <v>5</v>
      </c>
      <c r="H492" t="str">
        <f>TRIM(B492)</f>
        <v>Robert Jordan</v>
      </c>
      <c r="I492" t="str">
        <f t="shared" si="21"/>
        <v>Excellent</v>
      </c>
      <c r="J492" s="1" t="str">
        <f t="shared" si="22"/>
        <v>Expensive</v>
      </c>
      <c r="K492" s="1" t="str">
        <f t="shared" si="23"/>
        <v>Low</v>
      </c>
    </row>
    <row r="493" spans="1:11" ht="13.8" x14ac:dyDescent="0.25">
      <c r="A493" t="s">
        <v>3</v>
      </c>
      <c r="B493" t="s">
        <v>4</v>
      </c>
      <c r="C493" s="2">
        <v>4.5999999999999996</v>
      </c>
      <c r="D493" s="3">
        <v>2052</v>
      </c>
      <c r="E493" s="3">
        <v>22</v>
      </c>
      <c r="F493" s="1">
        <v>2011</v>
      </c>
      <c r="G493" t="s">
        <v>5</v>
      </c>
      <c r="H493" t="str">
        <f>TRIM(B493)</f>
        <v>Stephen King</v>
      </c>
      <c r="I493" t="str">
        <f t="shared" si="21"/>
        <v>Excellent</v>
      </c>
      <c r="J493" s="1" t="str">
        <f t="shared" si="22"/>
        <v>Expensive</v>
      </c>
      <c r="K493" s="1" t="str">
        <f t="shared" si="23"/>
        <v>Low</v>
      </c>
    </row>
    <row r="494" spans="1:11" ht="13.8" x14ac:dyDescent="0.25">
      <c r="A494" t="s">
        <v>111</v>
      </c>
      <c r="B494" t="s">
        <v>73</v>
      </c>
      <c r="C494" s="2">
        <v>4.8</v>
      </c>
      <c r="D494" s="3">
        <v>6540</v>
      </c>
      <c r="E494" s="3">
        <v>22</v>
      </c>
      <c r="F494" s="1">
        <v>2014</v>
      </c>
      <c r="G494" t="s">
        <v>5</v>
      </c>
      <c r="H494" t="str">
        <f>TRIM(B494)</f>
        <v>Jeff Kinney</v>
      </c>
      <c r="I494" t="str">
        <f t="shared" si="21"/>
        <v>Excellent</v>
      </c>
      <c r="J494" s="1" t="str">
        <f t="shared" si="22"/>
        <v>Expensive</v>
      </c>
      <c r="K494" s="1" t="str">
        <f t="shared" si="23"/>
        <v>Low</v>
      </c>
    </row>
    <row r="495" spans="1:11" ht="13.8" x14ac:dyDescent="0.25">
      <c r="A495" t="s">
        <v>206</v>
      </c>
      <c r="B495" t="s">
        <v>146</v>
      </c>
      <c r="C495" s="2">
        <v>4.9000000000000004</v>
      </c>
      <c r="D495" s="3">
        <v>10052</v>
      </c>
      <c r="E495" s="3">
        <v>22</v>
      </c>
      <c r="F495" s="1">
        <v>2016</v>
      </c>
      <c r="G495" t="s">
        <v>5</v>
      </c>
      <c r="H495" t="str">
        <f>TRIM(B495)</f>
        <v>J.K. Rowling</v>
      </c>
      <c r="I495" t="str">
        <f t="shared" si="21"/>
        <v>Excellent</v>
      </c>
      <c r="J495" s="1" t="str">
        <f t="shared" si="22"/>
        <v>Expensive</v>
      </c>
      <c r="K495" s="1" t="str">
        <f t="shared" si="23"/>
        <v>High</v>
      </c>
    </row>
    <row r="496" spans="1:11" ht="13.8" x14ac:dyDescent="0.25">
      <c r="A496" t="s">
        <v>216</v>
      </c>
      <c r="B496" t="s">
        <v>217</v>
      </c>
      <c r="C496" s="2">
        <v>4.8</v>
      </c>
      <c r="D496" s="3">
        <v>3776</v>
      </c>
      <c r="E496" s="3">
        <v>22</v>
      </c>
      <c r="F496" s="1">
        <v>2018</v>
      </c>
      <c r="G496" t="s">
        <v>2</v>
      </c>
      <c r="H496" t="str">
        <f>TRIM(B496)</f>
        <v>Joanna Gaines</v>
      </c>
      <c r="I496" t="str">
        <f t="shared" si="21"/>
        <v>Excellent</v>
      </c>
      <c r="J496" s="1" t="str">
        <f t="shared" si="22"/>
        <v>Expensive</v>
      </c>
      <c r="K496" s="1" t="str">
        <f t="shared" si="23"/>
        <v>Low</v>
      </c>
    </row>
    <row r="497" spans="1:11" ht="13.8" x14ac:dyDescent="0.25">
      <c r="A497" t="s">
        <v>309</v>
      </c>
      <c r="B497" t="s">
        <v>310</v>
      </c>
      <c r="C497" s="2">
        <v>4.9000000000000004</v>
      </c>
      <c r="D497" s="3">
        <v>3192</v>
      </c>
      <c r="E497" s="3">
        <v>22</v>
      </c>
      <c r="F497" s="1">
        <v>2017</v>
      </c>
      <c r="G497" t="s">
        <v>2</v>
      </c>
      <c r="H497" t="str">
        <f>TRIM(B497)</f>
        <v>Pete Souza</v>
      </c>
      <c r="I497" t="str">
        <f t="shared" si="21"/>
        <v>Excellent</v>
      </c>
      <c r="J497" s="1" t="str">
        <f t="shared" si="22"/>
        <v>Expensive</v>
      </c>
      <c r="K497" s="1" t="str">
        <f t="shared" si="23"/>
        <v>Low</v>
      </c>
    </row>
    <row r="498" spans="1:11" ht="13.8" x14ac:dyDescent="0.25">
      <c r="A498" t="s">
        <v>373</v>
      </c>
      <c r="B498" t="s">
        <v>374</v>
      </c>
      <c r="C498" s="2">
        <v>4.3</v>
      </c>
      <c r="D498" s="3">
        <v>2314</v>
      </c>
      <c r="E498" s="3">
        <v>22</v>
      </c>
      <c r="F498" s="1">
        <v>2011</v>
      </c>
      <c r="G498" t="s">
        <v>2</v>
      </c>
      <c r="H498" t="str">
        <f>TRIM(B498)</f>
        <v>Mike Moreno</v>
      </c>
      <c r="I498" t="str">
        <f t="shared" si="21"/>
        <v>Average</v>
      </c>
      <c r="J498" s="1" t="str">
        <f t="shared" si="22"/>
        <v>Expensive</v>
      </c>
      <c r="K498" s="1" t="str">
        <f t="shared" si="23"/>
        <v>Low</v>
      </c>
    </row>
    <row r="499" spans="1:11" ht="13.8" x14ac:dyDescent="0.25">
      <c r="A499" t="s">
        <v>544</v>
      </c>
      <c r="B499" t="s">
        <v>545</v>
      </c>
      <c r="C499" s="2">
        <v>4.5</v>
      </c>
      <c r="D499" s="3">
        <v>1904</v>
      </c>
      <c r="E499" s="3">
        <v>23</v>
      </c>
      <c r="F499" s="1">
        <v>2012</v>
      </c>
      <c r="G499" t="s">
        <v>2</v>
      </c>
      <c r="H499" t="str">
        <f>TRIM(B499)</f>
        <v>Jon Meacham</v>
      </c>
      <c r="I499" t="str">
        <f t="shared" si="21"/>
        <v>Excellent</v>
      </c>
      <c r="J499" s="1" t="str">
        <f t="shared" si="22"/>
        <v>Expensive</v>
      </c>
      <c r="K499" s="1" t="str">
        <f t="shared" si="23"/>
        <v>Low</v>
      </c>
    </row>
    <row r="500" spans="1:11" ht="13.8" x14ac:dyDescent="0.25">
      <c r="A500" t="s">
        <v>548</v>
      </c>
      <c r="B500" t="s">
        <v>549</v>
      </c>
      <c r="C500" s="2">
        <v>4.5999999999999996</v>
      </c>
      <c r="D500" s="3">
        <v>11128</v>
      </c>
      <c r="E500" s="3">
        <v>23</v>
      </c>
      <c r="F500" s="1">
        <v>2014</v>
      </c>
      <c r="G500" t="s">
        <v>2</v>
      </c>
      <c r="H500" t="str">
        <f>TRIM(B500)</f>
        <v>Thug Kitchen</v>
      </c>
      <c r="I500" t="str">
        <f t="shared" si="21"/>
        <v>Excellent</v>
      </c>
      <c r="J500" s="1" t="str">
        <f t="shared" si="22"/>
        <v>Expensive</v>
      </c>
      <c r="K500" s="1" t="str">
        <f t="shared" si="23"/>
        <v>High</v>
      </c>
    </row>
    <row r="501" spans="1:11" ht="13.8" x14ac:dyDescent="0.25">
      <c r="A501" t="s">
        <v>548</v>
      </c>
      <c r="B501" t="s">
        <v>549</v>
      </c>
      <c r="C501" s="2">
        <v>4.5999999999999996</v>
      </c>
      <c r="D501" s="3">
        <v>11128</v>
      </c>
      <c r="E501" s="3">
        <v>23</v>
      </c>
      <c r="F501" s="1">
        <v>2015</v>
      </c>
      <c r="G501" t="s">
        <v>2</v>
      </c>
      <c r="H501" t="str">
        <f>TRIM(B501)</f>
        <v>Thug Kitchen</v>
      </c>
      <c r="I501" t="str">
        <f t="shared" si="21"/>
        <v>Excellent</v>
      </c>
      <c r="J501" s="1" t="str">
        <f t="shared" si="22"/>
        <v>Expensive</v>
      </c>
      <c r="K501" s="1" t="str">
        <f t="shared" si="23"/>
        <v>High</v>
      </c>
    </row>
    <row r="502" spans="1:11" ht="13.8" x14ac:dyDescent="0.25">
      <c r="A502" t="s">
        <v>548</v>
      </c>
      <c r="B502" t="s">
        <v>549</v>
      </c>
      <c r="C502" s="2">
        <v>4.5999999999999996</v>
      </c>
      <c r="D502" s="3">
        <v>11128</v>
      </c>
      <c r="E502" s="3">
        <v>23</v>
      </c>
      <c r="F502" s="1">
        <v>2016</v>
      </c>
      <c r="G502" t="s">
        <v>2</v>
      </c>
      <c r="H502" t="str">
        <f>TRIM(B502)</f>
        <v>Thug Kitchen</v>
      </c>
      <c r="I502" t="str">
        <f t="shared" si="21"/>
        <v>Excellent</v>
      </c>
      <c r="J502" s="1" t="str">
        <f t="shared" si="22"/>
        <v>Expensive</v>
      </c>
      <c r="K502" s="1" t="str">
        <f t="shared" si="23"/>
        <v>High</v>
      </c>
    </row>
    <row r="503" spans="1:11" ht="13.8" x14ac:dyDescent="0.25">
      <c r="A503" t="s">
        <v>548</v>
      </c>
      <c r="B503" t="s">
        <v>549</v>
      </c>
      <c r="C503" s="2">
        <v>4.5999999999999996</v>
      </c>
      <c r="D503" s="3">
        <v>11128</v>
      </c>
      <c r="E503" s="3">
        <v>23</v>
      </c>
      <c r="F503" s="1">
        <v>2017</v>
      </c>
      <c r="G503" t="s">
        <v>2</v>
      </c>
      <c r="H503" t="str">
        <f>TRIM(B503)</f>
        <v>Thug Kitchen</v>
      </c>
      <c r="I503" t="str">
        <f t="shared" si="21"/>
        <v>Excellent</v>
      </c>
      <c r="J503" s="1" t="str">
        <f t="shared" si="22"/>
        <v>Expensive</v>
      </c>
      <c r="K503" s="1" t="str">
        <f t="shared" si="23"/>
        <v>High</v>
      </c>
    </row>
    <row r="504" spans="1:11" ht="13.8" x14ac:dyDescent="0.25">
      <c r="A504" t="s">
        <v>56</v>
      </c>
      <c r="B504" t="s">
        <v>57</v>
      </c>
      <c r="C504" s="2">
        <v>4.8</v>
      </c>
      <c r="D504" s="3">
        <v>1296</v>
      </c>
      <c r="E504" s="3">
        <v>24</v>
      </c>
      <c r="F504" s="1">
        <v>2012</v>
      </c>
      <c r="G504" t="s">
        <v>2</v>
      </c>
      <c r="H504" t="str">
        <f>TRIM(B504)</f>
        <v>Ina Garten</v>
      </c>
      <c r="I504" t="str">
        <f t="shared" si="21"/>
        <v>Excellent</v>
      </c>
      <c r="J504" s="1" t="str">
        <f t="shared" si="22"/>
        <v>Expensive</v>
      </c>
      <c r="K504" s="1" t="str">
        <f t="shared" si="23"/>
        <v>Low</v>
      </c>
    </row>
    <row r="505" spans="1:11" ht="13.8" x14ac:dyDescent="0.25">
      <c r="A505" t="s">
        <v>382</v>
      </c>
      <c r="B505" t="s">
        <v>383</v>
      </c>
      <c r="C505" s="2">
        <v>4.5999999999999996</v>
      </c>
      <c r="D505" s="3">
        <v>9325</v>
      </c>
      <c r="E505" s="3">
        <v>24</v>
      </c>
      <c r="F505" s="1">
        <v>2009</v>
      </c>
      <c r="G505" t="s">
        <v>2</v>
      </c>
      <c r="H505" t="str">
        <f>TRIM(B505)</f>
        <v>Stephen R. Covey</v>
      </c>
      <c r="I505" t="str">
        <f t="shared" si="21"/>
        <v>Excellent</v>
      </c>
      <c r="J505" s="1" t="str">
        <f t="shared" si="22"/>
        <v>Expensive</v>
      </c>
      <c r="K505" s="1" t="str">
        <f t="shared" si="23"/>
        <v>Low</v>
      </c>
    </row>
    <row r="506" spans="1:11" ht="13.8" x14ac:dyDescent="0.25">
      <c r="A506" t="s">
        <v>382</v>
      </c>
      <c r="B506" t="s">
        <v>383</v>
      </c>
      <c r="C506" s="2">
        <v>4.5999999999999996</v>
      </c>
      <c r="D506" s="3">
        <v>9325</v>
      </c>
      <c r="E506" s="3">
        <v>24</v>
      </c>
      <c r="F506" s="1">
        <v>2011</v>
      </c>
      <c r="G506" t="s">
        <v>2</v>
      </c>
      <c r="H506" t="str">
        <f>TRIM(B506)</f>
        <v>Stephen R. Covey</v>
      </c>
      <c r="I506" t="str">
        <f t="shared" si="21"/>
        <v>Excellent</v>
      </c>
      <c r="J506" s="1" t="str">
        <f t="shared" si="22"/>
        <v>Expensive</v>
      </c>
      <c r="K506" s="1" t="str">
        <f t="shared" si="23"/>
        <v>Low</v>
      </c>
    </row>
    <row r="507" spans="1:11" ht="13.8" x14ac:dyDescent="0.25">
      <c r="A507" t="s">
        <v>382</v>
      </c>
      <c r="B507" t="s">
        <v>383</v>
      </c>
      <c r="C507" s="2">
        <v>4.5999999999999996</v>
      </c>
      <c r="D507" s="3">
        <v>9325</v>
      </c>
      <c r="E507" s="3">
        <v>24</v>
      </c>
      <c r="F507" s="1">
        <v>2012</v>
      </c>
      <c r="G507" t="s">
        <v>2</v>
      </c>
      <c r="H507" t="str">
        <f>TRIM(B507)</f>
        <v>Stephen R. Covey</v>
      </c>
      <c r="I507" t="str">
        <f t="shared" si="21"/>
        <v>Excellent</v>
      </c>
      <c r="J507" s="1" t="str">
        <f t="shared" si="22"/>
        <v>Expensive</v>
      </c>
      <c r="K507" s="1" t="str">
        <f t="shared" si="23"/>
        <v>Low</v>
      </c>
    </row>
    <row r="508" spans="1:11" ht="13.8" x14ac:dyDescent="0.25">
      <c r="A508" t="s">
        <v>382</v>
      </c>
      <c r="B508" t="s">
        <v>383</v>
      </c>
      <c r="C508" s="2">
        <v>4.5999999999999996</v>
      </c>
      <c r="D508" s="3">
        <v>9325</v>
      </c>
      <c r="E508" s="3">
        <v>24</v>
      </c>
      <c r="F508" s="1">
        <v>2013</v>
      </c>
      <c r="G508" t="s">
        <v>2</v>
      </c>
      <c r="H508" t="str">
        <f>TRIM(B508)</f>
        <v>Stephen R. Covey</v>
      </c>
      <c r="I508" t="str">
        <f t="shared" si="21"/>
        <v>Excellent</v>
      </c>
      <c r="J508" s="1" t="str">
        <f t="shared" si="22"/>
        <v>Expensive</v>
      </c>
      <c r="K508" s="1" t="str">
        <f t="shared" si="23"/>
        <v>Low</v>
      </c>
    </row>
    <row r="509" spans="1:11" ht="13.8" x14ac:dyDescent="0.25">
      <c r="A509" t="s">
        <v>253</v>
      </c>
      <c r="B509" t="s">
        <v>252</v>
      </c>
      <c r="C509" s="2">
        <v>4.5999999999999996</v>
      </c>
      <c r="D509" s="3">
        <v>8634</v>
      </c>
      <c r="E509" s="3">
        <v>25</v>
      </c>
      <c r="F509" s="1">
        <v>2012</v>
      </c>
      <c r="G509" t="s">
        <v>2</v>
      </c>
      <c r="H509" t="str">
        <f>TRIM(B509)</f>
        <v>Bill O'Reilly</v>
      </c>
      <c r="I509" t="str">
        <f t="shared" si="21"/>
        <v>Excellent</v>
      </c>
      <c r="J509" s="1" t="str">
        <f t="shared" si="22"/>
        <v>Expensive</v>
      </c>
      <c r="K509" s="1" t="str">
        <f t="shared" si="23"/>
        <v>Low</v>
      </c>
    </row>
    <row r="510" spans="1:11" ht="13.8" x14ac:dyDescent="0.25">
      <c r="A510" t="s">
        <v>358</v>
      </c>
      <c r="B510" t="s">
        <v>98</v>
      </c>
      <c r="C510" s="2">
        <v>4.7</v>
      </c>
      <c r="D510" s="3">
        <v>973</v>
      </c>
      <c r="E510" s="3">
        <v>25</v>
      </c>
      <c r="F510" s="1">
        <v>2009</v>
      </c>
      <c r="G510" t="s">
        <v>5</v>
      </c>
      <c r="H510" t="str">
        <f>TRIM(B510)</f>
        <v>Charlaine Harris</v>
      </c>
      <c r="I510" t="str">
        <f t="shared" si="21"/>
        <v>Excellent</v>
      </c>
      <c r="J510" s="1" t="str">
        <f t="shared" si="22"/>
        <v>Expensive</v>
      </c>
      <c r="K510" s="1" t="str">
        <f t="shared" si="23"/>
        <v>Low</v>
      </c>
    </row>
    <row r="511" spans="1:11" ht="13.8" x14ac:dyDescent="0.25">
      <c r="A511" t="s">
        <v>291</v>
      </c>
      <c r="B511" t="s">
        <v>292</v>
      </c>
      <c r="C511" s="2">
        <v>4.8</v>
      </c>
      <c r="D511" s="3">
        <v>2926</v>
      </c>
      <c r="E511" s="3">
        <v>27</v>
      </c>
      <c r="F511" s="1">
        <v>2009</v>
      </c>
      <c r="G511" t="s">
        <v>2</v>
      </c>
      <c r="H511" t="str">
        <f>TRIM(B511)</f>
        <v>Julia Child</v>
      </c>
      <c r="I511" t="str">
        <f t="shared" si="21"/>
        <v>Excellent</v>
      </c>
      <c r="J511" s="1" t="str">
        <f t="shared" si="22"/>
        <v>Expensive</v>
      </c>
      <c r="K511" s="1" t="str">
        <f t="shared" si="23"/>
        <v>Low</v>
      </c>
    </row>
    <row r="512" spans="1:11" ht="13.8" x14ac:dyDescent="0.25">
      <c r="A512" t="s">
        <v>327</v>
      </c>
      <c r="B512" t="s">
        <v>328</v>
      </c>
      <c r="C512" s="2">
        <v>4.8</v>
      </c>
      <c r="D512" s="3">
        <v>16990</v>
      </c>
      <c r="E512" s="3">
        <v>27</v>
      </c>
      <c r="F512" s="1">
        <v>2017</v>
      </c>
      <c r="G512" t="s">
        <v>5</v>
      </c>
      <c r="H512" t="str">
        <f>TRIM(B512)</f>
        <v>Wizards RPG Team</v>
      </c>
      <c r="I512" t="str">
        <f t="shared" si="21"/>
        <v>Excellent</v>
      </c>
      <c r="J512" s="1" t="str">
        <f t="shared" si="22"/>
        <v>Expensive</v>
      </c>
      <c r="K512" s="1" t="str">
        <f t="shared" si="23"/>
        <v>High</v>
      </c>
    </row>
    <row r="513" spans="1:11" ht="13.8" x14ac:dyDescent="0.25">
      <c r="A513" t="s">
        <v>327</v>
      </c>
      <c r="B513" t="s">
        <v>328</v>
      </c>
      <c r="C513" s="2">
        <v>4.8</v>
      </c>
      <c r="D513" s="3">
        <v>16990</v>
      </c>
      <c r="E513" s="3">
        <v>27</v>
      </c>
      <c r="F513" s="1">
        <v>2018</v>
      </c>
      <c r="G513" t="s">
        <v>5</v>
      </c>
      <c r="H513" t="str">
        <f>TRIM(B513)</f>
        <v>Wizards RPG Team</v>
      </c>
      <c r="I513" t="str">
        <f t="shared" si="21"/>
        <v>Excellent</v>
      </c>
      <c r="J513" s="1" t="str">
        <f t="shared" si="22"/>
        <v>Expensive</v>
      </c>
      <c r="K513" s="1" t="str">
        <f t="shared" si="23"/>
        <v>High</v>
      </c>
    </row>
    <row r="514" spans="1:11" ht="13.8" x14ac:dyDescent="0.25">
      <c r="A514" t="s">
        <v>327</v>
      </c>
      <c r="B514" t="s">
        <v>328</v>
      </c>
      <c r="C514" s="2">
        <v>4.8</v>
      </c>
      <c r="D514" s="3">
        <v>16990</v>
      </c>
      <c r="E514" s="3">
        <v>27</v>
      </c>
      <c r="F514" s="1">
        <v>2019</v>
      </c>
      <c r="G514" t="s">
        <v>5</v>
      </c>
      <c r="H514" t="str">
        <f>TRIM(B514)</f>
        <v>Wizards RPG Team</v>
      </c>
      <c r="I514" t="str">
        <f t="shared" ref="I514:I551" si="24">IF(C514&gt;=4.5,"Excellent","Average")</f>
        <v>Excellent</v>
      </c>
      <c r="J514" s="1" t="str">
        <f t="shared" ref="J514:J551" si="25">IF(E514&gt;=15,"Expensive","Affordable")</f>
        <v>Expensive</v>
      </c>
      <c r="K514" s="1" t="str">
        <f t="shared" ref="K514:K551" si="26">IF(D514&gt;=10000,"High","Low")</f>
        <v>High</v>
      </c>
    </row>
    <row r="515" spans="1:11" ht="13.8" x14ac:dyDescent="0.25">
      <c r="A515" t="s">
        <v>78</v>
      </c>
      <c r="B515" t="s">
        <v>79</v>
      </c>
      <c r="C515" s="2">
        <v>4.5</v>
      </c>
      <c r="D515" s="3">
        <v>2884</v>
      </c>
      <c r="E515" s="3">
        <v>28</v>
      </c>
      <c r="F515" s="1">
        <v>2014</v>
      </c>
      <c r="G515" t="s">
        <v>2</v>
      </c>
      <c r="H515" t="str">
        <f>TRIM(B515)</f>
        <v>Thomas Piketty</v>
      </c>
      <c r="I515" t="str">
        <f t="shared" si="24"/>
        <v>Excellent</v>
      </c>
      <c r="J515" s="1" t="str">
        <f t="shared" si="25"/>
        <v>Expensive</v>
      </c>
      <c r="K515" s="1" t="str">
        <f t="shared" si="26"/>
        <v>Low</v>
      </c>
    </row>
    <row r="516" spans="1:11" ht="13.8" x14ac:dyDescent="0.25">
      <c r="A516" t="s">
        <v>377</v>
      </c>
      <c r="B516" t="s">
        <v>378</v>
      </c>
      <c r="C516" s="2">
        <v>4.7</v>
      </c>
      <c r="D516" s="3">
        <v>3477</v>
      </c>
      <c r="E516" s="3">
        <v>28</v>
      </c>
      <c r="F516" s="1">
        <v>2010</v>
      </c>
      <c r="G516" t="s">
        <v>2</v>
      </c>
      <c r="H516" t="str">
        <f>TRIM(B516)</f>
        <v>Gary Chapman</v>
      </c>
      <c r="I516" t="str">
        <f t="shared" si="24"/>
        <v>Excellent</v>
      </c>
      <c r="J516" s="1" t="str">
        <f t="shared" si="25"/>
        <v>Expensive</v>
      </c>
      <c r="K516" s="1" t="str">
        <f t="shared" si="26"/>
        <v>Low</v>
      </c>
    </row>
    <row r="517" spans="1:11" ht="13.8" x14ac:dyDescent="0.25">
      <c r="A517" t="s">
        <v>377</v>
      </c>
      <c r="B517" t="s">
        <v>378</v>
      </c>
      <c r="C517" s="2">
        <v>4.7</v>
      </c>
      <c r="D517" s="3">
        <v>3477</v>
      </c>
      <c r="E517" s="3">
        <v>28</v>
      </c>
      <c r="F517" s="1">
        <v>2011</v>
      </c>
      <c r="G517" t="s">
        <v>2</v>
      </c>
      <c r="H517" t="str">
        <f>TRIM(B517)</f>
        <v>Gary Chapman</v>
      </c>
      <c r="I517" t="str">
        <f t="shared" si="24"/>
        <v>Excellent</v>
      </c>
      <c r="J517" s="1" t="str">
        <f t="shared" si="25"/>
        <v>Expensive</v>
      </c>
      <c r="K517" s="1" t="str">
        <f t="shared" si="26"/>
        <v>Low</v>
      </c>
    </row>
    <row r="518" spans="1:11" ht="13.8" x14ac:dyDescent="0.25">
      <c r="A518" t="s">
        <v>377</v>
      </c>
      <c r="B518" t="s">
        <v>378</v>
      </c>
      <c r="C518" s="2">
        <v>4.7</v>
      </c>
      <c r="D518" s="3">
        <v>3477</v>
      </c>
      <c r="E518" s="3">
        <v>28</v>
      </c>
      <c r="F518" s="1">
        <v>2012</v>
      </c>
      <c r="G518" t="s">
        <v>2</v>
      </c>
      <c r="H518" t="str">
        <f>TRIM(B518)</f>
        <v>Gary Chapman</v>
      </c>
      <c r="I518" t="str">
        <f t="shared" si="24"/>
        <v>Excellent</v>
      </c>
      <c r="J518" s="1" t="str">
        <f t="shared" si="25"/>
        <v>Expensive</v>
      </c>
      <c r="K518" s="1" t="str">
        <f t="shared" si="26"/>
        <v>Low</v>
      </c>
    </row>
    <row r="519" spans="1:11" ht="13.8" x14ac:dyDescent="0.25">
      <c r="A519" t="s">
        <v>377</v>
      </c>
      <c r="B519" t="s">
        <v>378</v>
      </c>
      <c r="C519" s="2">
        <v>4.7</v>
      </c>
      <c r="D519" s="3">
        <v>3477</v>
      </c>
      <c r="E519" s="3">
        <v>28</v>
      </c>
      <c r="F519" s="1">
        <v>2013</v>
      </c>
      <c r="G519" t="s">
        <v>2</v>
      </c>
      <c r="H519" t="str">
        <f>TRIM(B519)</f>
        <v>Gary Chapman</v>
      </c>
      <c r="I519" t="str">
        <f t="shared" si="24"/>
        <v>Excellent</v>
      </c>
      <c r="J519" s="1" t="str">
        <f t="shared" si="25"/>
        <v>Expensive</v>
      </c>
      <c r="K519" s="1" t="str">
        <f t="shared" si="26"/>
        <v>Low</v>
      </c>
    </row>
    <row r="520" spans="1:11" ht="13.8" x14ac:dyDescent="0.25">
      <c r="A520" t="s">
        <v>377</v>
      </c>
      <c r="B520" t="s">
        <v>378</v>
      </c>
      <c r="C520" s="2">
        <v>4.7</v>
      </c>
      <c r="D520" s="3">
        <v>3477</v>
      </c>
      <c r="E520" s="3">
        <v>28</v>
      </c>
      <c r="F520" s="1">
        <v>2014</v>
      </c>
      <c r="G520" t="s">
        <v>2</v>
      </c>
      <c r="H520" t="str">
        <f>TRIM(B520)</f>
        <v>Gary Chapman</v>
      </c>
      <c r="I520" t="str">
        <f t="shared" si="24"/>
        <v>Excellent</v>
      </c>
      <c r="J520" s="1" t="str">
        <f t="shared" si="25"/>
        <v>Expensive</v>
      </c>
      <c r="K520" s="1" t="str">
        <f t="shared" si="26"/>
        <v>Low</v>
      </c>
    </row>
    <row r="521" spans="1:11" ht="13.8" x14ac:dyDescent="0.25">
      <c r="A521" t="s">
        <v>14</v>
      </c>
      <c r="B521" t="s">
        <v>13</v>
      </c>
      <c r="C521" s="2">
        <v>4.7</v>
      </c>
      <c r="D521" s="3">
        <v>19735</v>
      </c>
      <c r="E521" s="3">
        <v>30</v>
      </c>
      <c r="F521" s="1">
        <v>2014</v>
      </c>
      <c r="G521" t="s">
        <v>5</v>
      </c>
      <c r="H521" t="str">
        <f>TRIM(B521)</f>
        <v>George R. R. Martin</v>
      </c>
      <c r="I521" t="str">
        <f t="shared" si="24"/>
        <v>Excellent</v>
      </c>
      <c r="J521" s="1" t="str">
        <f t="shared" si="25"/>
        <v>Expensive</v>
      </c>
      <c r="K521" s="1" t="str">
        <f t="shared" si="26"/>
        <v>High</v>
      </c>
    </row>
    <row r="522" spans="1:11" ht="13.8" x14ac:dyDescent="0.25">
      <c r="A522" t="s">
        <v>201</v>
      </c>
      <c r="B522" t="s">
        <v>146</v>
      </c>
      <c r="C522" s="2">
        <v>4.9000000000000004</v>
      </c>
      <c r="D522" s="3">
        <v>19622</v>
      </c>
      <c r="E522" s="3">
        <v>30</v>
      </c>
      <c r="F522" s="1">
        <v>2016</v>
      </c>
      <c r="G522" t="s">
        <v>5</v>
      </c>
      <c r="H522" t="str">
        <f>TRIM(B522)</f>
        <v>J.K. Rowling</v>
      </c>
      <c r="I522" t="str">
        <f t="shared" si="24"/>
        <v>Excellent</v>
      </c>
      <c r="J522" s="1" t="str">
        <f t="shared" si="25"/>
        <v>Expensive</v>
      </c>
      <c r="K522" s="1" t="str">
        <f t="shared" si="26"/>
        <v>High</v>
      </c>
    </row>
    <row r="523" spans="1:11" ht="13.8" x14ac:dyDescent="0.25">
      <c r="A523" t="s">
        <v>205</v>
      </c>
      <c r="B523" t="s">
        <v>146</v>
      </c>
      <c r="C523" s="2">
        <v>4.9000000000000004</v>
      </c>
      <c r="D523" s="3">
        <v>3146</v>
      </c>
      <c r="E523" s="3">
        <v>30</v>
      </c>
      <c r="F523" s="1">
        <v>2017</v>
      </c>
      <c r="G523" t="s">
        <v>5</v>
      </c>
      <c r="H523" t="str">
        <f>TRIM(B523)</f>
        <v>J.K. Rowling</v>
      </c>
      <c r="I523" t="str">
        <f t="shared" si="24"/>
        <v>Excellent</v>
      </c>
      <c r="J523" s="1" t="str">
        <f t="shared" si="25"/>
        <v>Expensive</v>
      </c>
      <c r="K523" s="1" t="str">
        <f t="shared" si="26"/>
        <v>Low</v>
      </c>
    </row>
    <row r="524" spans="1:11" ht="13.8" x14ac:dyDescent="0.25">
      <c r="A524" t="s">
        <v>455</v>
      </c>
      <c r="B524" t="s">
        <v>81</v>
      </c>
      <c r="C524" s="2">
        <v>4.8</v>
      </c>
      <c r="D524" s="3">
        <v>16949</v>
      </c>
      <c r="E524" s="3">
        <v>30</v>
      </c>
      <c r="F524" s="1">
        <v>2011</v>
      </c>
      <c r="G524" t="s">
        <v>5</v>
      </c>
      <c r="H524" t="str">
        <f>TRIM(B524)</f>
        <v>Suzanne Collins</v>
      </c>
      <c r="I524" t="str">
        <f t="shared" si="24"/>
        <v>Excellent</v>
      </c>
      <c r="J524" s="1" t="str">
        <f t="shared" si="25"/>
        <v>Expensive</v>
      </c>
      <c r="K524" s="1" t="str">
        <f t="shared" si="26"/>
        <v>High</v>
      </c>
    </row>
    <row r="525" spans="1:11" ht="13.8" x14ac:dyDescent="0.25">
      <c r="A525" t="s">
        <v>455</v>
      </c>
      <c r="B525" t="s">
        <v>81</v>
      </c>
      <c r="C525" s="2">
        <v>4.8</v>
      </c>
      <c r="D525" s="3">
        <v>16949</v>
      </c>
      <c r="E525" s="3">
        <v>30</v>
      </c>
      <c r="F525" s="1">
        <v>2012</v>
      </c>
      <c r="G525" t="s">
        <v>5</v>
      </c>
      <c r="H525" t="str">
        <f>TRIM(B525)</f>
        <v>Suzanne Collins</v>
      </c>
      <c r="I525" t="str">
        <f t="shared" si="24"/>
        <v>Excellent</v>
      </c>
      <c r="J525" s="1" t="str">
        <f t="shared" si="25"/>
        <v>Expensive</v>
      </c>
      <c r="K525" s="1" t="str">
        <f t="shared" si="26"/>
        <v>High</v>
      </c>
    </row>
    <row r="526" spans="1:11" ht="13.8" x14ac:dyDescent="0.25">
      <c r="A526" t="s">
        <v>23</v>
      </c>
      <c r="B526" t="s">
        <v>24</v>
      </c>
      <c r="C526" s="2">
        <v>4.5999999999999996</v>
      </c>
      <c r="D526" s="3">
        <v>4149</v>
      </c>
      <c r="E526" s="3">
        <v>32</v>
      </c>
      <c r="F526" s="1">
        <v>2011</v>
      </c>
      <c r="G526" t="s">
        <v>2</v>
      </c>
      <c r="H526" t="str">
        <f>TRIM(B526)</f>
        <v>Jaycee Dugard</v>
      </c>
      <c r="I526" t="str">
        <f t="shared" si="24"/>
        <v>Excellent</v>
      </c>
      <c r="J526" s="1" t="str">
        <f t="shared" si="25"/>
        <v>Expensive</v>
      </c>
      <c r="K526" s="1" t="str">
        <f t="shared" si="26"/>
        <v>Low</v>
      </c>
    </row>
    <row r="527" spans="1:11" ht="13.8" x14ac:dyDescent="0.25">
      <c r="A527" t="s">
        <v>153</v>
      </c>
      <c r="B527" t="s">
        <v>150</v>
      </c>
      <c r="C527" s="2">
        <v>4.5</v>
      </c>
      <c r="D527" s="3">
        <v>13964</v>
      </c>
      <c r="E527" s="3">
        <v>32</v>
      </c>
      <c r="F527" s="1">
        <v>2012</v>
      </c>
      <c r="G527" t="s">
        <v>5</v>
      </c>
      <c r="H527" t="str">
        <f>TRIM(B527)</f>
        <v>E L James</v>
      </c>
      <c r="I527" t="str">
        <f t="shared" si="24"/>
        <v>Excellent</v>
      </c>
      <c r="J527" s="1" t="str">
        <f t="shared" si="25"/>
        <v>Expensive</v>
      </c>
      <c r="K527" s="1" t="str">
        <f t="shared" si="26"/>
        <v>High</v>
      </c>
    </row>
    <row r="528" spans="1:11" ht="13.8" x14ac:dyDescent="0.25">
      <c r="A528" t="s">
        <v>488</v>
      </c>
      <c r="B528" t="s">
        <v>487</v>
      </c>
      <c r="C528" s="2">
        <v>4.3</v>
      </c>
      <c r="D528" s="3">
        <v>807</v>
      </c>
      <c r="E528" s="3">
        <v>36</v>
      </c>
      <c r="F528" s="1">
        <v>2016</v>
      </c>
      <c r="G528" t="s">
        <v>2</v>
      </c>
      <c r="H528" t="str">
        <f>TRIM(B528)</f>
        <v>The College Board</v>
      </c>
      <c r="I528" t="str">
        <f t="shared" si="24"/>
        <v>Average</v>
      </c>
      <c r="J528" s="1" t="str">
        <f t="shared" si="25"/>
        <v>Expensive</v>
      </c>
      <c r="K528" s="1" t="str">
        <f t="shared" si="26"/>
        <v>Low</v>
      </c>
    </row>
    <row r="529" spans="1:11" ht="13.8" x14ac:dyDescent="0.25">
      <c r="A529" t="s">
        <v>384</v>
      </c>
      <c r="B529" t="s">
        <v>385</v>
      </c>
      <c r="C529" s="2">
        <v>4.7</v>
      </c>
      <c r="D529" s="3">
        <v>35799</v>
      </c>
      <c r="E529" s="3">
        <v>39</v>
      </c>
      <c r="F529" s="1">
        <v>2014</v>
      </c>
      <c r="G529" t="s">
        <v>5</v>
      </c>
      <c r="H529" t="str">
        <f>TRIM(B529)</f>
        <v>Paulo Coelho</v>
      </c>
      <c r="I529" t="str">
        <f t="shared" si="24"/>
        <v>Excellent</v>
      </c>
      <c r="J529" s="1" t="str">
        <f t="shared" si="25"/>
        <v>Expensive</v>
      </c>
      <c r="K529" s="1" t="str">
        <f t="shared" si="26"/>
        <v>High</v>
      </c>
    </row>
    <row r="530" spans="1:11" ht="13.8" x14ac:dyDescent="0.25">
      <c r="A530" t="s">
        <v>486</v>
      </c>
      <c r="B530" t="s">
        <v>487</v>
      </c>
      <c r="C530" s="2">
        <v>4.4000000000000004</v>
      </c>
      <c r="D530" s="3">
        <v>1201</v>
      </c>
      <c r="E530" s="3">
        <v>40</v>
      </c>
      <c r="F530" s="1">
        <v>2010</v>
      </c>
      <c r="G530" t="s">
        <v>2</v>
      </c>
      <c r="H530" t="str">
        <f>TRIM(B530)</f>
        <v>The College Board</v>
      </c>
      <c r="I530" t="str">
        <f t="shared" si="24"/>
        <v>Average</v>
      </c>
      <c r="J530" s="1" t="str">
        <f t="shared" si="25"/>
        <v>Expensive</v>
      </c>
      <c r="K530" s="1" t="str">
        <f t="shared" si="26"/>
        <v>Low</v>
      </c>
    </row>
    <row r="531" spans="1:11" ht="13.8" x14ac:dyDescent="0.25">
      <c r="A531" t="s">
        <v>486</v>
      </c>
      <c r="B531" t="s">
        <v>487</v>
      </c>
      <c r="C531" s="2">
        <v>4.4000000000000004</v>
      </c>
      <c r="D531" s="3">
        <v>1201</v>
      </c>
      <c r="E531" s="3">
        <v>40</v>
      </c>
      <c r="F531" s="1">
        <v>2011</v>
      </c>
      <c r="G531" t="s">
        <v>2</v>
      </c>
      <c r="H531" t="str">
        <f>TRIM(B531)</f>
        <v>The College Board</v>
      </c>
      <c r="I531" t="str">
        <f t="shared" si="24"/>
        <v>Average</v>
      </c>
      <c r="J531" s="1" t="str">
        <f t="shared" si="25"/>
        <v>Expensive</v>
      </c>
      <c r="K531" s="1" t="str">
        <f t="shared" si="26"/>
        <v>Low</v>
      </c>
    </row>
    <row r="532" spans="1:11" ht="13.8" x14ac:dyDescent="0.25">
      <c r="A532" t="s">
        <v>486</v>
      </c>
      <c r="B532" t="s">
        <v>487</v>
      </c>
      <c r="C532" s="2">
        <v>4.4000000000000004</v>
      </c>
      <c r="D532" s="3">
        <v>1201</v>
      </c>
      <c r="E532" s="3">
        <v>40</v>
      </c>
      <c r="F532" s="1">
        <v>2012</v>
      </c>
      <c r="G532" t="s">
        <v>2</v>
      </c>
      <c r="H532" t="str">
        <f>TRIM(B532)</f>
        <v>The College Board</v>
      </c>
      <c r="I532" t="str">
        <f t="shared" si="24"/>
        <v>Average</v>
      </c>
      <c r="J532" s="1" t="str">
        <f t="shared" si="25"/>
        <v>Expensive</v>
      </c>
      <c r="K532" s="1" t="str">
        <f t="shared" si="26"/>
        <v>Low</v>
      </c>
    </row>
    <row r="533" spans="1:11" ht="13.8" x14ac:dyDescent="0.25">
      <c r="A533" t="s">
        <v>486</v>
      </c>
      <c r="B533" t="s">
        <v>487</v>
      </c>
      <c r="C533" s="2">
        <v>4.4000000000000004</v>
      </c>
      <c r="D533" s="3">
        <v>1201</v>
      </c>
      <c r="E533" s="3">
        <v>40</v>
      </c>
      <c r="F533" s="1">
        <v>2013</v>
      </c>
      <c r="G533" t="s">
        <v>2</v>
      </c>
      <c r="H533" t="str">
        <f>TRIM(B533)</f>
        <v>The College Board</v>
      </c>
      <c r="I533" t="str">
        <f t="shared" si="24"/>
        <v>Average</v>
      </c>
      <c r="J533" s="1" t="str">
        <f t="shared" si="25"/>
        <v>Expensive</v>
      </c>
      <c r="K533" s="1" t="str">
        <f t="shared" si="26"/>
        <v>Low</v>
      </c>
    </row>
    <row r="534" spans="1:11" ht="13.8" x14ac:dyDescent="0.25">
      <c r="A534" t="s">
        <v>486</v>
      </c>
      <c r="B534" t="s">
        <v>487</v>
      </c>
      <c r="C534" s="2">
        <v>4.4000000000000004</v>
      </c>
      <c r="D534" s="3">
        <v>1201</v>
      </c>
      <c r="E534" s="3">
        <v>40</v>
      </c>
      <c r="F534" s="1">
        <v>2014</v>
      </c>
      <c r="G534" t="s">
        <v>2</v>
      </c>
      <c r="H534" t="str">
        <f>TRIM(B534)</f>
        <v>The College Board</v>
      </c>
      <c r="I534" t="str">
        <f t="shared" si="24"/>
        <v>Average</v>
      </c>
      <c r="J534" s="1" t="str">
        <f t="shared" si="25"/>
        <v>Expensive</v>
      </c>
      <c r="K534" s="1" t="str">
        <f t="shared" si="26"/>
        <v>Low</v>
      </c>
    </row>
    <row r="535" spans="1:11" ht="13.8" x14ac:dyDescent="0.25">
      <c r="A535" t="s">
        <v>567</v>
      </c>
      <c r="B535" t="s">
        <v>568</v>
      </c>
      <c r="C535" s="2">
        <v>4.8</v>
      </c>
      <c r="D535" s="3">
        <v>3829</v>
      </c>
      <c r="E535" s="3">
        <v>42</v>
      </c>
      <c r="F535" s="1">
        <v>2009</v>
      </c>
      <c r="G535" t="s">
        <v>5</v>
      </c>
      <c r="H535" t="str">
        <f>TRIM(B535)</f>
        <v>Alan Moore</v>
      </c>
      <c r="I535" t="str">
        <f t="shared" si="24"/>
        <v>Excellent</v>
      </c>
      <c r="J535" s="1" t="str">
        <f t="shared" si="25"/>
        <v>Expensive</v>
      </c>
      <c r="K535" s="1" t="str">
        <f t="shared" si="26"/>
        <v>Low</v>
      </c>
    </row>
    <row r="536" spans="1:11" ht="13.8" x14ac:dyDescent="0.25">
      <c r="A536" t="s">
        <v>332</v>
      </c>
      <c r="B536" t="s">
        <v>333</v>
      </c>
      <c r="C536" s="2">
        <v>4.5</v>
      </c>
      <c r="D536" s="3">
        <v>8580</v>
      </c>
      <c r="E536" s="3">
        <v>46</v>
      </c>
      <c r="F536" s="1">
        <v>2009</v>
      </c>
      <c r="G536" t="s">
        <v>2</v>
      </c>
      <c r="H536" t="str">
        <f>TRIM(B536)</f>
        <v>American Psychological Association</v>
      </c>
      <c r="I536" t="str">
        <f t="shared" si="24"/>
        <v>Excellent</v>
      </c>
      <c r="J536" s="1" t="str">
        <f t="shared" si="25"/>
        <v>Expensive</v>
      </c>
      <c r="K536" s="1" t="str">
        <f t="shared" si="26"/>
        <v>Low</v>
      </c>
    </row>
    <row r="537" spans="1:11" ht="13.8" x14ac:dyDescent="0.25">
      <c r="A537" t="s">
        <v>332</v>
      </c>
      <c r="B537" t="s">
        <v>333</v>
      </c>
      <c r="C537" s="2">
        <v>4.5</v>
      </c>
      <c r="D537" s="3">
        <v>8580</v>
      </c>
      <c r="E537" s="3">
        <v>46</v>
      </c>
      <c r="F537" s="1">
        <v>2010</v>
      </c>
      <c r="G537" t="s">
        <v>2</v>
      </c>
      <c r="H537" t="str">
        <f>TRIM(B537)</f>
        <v>American Psychological Association</v>
      </c>
      <c r="I537" t="str">
        <f t="shared" si="24"/>
        <v>Excellent</v>
      </c>
      <c r="J537" s="1" t="str">
        <f t="shared" si="25"/>
        <v>Expensive</v>
      </c>
      <c r="K537" s="1" t="str">
        <f t="shared" si="26"/>
        <v>Low</v>
      </c>
    </row>
    <row r="538" spans="1:11" ht="13.8" x14ac:dyDescent="0.25">
      <c r="A538" t="s">
        <v>332</v>
      </c>
      <c r="B538" t="s">
        <v>333</v>
      </c>
      <c r="C538" s="2">
        <v>4.5</v>
      </c>
      <c r="D538" s="3">
        <v>8580</v>
      </c>
      <c r="E538" s="3">
        <v>46</v>
      </c>
      <c r="F538" s="1">
        <v>2011</v>
      </c>
      <c r="G538" t="s">
        <v>2</v>
      </c>
      <c r="H538" t="str">
        <f>TRIM(B538)</f>
        <v>American Psychological Association</v>
      </c>
      <c r="I538" t="str">
        <f t="shared" si="24"/>
        <v>Excellent</v>
      </c>
      <c r="J538" s="1" t="str">
        <f t="shared" si="25"/>
        <v>Expensive</v>
      </c>
      <c r="K538" s="1" t="str">
        <f t="shared" si="26"/>
        <v>Low</v>
      </c>
    </row>
    <row r="539" spans="1:11" ht="13.8" x14ac:dyDescent="0.25">
      <c r="A539" t="s">
        <v>332</v>
      </c>
      <c r="B539" t="s">
        <v>333</v>
      </c>
      <c r="C539" s="2">
        <v>4.5</v>
      </c>
      <c r="D539" s="3">
        <v>8580</v>
      </c>
      <c r="E539" s="3">
        <v>46</v>
      </c>
      <c r="F539" s="1">
        <v>2012</v>
      </c>
      <c r="G539" t="s">
        <v>2</v>
      </c>
      <c r="H539" t="str">
        <f>TRIM(B539)</f>
        <v>American Psychological Association</v>
      </c>
      <c r="I539" t="str">
        <f t="shared" si="24"/>
        <v>Excellent</v>
      </c>
      <c r="J539" s="1" t="str">
        <f t="shared" si="25"/>
        <v>Expensive</v>
      </c>
      <c r="K539" s="1" t="str">
        <f t="shared" si="26"/>
        <v>Low</v>
      </c>
    </row>
    <row r="540" spans="1:11" ht="13.8" x14ac:dyDescent="0.25">
      <c r="A540" t="s">
        <v>332</v>
      </c>
      <c r="B540" t="s">
        <v>333</v>
      </c>
      <c r="C540" s="2">
        <v>4.5</v>
      </c>
      <c r="D540" s="3">
        <v>8580</v>
      </c>
      <c r="E540" s="3">
        <v>46</v>
      </c>
      <c r="F540" s="1">
        <v>2013</v>
      </c>
      <c r="G540" t="s">
        <v>2</v>
      </c>
      <c r="H540" t="str">
        <f>TRIM(B540)</f>
        <v>American Psychological Association</v>
      </c>
      <c r="I540" t="str">
        <f t="shared" si="24"/>
        <v>Excellent</v>
      </c>
      <c r="J540" s="1" t="str">
        <f t="shared" si="25"/>
        <v>Expensive</v>
      </c>
      <c r="K540" s="1" t="str">
        <f t="shared" si="26"/>
        <v>Low</v>
      </c>
    </row>
    <row r="541" spans="1:11" ht="13.8" x14ac:dyDescent="0.25">
      <c r="A541" t="s">
        <v>332</v>
      </c>
      <c r="B541" t="s">
        <v>333</v>
      </c>
      <c r="C541" s="2">
        <v>4.5</v>
      </c>
      <c r="D541" s="3">
        <v>8580</v>
      </c>
      <c r="E541" s="3">
        <v>46</v>
      </c>
      <c r="F541" s="1">
        <v>2014</v>
      </c>
      <c r="G541" t="s">
        <v>2</v>
      </c>
      <c r="H541" t="str">
        <f>TRIM(B541)</f>
        <v>American Psychological Association</v>
      </c>
      <c r="I541" t="str">
        <f t="shared" si="24"/>
        <v>Excellent</v>
      </c>
      <c r="J541" s="1" t="str">
        <f t="shared" si="25"/>
        <v>Expensive</v>
      </c>
      <c r="K541" s="1" t="str">
        <f t="shared" si="26"/>
        <v>Low</v>
      </c>
    </row>
    <row r="542" spans="1:11" ht="13.8" x14ac:dyDescent="0.25">
      <c r="A542" t="s">
        <v>332</v>
      </c>
      <c r="B542" t="s">
        <v>333</v>
      </c>
      <c r="C542" s="2">
        <v>4.5</v>
      </c>
      <c r="D542" s="3">
        <v>8580</v>
      </c>
      <c r="E542" s="3">
        <v>46</v>
      </c>
      <c r="F542" s="1">
        <v>2015</v>
      </c>
      <c r="G542" t="s">
        <v>2</v>
      </c>
      <c r="H542" t="str">
        <f>TRIM(B542)</f>
        <v>American Psychological Association</v>
      </c>
      <c r="I542" t="str">
        <f t="shared" si="24"/>
        <v>Excellent</v>
      </c>
      <c r="J542" s="1" t="str">
        <f t="shared" si="25"/>
        <v>Expensive</v>
      </c>
      <c r="K542" s="1" t="str">
        <f t="shared" si="26"/>
        <v>Low</v>
      </c>
    </row>
    <row r="543" spans="1:11" ht="13.8" x14ac:dyDescent="0.25">
      <c r="A543" t="s">
        <v>332</v>
      </c>
      <c r="B543" t="s">
        <v>333</v>
      </c>
      <c r="C543" s="2">
        <v>4.5</v>
      </c>
      <c r="D543" s="3">
        <v>8580</v>
      </c>
      <c r="E543" s="3">
        <v>46</v>
      </c>
      <c r="F543" s="1">
        <v>2016</v>
      </c>
      <c r="G543" t="s">
        <v>2</v>
      </c>
      <c r="H543" t="str">
        <f>TRIM(B543)</f>
        <v>American Psychological Association</v>
      </c>
      <c r="I543" t="str">
        <f t="shared" si="24"/>
        <v>Excellent</v>
      </c>
      <c r="J543" s="1" t="str">
        <f t="shared" si="25"/>
        <v>Expensive</v>
      </c>
      <c r="K543" s="1" t="str">
        <f t="shared" si="26"/>
        <v>Low</v>
      </c>
    </row>
    <row r="544" spans="1:11" ht="13.8" x14ac:dyDescent="0.25">
      <c r="A544" t="s">
        <v>332</v>
      </c>
      <c r="B544" t="s">
        <v>333</v>
      </c>
      <c r="C544" s="2">
        <v>4.5</v>
      </c>
      <c r="D544" s="3">
        <v>8580</v>
      </c>
      <c r="E544" s="3">
        <v>46</v>
      </c>
      <c r="F544" s="1">
        <v>2017</v>
      </c>
      <c r="G544" t="s">
        <v>2</v>
      </c>
      <c r="H544" t="str">
        <f>TRIM(B544)</f>
        <v>American Psychological Association</v>
      </c>
      <c r="I544" t="str">
        <f t="shared" si="24"/>
        <v>Excellent</v>
      </c>
      <c r="J544" s="1" t="str">
        <f t="shared" si="25"/>
        <v>Expensive</v>
      </c>
      <c r="K544" s="1" t="str">
        <f t="shared" si="26"/>
        <v>Low</v>
      </c>
    </row>
    <row r="545" spans="1:11" ht="13.8" x14ac:dyDescent="0.25">
      <c r="A545" t="s">
        <v>332</v>
      </c>
      <c r="B545" t="s">
        <v>333</v>
      </c>
      <c r="C545" s="2">
        <v>4.5</v>
      </c>
      <c r="D545" s="3">
        <v>8580</v>
      </c>
      <c r="E545" s="3">
        <v>46</v>
      </c>
      <c r="F545" s="1">
        <v>2018</v>
      </c>
      <c r="G545" t="s">
        <v>2</v>
      </c>
      <c r="H545" t="str">
        <f>TRIM(B545)</f>
        <v>American Psychological Association</v>
      </c>
      <c r="I545" t="str">
        <f t="shared" si="24"/>
        <v>Excellent</v>
      </c>
      <c r="J545" s="1" t="str">
        <f t="shared" si="25"/>
        <v>Expensive</v>
      </c>
      <c r="K545" s="1" t="str">
        <f t="shared" si="26"/>
        <v>Low</v>
      </c>
    </row>
    <row r="546" spans="1:11" ht="13.8" x14ac:dyDescent="0.25">
      <c r="A546" t="s">
        <v>209</v>
      </c>
      <c r="B546" t="s">
        <v>204</v>
      </c>
      <c r="C546" s="2">
        <v>4.8</v>
      </c>
      <c r="D546" s="3">
        <v>13471</v>
      </c>
      <c r="E546" s="3">
        <v>52</v>
      </c>
      <c r="F546" s="1">
        <v>2016</v>
      </c>
      <c r="G546" t="s">
        <v>5</v>
      </c>
      <c r="H546" t="str">
        <f>TRIM(B546)</f>
        <v>J. K. Rowling</v>
      </c>
      <c r="I546" t="str">
        <f t="shared" si="24"/>
        <v>Excellent</v>
      </c>
      <c r="J546" s="1" t="str">
        <f t="shared" si="25"/>
        <v>Expensive</v>
      </c>
      <c r="K546" s="1" t="str">
        <f t="shared" si="26"/>
        <v>High</v>
      </c>
    </row>
    <row r="547" spans="1:11" ht="13.8" x14ac:dyDescent="0.25">
      <c r="A547" t="s">
        <v>397</v>
      </c>
      <c r="B547" t="s">
        <v>398</v>
      </c>
      <c r="C547" s="2">
        <v>4.7</v>
      </c>
      <c r="D547" s="3">
        <v>858</v>
      </c>
      <c r="E547" s="3">
        <v>53</v>
      </c>
      <c r="F547" s="1">
        <v>2009</v>
      </c>
      <c r="G547" t="s">
        <v>2</v>
      </c>
      <c r="H547" t="str">
        <f>TRIM(B547)</f>
        <v>Bill Simmons</v>
      </c>
      <c r="I547" t="str">
        <f t="shared" si="24"/>
        <v>Excellent</v>
      </c>
      <c r="J547" s="1" t="str">
        <f t="shared" si="25"/>
        <v>Expensive</v>
      </c>
      <c r="K547" s="1" t="str">
        <f t="shared" si="26"/>
        <v>Low</v>
      </c>
    </row>
    <row r="548" spans="1:11" ht="13.8" x14ac:dyDescent="0.25">
      <c r="A548" t="s">
        <v>197</v>
      </c>
      <c r="B548" t="s">
        <v>198</v>
      </c>
      <c r="C548" s="2">
        <v>4.9000000000000004</v>
      </c>
      <c r="D548" s="3">
        <v>5867</v>
      </c>
      <c r="E548" s="3">
        <v>54</v>
      </c>
      <c r="F548" s="1">
        <v>2016</v>
      </c>
      <c r="G548" t="s">
        <v>2</v>
      </c>
      <c r="H548" t="str">
        <f>TRIM(B548)</f>
        <v>Lin-Manuel Miranda</v>
      </c>
      <c r="I548" t="str">
        <f t="shared" si="24"/>
        <v>Excellent</v>
      </c>
      <c r="J548" s="1" t="str">
        <f t="shared" si="25"/>
        <v>Expensive</v>
      </c>
      <c r="K548" s="1" t="str">
        <f t="shared" si="26"/>
        <v>Low</v>
      </c>
    </row>
    <row r="549" spans="1:11" ht="13.8" x14ac:dyDescent="0.25">
      <c r="A549" t="s">
        <v>524</v>
      </c>
      <c r="B549" t="s">
        <v>68</v>
      </c>
      <c r="C549" s="2">
        <v>4.7</v>
      </c>
      <c r="D549" s="3">
        <v>3801</v>
      </c>
      <c r="E549" s="3">
        <v>82</v>
      </c>
      <c r="F549" s="1">
        <v>2009</v>
      </c>
      <c r="G549" t="s">
        <v>5</v>
      </c>
      <c r="H549" t="str">
        <f>TRIM(B549)</f>
        <v>Stephenie Meyer</v>
      </c>
      <c r="I549" t="str">
        <f t="shared" si="24"/>
        <v>Excellent</v>
      </c>
      <c r="J549" s="1" t="str">
        <f t="shared" si="25"/>
        <v>Expensive</v>
      </c>
      <c r="K549" s="1" t="str">
        <f t="shared" si="26"/>
        <v>Low</v>
      </c>
    </row>
    <row r="550" spans="1:11" ht="13.8" x14ac:dyDescent="0.25">
      <c r="A550" t="s">
        <v>107</v>
      </c>
      <c r="B550" t="s">
        <v>108</v>
      </c>
      <c r="C550" s="2">
        <v>4.5</v>
      </c>
      <c r="D550" s="3">
        <v>6679</v>
      </c>
      <c r="E550" s="3">
        <v>105</v>
      </c>
      <c r="F550" s="1">
        <v>2013</v>
      </c>
      <c r="G550" t="s">
        <v>2</v>
      </c>
      <c r="H550" t="str">
        <f>TRIM(B550)</f>
        <v>American Psychiatric Association</v>
      </c>
      <c r="I550" t="str">
        <f t="shared" si="24"/>
        <v>Excellent</v>
      </c>
      <c r="J550" s="1" t="str">
        <f t="shared" si="25"/>
        <v>Expensive</v>
      </c>
      <c r="K550" s="1" t="str">
        <f t="shared" si="26"/>
        <v>Low</v>
      </c>
    </row>
    <row r="551" spans="1:11" ht="13.8" x14ac:dyDescent="0.25">
      <c r="A551" t="s">
        <v>107</v>
      </c>
      <c r="B551" t="s">
        <v>108</v>
      </c>
      <c r="C551" s="2">
        <v>4.5</v>
      </c>
      <c r="D551" s="3">
        <v>6679</v>
      </c>
      <c r="E551" s="3">
        <v>105</v>
      </c>
      <c r="F551" s="1">
        <v>2014</v>
      </c>
      <c r="G551" t="s">
        <v>2</v>
      </c>
      <c r="H551" t="str">
        <f>TRIM(B551)</f>
        <v>American Psychiatric Association</v>
      </c>
      <c r="I551" t="str">
        <f t="shared" si="24"/>
        <v>Excellent</v>
      </c>
      <c r="J551" s="1" t="str">
        <f t="shared" si="25"/>
        <v>Expensive</v>
      </c>
      <c r="K551" s="1" t="str">
        <f t="shared" si="26"/>
        <v>Low</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books_by_genre</vt:lpstr>
      <vt:lpstr>average_rating_by_genre</vt:lpstr>
      <vt:lpstr>Average Price by Genre</vt:lpstr>
      <vt:lpstr>Top Authors</vt:lpstr>
      <vt:lpstr>Reviews by Year</vt:lpstr>
      <vt:lpstr>Average Price by Year</vt:lpstr>
      <vt:lpstr>Top 10 Most Reviewed Books</vt:lpstr>
      <vt:lpstr>amazon_books_cleaned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Jatin Sagwal</cp:lastModifiedBy>
  <dcterms:created xsi:type="dcterms:W3CDTF">2026-04-10T10:35:24Z</dcterms:created>
  <dcterms:modified xsi:type="dcterms:W3CDTF">2026-04-10T13:10:16Z</dcterms:modified>
</cp:coreProperties>
</file>